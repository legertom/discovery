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ake Responses" sheetId="1" state="visible" r:id="rId1"/>
    <sheet xmlns:r="http://schemas.openxmlformats.org/officeDocument/2006/relationships" name="Opportunity Scoring" sheetId="2" state="visible" r:id="rId2"/>
    <sheet xmlns:r="http://schemas.openxmlformats.org/officeDocument/2006/relationships" name="Discovery Sessions" sheetId="3" state="visible" r:id="rId3"/>
    <sheet xmlns:r="http://schemas.openxmlformats.org/officeDocument/2006/relationships" name="Discovery Step Log" sheetId="4" state="visible" r:id="rId4"/>
    <sheet xmlns:r="http://schemas.openxmlformats.org/officeDocument/2006/relationships" name="Opportunity Briefs" sheetId="5" state="visible" r:id="rId5"/>
    <sheet xmlns:r="http://schemas.openxmlformats.org/officeDocument/2006/relationships" name="Dashboard" sheetId="6" state="visible" r:id="rId6"/>
    <sheet xmlns:r="http://schemas.openxmlformats.org/officeDocument/2006/relationships" name="Lists &amp; Settings" sheetId="7" state="visible" r:id="rId7"/>
    <sheet xmlns:r="http://schemas.openxmlformats.org/officeDocument/2006/relationships" name="Instructions" sheetId="8" state="visible" r:id="rId8"/>
  </sheets>
  <definedNames>
    <definedName name="_xlnm._FilterDatabase" localSheetId="0" hidden="1">'Intake Responses'!$A$1:$AO$1</definedName>
    <definedName name="_xlnm._FilterDatabase" localSheetId="1" hidden="1">'Opportunity Scoring'!$A$1:$AE$1</definedName>
    <definedName name="_xlnm._FilterDatabase" localSheetId="2" hidden="1">'Discovery Sessions'!$A$1:$R$1</definedName>
    <definedName name="_xlnm._FilterDatabase" localSheetId="3" hidden="1">'Discovery Step Log'!$A$1:$S$1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sz val="10"/>
    </font>
    <font>
      <name val="Calibri"/>
      <i val="1"/>
      <sz val="10"/>
    </font>
    <font>
      <name val="Calibri"/>
      <b val="1"/>
      <color rgb="00FFFFFF"/>
      <sz val="14"/>
    </font>
    <font>
      <name val="Calibri"/>
      <b val="1"/>
      <sz val="10"/>
    </font>
    <font>
      <name val="Calibri"/>
      <i val="1"/>
      <color rgb="00595959"/>
      <sz val="10"/>
    </font>
    <font>
      <name val="Calibri"/>
      <b val="1"/>
      <color rgb="00FFFFFF"/>
      <sz val="11"/>
    </font>
    <font>
      <name val="Calibri"/>
      <b val="1"/>
      <color rgb="001F4E79"/>
      <sz val="13"/>
    </font>
  </fonts>
  <fills count="8">
    <fill>
      <patternFill/>
    </fill>
    <fill>
      <patternFill patternType="gray125"/>
    </fill>
    <fill>
      <patternFill patternType="solid">
        <fgColor rgb="001F4E79"/>
      </patternFill>
    </fill>
    <fill>
      <patternFill patternType="solid">
        <fgColor rgb="00FFFFFF"/>
      </patternFill>
    </fill>
    <fill>
      <patternFill patternType="solid">
        <fgColor rgb="00EBF3FA"/>
      </patternFill>
    </fill>
    <fill>
      <patternFill patternType="solid">
        <fgColor rgb="00FFEB9C"/>
      </patternFill>
    </fill>
    <fill>
      <patternFill patternType="solid">
        <fgColor rgb="00F2F2F2"/>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left"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2" borderId="1" applyAlignment="1" pivotButton="0" quotePrefix="0" xfId="0">
      <alignment horizontal="left" vertical="center" wrapText="1"/>
    </xf>
    <xf numFmtId="0" fontId="5" fillId="4" borderId="1" applyAlignment="1" pivotButton="0" quotePrefix="0" xfId="0">
      <alignment horizontal="right" vertical="center"/>
    </xf>
    <xf numFmtId="0" fontId="0" fillId="5" borderId="1" applyAlignment="1" pivotButton="0" quotePrefix="0" xfId="0">
      <alignment vertical="center"/>
    </xf>
    <xf numFmtId="0" fontId="6" fillId="3" borderId="1" applyAlignment="1" pivotButton="0" quotePrefix="0" xfId="0">
      <alignment vertical="center"/>
    </xf>
    <xf numFmtId="0" fontId="6" fillId="6" borderId="1" applyAlignment="1" pivotButton="0" quotePrefix="0" xfId="0">
      <alignment vertical="center" wrapText="1"/>
    </xf>
    <xf numFmtId="0" fontId="5" fillId="4" borderId="1" applyAlignment="1" pivotButton="0" quotePrefix="0" xfId="0">
      <alignment vertical="top" wrapText="1"/>
    </xf>
    <xf numFmtId="0" fontId="2" fillId="3" borderId="1" applyAlignment="1" pivotButton="0" quotePrefix="0" xfId="0">
      <alignment vertical="top" wrapText="1"/>
    </xf>
    <xf numFmtId="0" fontId="7" fillId="2" borderId="1" applyAlignment="1" pivotButton="0" quotePrefix="0" xfId="0">
      <alignment horizontal="left" vertical="center" wrapText="1"/>
    </xf>
    <xf numFmtId="0" fontId="8" fillId="4" borderId="1" applyAlignment="1" pivotButton="0" quotePrefix="0" xfId="0">
      <alignment horizontal="center" vertical="center"/>
    </xf>
    <xf numFmtId="0" fontId="1" fillId="7" borderId="1" applyAlignment="1" pivotButton="0" quotePrefix="0" xfId="0">
      <alignment horizontal="left" vertical="center"/>
    </xf>
    <xf numFmtId="0" fontId="5" fillId="4" borderId="1" applyAlignment="1" pivotButton="0" quotePrefix="0" xfId="0">
      <alignment vertical="center" wrapText="1"/>
    </xf>
    <xf numFmtId="0" fontId="2" fillId="3" borderId="1" applyAlignment="1" pivotButton="0" quotePrefix="0" xfId="0">
      <alignment vertical="center"/>
    </xf>
    <xf numFmtId="0" fontId="2" fillId="4" borderId="1" applyAlignment="1" pivotButton="0" quotePrefix="0" xfId="0">
      <alignment vertical="center"/>
    </xf>
    <xf numFmtId="0" fontId="2" fillId="3" borderId="1" pivotButton="0" quotePrefix="0" xfId="0"/>
    <xf numFmtId="0" fontId="2" fillId="4" borderId="1" applyAlignment="1" pivotButton="0" quotePrefix="0" xfId="0">
      <alignment vertical="top" wrapText="1"/>
    </xf>
    <xf numFmtId="0" fontId="2" fillId="4" borderId="1" pivotButton="0" quotePrefix="0" xfId="0"/>
    <xf numFmtId="0" fontId="3" fillId="5" borderId="1" applyAlignment="1" pivotButton="0" quotePrefix="0" xfId="0">
      <alignment vertical="top" wrapText="1"/>
    </xf>
    <xf numFmtId="0" fontId="1" fillId="2" borderId="1" applyAlignment="1" pivotButton="0" quotePrefix="0" xfId="0">
      <alignment vertical="center" wrapText="1"/>
    </xf>
  </cellXfs>
  <cellStyles count="1">
    <cellStyle name="Normal" xfId="0" builtinId="0" hidden="0"/>
  </cellStyles>
  <dxfs count="6">
    <dxf>
      <font>
        <color rgb="00375623"/>
      </font>
      <fill>
        <patternFill patternType="solid">
          <fgColor rgb="00C6EFCE"/>
        </patternFill>
      </fill>
    </dxf>
    <dxf>
      <font>
        <color rgb="009C6500"/>
      </font>
      <fill>
        <patternFill patternType="solid">
          <fgColor rgb="00FFEB9C"/>
        </patternFill>
      </fill>
    </dxf>
    <dxf>
      <font>
        <color rgb="009C0006"/>
      </font>
      <fill>
        <patternFill patternType="solid">
          <fgColor rgb="00FFC7CE"/>
        </patternFill>
      </fill>
    </dxf>
    <dxf>
      <font>
        <color rgb="00595959"/>
      </font>
      <fill>
        <patternFill patternType="solid">
          <fgColor rgb="00D9D9D9"/>
        </patternFill>
      </fill>
    </dxf>
    <dxf>
      <font>
        <color rgb="001F4E79"/>
      </font>
      <fill>
        <patternFill patternType="solid">
          <fgColor rgb="00BDD7EE"/>
        </patternFill>
      </fill>
    </dxf>
    <dxf>
      <font>
        <color rgb="007030A0"/>
      </font>
      <fill>
        <patternFill patternType="solid">
          <fgColor rgb="00E2CF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System</author>
  </authors>
  <commentList>
    <comment ref="E1" authorId="0" shapeId="0">
      <text>
        <t>Name the actual work being performed, not the proposed AI idea.</t>
      </text>
    </comment>
    <comment ref="I1" authorId="0" shapeId="0">
      <text>
        <t>Explain why this workflow exists and what business outcome it supports.</t>
      </text>
    </comment>
    <comment ref="K1" authorId="0" shapeId="0">
      <text>
        <t>Describe the consequence if this work is delayed, incorrect, incomplete, or skipped.</t>
      </text>
    </comment>
    <comment ref="L1" authorId="0" shapeId="0">
      <text>
        <t>Describe what happens today. Do not solve here; capture current-state steps, handoffs, and manual effort.</t>
      </text>
    </comment>
    <comment ref="M1" authorId="0" shapeId="0">
      <text>
        <t>How often this work occurs. Use Unknown if the submitter cannot estimate.</t>
      </text>
    </comment>
    <comment ref="N1" authorId="0" shapeId="0">
      <text>
        <t>Approximate active minutes required each time the workflow runs.</t>
      </text>
    </comment>
    <comment ref="O1" authorId="0" shapeId="0">
      <text>
        <t>Number of people who perform this workflow each cycle.</t>
      </text>
    </comment>
    <comment ref="S1" authorId="0" shapeId="0">
      <text>
        <t>Types of pain present. Multiple values may apply.</t>
      </text>
    </comment>
    <comment ref="Z1" authorId="0" shapeId="0">
      <text>
        <t>Describe what better would look like in terms of outcome and experience.</t>
      </text>
    </comment>
    <comment ref="AA1" authorId="0" shapeId="0">
      <text>
        <t>Judgment, approvals, sensitivity checks, or quality review that should remain human-owned.</t>
      </text>
    </comment>
    <comment ref="AB1" authorId="0" shapeId="0">
      <text>
        <t>Boundaries for automation or AI assistance.</t>
      </text>
    </comment>
    <comment ref="AC1" authorId="0" shapeId="0">
      <text>
        <t>Controls, evidence, review steps, or transparency needed for adoption.</t>
      </text>
    </comment>
    <comment ref="AD1" authorId="0" shapeId="0">
      <text>
        <t>Failure modes or missing requirements that would make the solution unacceptable.</t>
      </text>
    </comment>
    <comment ref="AE1" authorId="0" shapeId="0">
      <text>
        <t>Measurable or observable success criteria.</t>
      </text>
    </comment>
    <comment ref="AF1" authorId="0" shapeId="0">
      <text>
        <t>Whether sensitive, private, regulated, customer, student, employee, financial, legal, or confidential data may be involved.</t>
      </text>
    </comment>
    <comment ref="AG1" authorId="0" shapeId="0">
      <text>
        <t>Specific kinds of data used by the workflow.</t>
      </text>
    </comment>
    <comment ref="AH1" authorId="0" shapeId="0">
      <text>
        <t>Where source data lives today.</t>
      </text>
    </comment>
    <comment ref="AI1" authorId="0" shapeId="0">
      <text>
        <t>Where the completed output goes.</t>
      </text>
    </comment>
  </commentList>
</comments>
</file>

<file path=xl/comments/comment2.xml><?xml version="1.0" encoding="utf-8"?>
<comments xmlns="http://schemas.openxmlformats.org/spreadsheetml/2006/main">
  <authors>
    <author>System</author>
  </authors>
  <commentList>
    <comment ref="E1" authorId="0" shapeId="0">
      <text>
        <t>Current stage in the opportunity pipeline.</t>
      </text>
    </comment>
    <comment ref="S1" authorId="0" shapeId="0">
      <text>
        <t>Best current guess at what type of improvement may fit. Update manually after triage.</t>
      </text>
    </comment>
    <comment ref="T1" authorId="0" shapeId="0">
      <text>
        <t>Estimated implementation difficulty. Update manually after triage.</t>
      </text>
    </comment>
    <comment ref="U1" authorId="0" shapeId="0">
      <text>
        <t>Risk based on data sensitivity, compliance, operational consequences, and customer impact.</t>
      </text>
    </comment>
    <comment ref="V1" authorId="0" shapeId="0">
      <text>
        <t>Formula-derived score combining business criticality, urgency, and estimated monthly hours.</t>
      </text>
    </comment>
    <comment ref="W1" authorId="0" shapeId="0">
      <text>
        <t>Formula-derived frequency score (how often the workflow occurs).</t>
      </text>
    </comment>
    <comment ref="X1" authorId="0" shapeId="0">
      <text>
        <t>Average of pain rating and error-proneness.</t>
      </text>
    </comment>
    <comment ref="Y1" authorId="0" shapeId="0">
      <text>
        <t>Penalty for high risk level and sensitive data involvement.</t>
      </text>
    </comment>
    <comment ref="Z1" authorId="0" shapeId="0">
      <text>
        <t>Combined weighted priority score. Use to sort candidates, then apply judgment.</t>
      </text>
    </comment>
    <comment ref="AA1" authorId="0" shapeId="0">
      <text>
        <t>Formula-derived triage bucket. Can be overridden by reviewer.</t>
      </text>
    </comment>
    <comment ref="AB1" authorId="0" shapeId="0">
      <text>
        <t>Suggested next action based on Priority Category.</t>
      </text>
    </comment>
  </commentList>
</comments>
</file>

<file path=xl/comments/comment3.xml><?xml version="1.0" encoding="utf-8"?>
<comments xmlns="http://schemas.openxmlformats.org/spreadsheetml/2006/main">
  <authors>
    <author>System</author>
  </authors>
  <commentList>
    <comment ref="A1" authorId="0" shapeId="0">
      <text>
        <t>Auto-generated readable ID for this discovery conversation or session.</t>
      </text>
    </comment>
    <comment ref="B1" authorId="0" shapeId="0">
      <text>
        <t>The Opportunity ID this discovery session is about.</t>
      </text>
    </comment>
    <comment ref="G1" authorId="0" shapeId="0">
      <text>
        <t>The kind of discovery activity: Intake Review, Live Workflow Walkthrough, Stakeholder Interview, Async Review, Prototype Scoping, or Follow-up.</t>
      </text>
    </comment>
    <comment ref="H1" authorId="0" shapeId="0">
      <text>
        <t>What this session is meant to clarify.</t>
      </text>
    </comment>
    <comment ref="I1" authorId="0" shapeId="0">
      <text>
        <t>Brief narrative summary of the workflow, pain, constraints, or key discoveries.</t>
      </text>
    </comment>
    <comment ref="J1" authorId="0" shapeId="0">
      <text>
        <t>Most important friction points found during discovery.</t>
      </text>
    </comment>
    <comment ref="K1" authorId="0" shapeId="0">
      <text>
        <t>Privacy, compliance, security, data quality, customer impact, or human-review considerations.</t>
      </text>
    </comment>
    <comment ref="L1" authorId="0" shapeId="0">
      <text>
        <t>Systems, permissions, APIs, reports, templates, stakeholders, or decisions needed before improvement work can proceed.</t>
      </text>
    </comment>
    <comment ref="N1" authorId="0" shapeId="0">
      <text>
        <t>Concrete next action after this session.</t>
      </text>
    </comment>
    <comment ref="Q1" authorId="0" shapeId="0">
      <text>
        <t>Optional link to filter the Discovery Step Log by this Opportunity ID.</t>
      </text>
    </comment>
  </commentList>
</comments>
</file>

<file path=xl/comments/comment4.xml><?xml version="1.0" encoding="utf-8"?>
<comments xmlns="http://schemas.openxmlformats.org/spreadsheetml/2006/main">
  <authors>
    <author>System</author>
  </authors>
  <commentList>
    <comment ref="A1" authorId="0" shapeId="0">
      <text>
        <t>Detailed step-level log. Many rows per opportunity. Filter by Opportunity ID to see one workflow's steps.</t>
      </text>
    </comment>
    <comment ref="F1" authorId="0" shapeId="0">
      <text>
        <t>Sequential step number in the current-state workflow.</t>
      </text>
    </comment>
    <comment ref="G1" authorId="0" shapeId="0">
      <text>
        <t>What happens in this step. Capture the action, not a proposed solution.</t>
      </text>
    </comment>
    <comment ref="H1" authorId="0" shapeId="0">
      <text>
        <t>Tool, system, document, report, inbox, or file used in this step.</t>
      </text>
    </comment>
    <comment ref="I1" authorId="0" shapeId="0">
      <text>
        <t>What information, file, request, data, or context enters this step.</t>
      </text>
    </comment>
    <comment ref="J1" authorId="0" shapeId="0">
      <text>
        <t>What this step produces or changes.</t>
      </text>
    </comment>
    <comment ref="K1" authorId="0" shapeId="0">
      <text>
        <t>What the human actually does: copy, paste, search, rewrite, verify, reconcile, approve, escalate, etc.</t>
      </text>
    </comment>
    <comment ref="M1" authorId="0" shapeId="0">
      <text>
        <t>Pain, delay, confusion, repetition, missing context, or frustration observed.</t>
      </text>
    </comment>
    <comment ref="N1" authorId="0" shapeId="0">
      <text>
        <t>Where errors, privacy issues, customer impact, compliance concerns, or rework could occur.</t>
      </text>
    </comment>
    <comment ref="O1" authorId="0" shapeId="0">
      <text>
        <t>Whether this step requires human interpretation, accountability, empathy, approval, or judgment.</t>
      </text>
    </comment>
    <comment ref="P1" authorId="0" shapeId="0">
      <text>
        <t>Whether deterministic automation could handle this step.</t>
      </text>
    </comment>
    <comment ref="Q1" authorId="0" shapeId="0">
      <text>
        <t>Whether AI could assist with drafting, summarizing, retrieval, classification, checking, or transformation.</t>
      </text>
    </comment>
    <comment ref="R1" authorId="0" shapeId="0">
      <text>
        <t>What would be required to improve this step.</t>
      </text>
    </comment>
  </commentList>
</comments>
</file>

<file path=xl/comments/comment5.xml><?xml version="1.0" encoding="utf-8"?>
<comments xmlns="http://schemas.openxmlformats.org/spreadsheetml/2006/main">
  <authors>
    <author>System</author>
  </authors>
  <commentList>
    <comment ref="B2" authorId="0" shapeId="0">
      <text>
        <t>Enter an Opportunity ID (e.g., WF-0001)</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2E75B6"/>
    <outlinePr summaryBelow="1" summaryRight="1"/>
    <pageSetUpPr/>
  </sheetPr>
  <dimension ref="A1:AO5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20" customWidth="1" min="4" max="4"/>
    <col width="30" customWidth="1" min="5" max="5"/>
    <col width="22" customWidth="1" min="6" max="6"/>
    <col width="20" customWidth="1" min="7" max="7"/>
    <col width="22" customWidth="1" min="8" max="8"/>
    <col width="35" customWidth="1" min="9" max="9"/>
    <col width="35" customWidth="1" min="10" max="10"/>
    <col width="35" customWidth="1" min="11" max="11"/>
    <col width="40" customWidth="1" min="12" max="12"/>
    <col width="18" customWidth="1" min="13" max="13"/>
    <col width="16" customWidth="1" min="14" max="14"/>
    <col width="18" customWidth="1" min="15" max="15"/>
    <col width="18" customWidth="1" min="16" max="16"/>
    <col width="30" customWidth="1" min="17" max="17"/>
    <col width="16" customWidth="1" min="18" max="18"/>
    <col width="30" customWidth="1" min="19" max="19"/>
    <col width="14" customWidth="1" min="20" max="20"/>
    <col width="18" customWidth="1" min="21" max="21"/>
    <col width="18" customWidth="1" min="22" max="22"/>
    <col width="12" customWidth="1" min="23" max="23"/>
    <col width="16" customWidth="1" min="24" max="24"/>
    <col width="24" customWidth="1" min="25" max="25"/>
    <col width="35" customWidth="1" min="26" max="26"/>
    <col width="35" customWidth="1" min="27" max="27"/>
    <col width="35" customWidth="1" min="28" max="28"/>
    <col width="35" customWidth="1" min="29" max="29"/>
    <col width="35" customWidth="1" min="30" max="30"/>
    <col width="35" customWidth="1" min="31" max="31"/>
    <col width="14" customWidth="1" min="32" max="32"/>
    <col width="25" customWidth="1" min="33" max="33"/>
    <col width="25" customWidth="1" min="34" max="34"/>
    <col width="25" customWidth="1" min="35" max="35"/>
    <col width="25" customWidth="1" min="36" max="36"/>
    <col width="25" customWidth="1" min="37" max="37"/>
    <col width="20" customWidth="1" min="38" max="38"/>
    <col width="18" customWidth="1" min="39" max="39"/>
    <col width="20" customWidth="1" min="40" max="40"/>
    <col width="35" customWidth="1" min="41" max="41"/>
  </cols>
  <sheetData>
    <row r="1">
      <c r="A1" s="1" t="inlineStr">
        <is>
          <t>Opportunity ID</t>
        </is>
      </c>
      <c r="B1" s="1" t="inlineStr">
        <is>
          <t>Submitted Date</t>
        </is>
      </c>
      <c r="C1" s="1" t="inlineStr">
        <is>
          <t>Submitted By</t>
        </is>
      </c>
      <c r="D1" s="1" t="inlineStr">
        <is>
          <t>Team / Function</t>
        </is>
      </c>
      <c r="E1" s="1" t="inlineStr">
        <is>
          <t>Workflow / Task Name</t>
        </is>
      </c>
      <c r="F1" s="1" t="inlineStr">
        <is>
          <t>Workflow Owner</t>
        </is>
      </c>
      <c r="G1" s="1" t="inlineStr">
        <is>
          <t>People Involved</t>
        </is>
      </c>
      <c r="H1" s="1" t="inlineStr">
        <is>
          <t>Who Uses the Output?</t>
        </is>
      </c>
      <c r="I1" s="1" t="inlineStr">
        <is>
          <t>Purpose of the Workflow</t>
        </is>
      </c>
      <c r="J1" s="1" t="inlineStr">
        <is>
          <t>Decision / Deliverable / Outcome Supported</t>
        </is>
      </c>
      <c r="K1" s="1" t="inlineStr">
        <is>
          <t>What Happens If This Is Late Wrong or Skipped?</t>
        </is>
      </c>
      <c r="L1" s="1" t="inlineStr">
        <is>
          <t>Current Process Summary</t>
        </is>
      </c>
      <c r="M1" s="1" t="inlineStr">
        <is>
          <t>Frequency</t>
        </is>
      </c>
      <c r="N1" s="1" t="inlineStr">
        <is>
          <t>Minutes Per Run</t>
        </is>
      </c>
      <c r="O1" s="1" t="inlineStr">
        <is>
          <t>People Doing This Work</t>
        </is>
      </c>
      <c r="P1" s="1" t="inlineStr">
        <is>
          <t>Outputs / Items Per Cycle</t>
        </is>
      </c>
      <c r="Q1" s="1" t="inlineStr">
        <is>
          <t>Systems / Tools Involved</t>
        </is>
      </c>
      <c r="R1" s="1" t="inlineStr">
        <is>
          <t>Number of Systems</t>
        </is>
      </c>
      <c r="S1" s="1" t="inlineStr">
        <is>
          <t>Friction Types</t>
        </is>
      </c>
      <c r="T1" s="1" t="inlineStr">
        <is>
          <t>Pain Rating 1-5</t>
        </is>
      </c>
      <c r="U1" s="1" t="inlineStr">
        <is>
          <t>Business Criticality 1-5</t>
        </is>
      </c>
      <c r="V1" s="1" t="inlineStr">
        <is>
          <t>Error-Proneness 1-5</t>
        </is>
      </c>
      <c r="W1" s="1" t="inlineStr">
        <is>
          <t>Urgency 1-5</t>
        </is>
      </c>
      <c r="X1" s="1" t="inlineStr">
        <is>
          <t>People Affected</t>
        </is>
      </c>
      <c r="Y1" s="1" t="inlineStr">
        <is>
          <t>Customers / Districts / Students Affected</t>
        </is>
      </c>
      <c r="Z1" s="1" t="inlineStr">
        <is>
          <t>Desired Future State</t>
        </is>
      </c>
      <c r="AA1" s="1" t="inlineStr">
        <is>
          <t>What Should Still Require Human Review?</t>
        </is>
      </c>
      <c r="AB1" s="1" t="inlineStr">
        <is>
          <t>What Should Never Be Automated?</t>
        </is>
      </c>
      <c r="AC1" s="1" t="inlineStr">
        <is>
          <t>What Would Make You Trust the Improved Workflow?</t>
        </is>
      </c>
      <c r="AD1" s="1" t="inlineStr">
        <is>
          <t>What Would Make This Unusable?</t>
        </is>
      </c>
      <c r="AE1" s="1" t="inlineStr">
        <is>
          <t>How Would We Know This Worked?</t>
        </is>
      </c>
      <c r="AF1" s="1" t="inlineStr">
        <is>
          <t>Sensitive Data?</t>
        </is>
      </c>
      <c r="AG1" s="1" t="inlineStr">
        <is>
          <t>Data Types Involved</t>
        </is>
      </c>
      <c r="AH1" s="1" t="inlineStr">
        <is>
          <t>Input Data Location</t>
        </is>
      </c>
      <c r="AI1" s="1" t="inlineStr">
        <is>
          <t>Output Destination</t>
        </is>
      </c>
      <c r="AJ1" s="1" t="inlineStr">
        <is>
          <t>Existing Reports / Exports / Templates?</t>
        </is>
      </c>
      <c r="AK1" s="1" t="inlineStr">
        <is>
          <t>Example Link</t>
        </is>
      </c>
      <c r="AL1" s="1" t="inlineStr">
        <is>
          <t>Available for Live Walkthrough?</t>
        </is>
      </c>
      <c r="AM1" s="1" t="inlineStr">
        <is>
          <t>Prototype Willingness</t>
        </is>
      </c>
      <c r="AN1" s="1" t="inlineStr">
        <is>
          <t>Ideal Timeline</t>
        </is>
      </c>
      <c r="AO1" s="1" t="inlineStr">
        <is>
          <t>Initial Notes</t>
        </is>
      </c>
    </row>
    <row r="2" ht="25" customHeight="1">
      <c r="A2" s="2">
        <f>"WF-"&amp;TEXT(ROW()-1,"0000")</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row>
    <row r="3" ht="25" customHeight="1">
      <c r="A3" s="3">
        <f>"WF-"&amp;TEXT(ROW()-1,"0000")</f>
        <v/>
      </c>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c r="AA3" s="3" t="n"/>
      <c r="AB3" s="3" t="n"/>
      <c r="AC3" s="3" t="n"/>
      <c r="AD3" s="3" t="n"/>
      <c r="AE3" s="3" t="n"/>
      <c r="AF3" s="3" t="n"/>
      <c r="AG3" s="3" t="n"/>
      <c r="AH3" s="3" t="n"/>
      <c r="AI3" s="3" t="n"/>
      <c r="AJ3" s="3" t="n"/>
      <c r="AK3" s="3" t="n"/>
      <c r="AL3" s="3" t="n"/>
      <c r="AM3" s="3" t="n"/>
      <c r="AN3" s="3" t="n"/>
      <c r="AO3" s="3" t="n"/>
    </row>
    <row r="4" ht="25" customHeight="1">
      <c r="A4" s="2">
        <f>"WF-"&amp;TEXT(ROW()-1,"0000")</f>
        <v/>
      </c>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row>
    <row r="5" ht="25" customHeight="1">
      <c r="A5" s="3">
        <f>"WF-"&amp;TEXT(ROW()-1,"0000")</f>
        <v/>
      </c>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c r="AA5" s="3" t="n"/>
      <c r="AB5" s="3" t="n"/>
      <c r="AC5" s="3" t="n"/>
      <c r="AD5" s="3" t="n"/>
      <c r="AE5" s="3" t="n"/>
      <c r="AF5" s="3" t="n"/>
      <c r="AG5" s="3" t="n"/>
      <c r="AH5" s="3" t="n"/>
      <c r="AI5" s="3" t="n"/>
      <c r="AJ5" s="3" t="n"/>
      <c r="AK5" s="3" t="n"/>
      <c r="AL5" s="3" t="n"/>
      <c r="AM5" s="3" t="n"/>
      <c r="AN5" s="3" t="n"/>
      <c r="AO5" s="3" t="n"/>
    </row>
    <row r="6" ht="25" customHeight="1">
      <c r="A6" s="2">
        <f>"WF-"&amp;TEXT(ROW()-1,"0000")</f>
        <v/>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row>
    <row r="7" ht="25" customHeight="1">
      <c r="A7" s="3">
        <f>"WF-"&amp;TEXT(ROW()-1,"0000")</f>
        <v/>
      </c>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3" t="n"/>
      <c r="AO7" s="3" t="n"/>
    </row>
    <row r="8" ht="25" customHeight="1">
      <c r="A8" s="2">
        <f>"WF-"&amp;TEXT(ROW()-1,"0000")</f>
        <v/>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row>
    <row r="9" ht="25" customHeight="1">
      <c r="A9" s="3">
        <f>"WF-"&amp;TEXT(ROW()-1,"0000")</f>
        <v/>
      </c>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c r="AF9" s="3" t="n"/>
      <c r="AG9" s="3" t="n"/>
      <c r="AH9" s="3" t="n"/>
      <c r="AI9" s="3" t="n"/>
      <c r="AJ9" s="3" t="n"/>
      <c r="AK9" s="3" t="n"/>
      <c r="AL9" s="3" t="n"/>
      <c r="AM9" s="3" t="n"/>
      <c r="AN9" s="3" t="n"/>
      <c r="AO9" s="3" t="n"/>
    </row>
    <row r="10" ht="25" customHeight="1">
      <c r="A10" s="2">
        <f>"WF-"&amp;TEXT(ROW()-1,"0000")</f>
        <v/>
      </c>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c r="AM10" s="2" t="n"/>
      <c r="AN10" s="2" t="n"/>
      <c r="AO10" s="2" t="n"/>
    </row>
    <row r="11" ht="25" customHeight="1">
      <c r="A11" s="3">
        <f>"WF-"&amp;TEXT(ROW()-1,"0000")</f>
        <v/>
      </c>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c r="AH11" s="3" t="n"/>
      <c r="AI11" s="3" t="n"/>
      <c r="AJ11" s="3" t="n"/>
      <c r="AK11" s="3" t="n"/>
      <c r="AL11" s="3" t="n"/>
      <c r="AM11" s="3" t="n"/>
      <c r="AN11" s="3" t="n"/>
      <c r="AO11" s="3" t="n"/>
    </row>
    <row r="12" ht="25" customHeight="1">
      <c r="A12" s="2">
        <f>"WF-"&amp;TEXT(ROW()-1,"0000")</f>
        <v/>
      </c>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c r="AH12" s="2" t="n"/>
      <c r="AI12" s="2" t="n"/>
      <c r="AJ12" s="2" t="n"/>
      <c r="AK12" s="2" t="n"/>
      <c r="AL12" s="2" t="n"/>
      <c r="AM12" s="2" t="n"/>
      <c r="AN12" s="2" t="n"/>
      <c r="AO12" s="2" t="n"/>
    </row>
    <row r="13" ht="25" customHeight="1">
      <c r="A13" s="3">
        <f>"WF-"&amp;TEXT(ROW()-1,"0000")</f>
        <v/>
      </c>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c r="AA13" s="3" t="n"/>
      <c r="AB13" s="3" t="n"/>
      <c r="AC13" s="3" t="n"/>
      <c r="AD13" s="3" t="n"/>
      <c r="AE13" s="3" t="n"/>
      <c r="AF13" s="3" t="n"/>
      <c r="AG13" s="3" t="n"/>
      <c r="AH13" s="3" t="n"/>
      <c r="AI13" s="3" t="n"/>
      <c r="AJ13" s="3" t="n"/>
      <c r="AK13" s="3" t="n"/>
      <c r="AL13" s="3" t="n"/>
      <c r="AM13" s="3" t="n"/>
      <c r="AN13" s="3" t="n"/>
      <c r="AO13" s="3" t="n"/>
    </row>
    <row r="14" ht="25" customHeight="1">
      <c r="A14" s="2">
        <f>"WF-"&amp;TEXT(ROW()-1,"0000")</f>
        <v/>
      </c>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c r="AH14" s="2" t="n"/>
      <c r="AI14" s="2" t="n"/>
      <c r="AJ14" s="2" t="n"/>
      <c r="AK14" s="2" t="n"/>
      <c r="AL14" s="2" t="n"/>
      <c r="AM14" s="2" t="n"/>
      <c r="AN14" s="2" t="n"/>
      <c r="AO14" s="2" t="n"/>
    </row>
    <row r="15" ht="25" customHeight="1">
      <c r="A15" s="3">
        <f>"WF-"&amp;TEXT(ROW()-1,"0000")</f>
        <v/>
      </c>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c r="AA15" s="3" t="n"/>
      <c r="AB15" s="3" t="n"/>
      <c r="AC15" s="3" t="n"/>
      <c r="AD15" s="3" t="n"/>
      <c r="AE15" s="3" t="n"/>
      <c r="AF15" s="3" t="n"/>
      <c r="AG15" s="3" t="n"/>
      <c r="AH15" s="3" t="n"/>
      <c r="AI15" s="3" t="n"/>
      <c r="AJ15" s="3" t="n"/>
      <c r="AK15" s="3" t="n"/>
      <c r="AL15" s="3" t="n"/>
      <c r="AM15" s="3" t="n"/>
      <c r="AN15" s="3" t="n"/>
      <c r="AO15" s="3" t="n"/>
    </row>
    <row r="16" ht="25" customHeight="1">
      <c r="A16" s="2">
        <f>"WF-"&amp;TEXT(ROW()-1,"0000")</f>
        <v/>
      </c>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c r="AM16" s="2" t="n"/>
      <c r="AN16" s="2" t="n"/>
      <c r="AO16" s="2" t="n"/>
    </row>
    <row r="17" ht="25" customHeight="1">
      <c r="A17" s="3">
        <f>"WF-"&amp;TEXT(ROW()-1,"0000")</f>
        <v/>
      </c>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c r="AA17" s="3" t="n"/>
      <c r="AB17" s="3" t="n"/>
      <c r="AC17" s="3" t="n"/>
      <c r="AD17" s="3" t="n"/>
      <c r="AE17" s="3" t="n"/>
      <c r="AF17" s="3" t="n"/>
      <c r="AG17" s="3" t="n"/>
      <c r="AH17" s="3" t="n"/>
      <c r="AI17" s="3" t="n"/>
      <c r="AJ17" s="3" t="n"/>
      <c r="AK17" s="3" t="n"/>
      <c r="AL17" s="3" t="n"/>
      <c r="AM17" s="3" t="n"/>
      <c r="AN17" s="3" t="n"/>
      <c r="AO17" s="3" t="n"/>
    </row>
    <row r="18" ht="25" customHeight="1">
      <c r="A18" s="2">
        <f>"WF-"&amp;TEXT(ROW()-1,"0000")</f>
        <v/>
      </c>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c r="AB18" s="2" t="n"/>
      <c r="AC18" s="2" t="n"/>
      <c r="AD18" s="2" t="n"/>
      <c r="AE18" s="2" t="n"/>
      <c r="AF18" s="2" t="n"/>
      <c r="AG18" s="2" t="n"/>
      <c r="AH18" s="2" t="n"/>
      <c r="AI18" s="2" t="n"/>
      <c r="AJ18" s="2" t="n"/>
      <c r="AK18" s="2" t="n"/>
      <c r="AL18" s="2" t="n"/>
      <c r="AM18" s="2" t="n"/>
      <c r="AN18" s="2" t="n"/>
      <c r="AO18" s="2" t="n"/>
    </row>
    <row r="19" ht="25" customHeight="1">
      <c r="A19" s="3">
        <f>"WF-"&amp;TEXT(ROW()-1,"0000")</f>
        <v/>
      </c>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c r="AA19" s="3" t="n"/>
      <c r="AB19" s="3" t="n"/>
      <c r="AC19" s="3" t="n"/>
      <c r="AD19" s="3" t="n"/>
      <c r="AE19" s="3" t="n"/>
      <c r="AF19" s="3" t="n"/>
      <c r="AG19" s="3" t="n"/>
      <c r="AH19" s="3" t="n"/>
      <c r="AI19" s="3" t="n"/>
      <c r="AJ19" s="3" t="n"/>
      <c r="AK19" s="3" t="n"/>
      <c r="AL19" s="3" t="n"/>
      <c r="AM19" s="3" t="n"/>
      <c r="AN19" s="3" t="n"/>
      <c r="AO19" s="3" t="n"/>
    </row>
    <row r="20" ht="25" customHeight="1">
      <c r="A20" s="2">
        <f>"WF-"&amp;TEXT(ROW()-1,"0000")</f>
        <v/>
      </c>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c r="AM20" s="2" t="n"/>
      <c r="AN20" s="2" t="n"/>
      <c r="AO20" s="2" t="n"/>
    </row>
    <row r="21" ht="25" customHeight="1">
      <c r="A21" s="3">
        <f>"WF-"&amp;TEXT(ROW()-1,"0000")</f>
        <v/>
      </c>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c r="AA21" s="3" t="n"/>
      <c r="AB21" s="3" t="n"/>
      <c r="AC21" s="3" t="n"/>
      <c r="AD21" s="3" t="n"/>
      <c r="AE21" s="3" t="n"/>
      <c r="AF21" s="3" t="n"/>
      <c r="AG21" s="3" t="n"/>
      <c r="AH21" s="3" t="n"/>
      <c r="AI21" s="3" t="n"/>
      <c r="AJ21" s="3" t="n"/>
      <c r="AK21" s="3" t="n"/>
      <c r="AL21" s="3" t="n"/>
      <c r="AM21" s="3" t="n"/>
      <c r="AN21" s="3" t="n"/>
      <c r="AO21" s="3" t="n"/>
    </row>
    <row r="22" ht="25" customHeight="1">
      <c r="A22" s="2">
        <f>"WF-"&amp;TEXT(ROW()-1,"0000")</f>
        <v/>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row>
    <row r="23" ht="25" customHeight="1">
      <c r="A23" s="3">
        <f>"WF-"&amp;TEXT(ROW()-1,"0000")</f>
        <v/>
      </c>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c r="AA23" s="3" t="n"/>
      <c r="AB23" s="3" t="n"/>
      <c r="AC23" s="3" t="n"/>
      <c r="AD23" s="3" t="n"/>
      <c r="AE23" s="3" t="n"/>
      <c r="AF23" s="3" t="n"/>
      <c r="AG23" s="3" t="n"/>
      <c r="AH23" s="3" t="n"/>
      <c r="AI23" s="3" t="n"/>
      <c r="AJ23" s="3" t="n"/>
      <c r="AK23" s="3" t="n"/>
      <c r="AL23" s="3" t="n"/>
      <c r="AM23" s="3" t="n"/>
      <c r="AN23" s="3" t="n"/>
      <c r="AO23" s="3" t="n"/>
    </row>
    <row r="24" ht="25" customHeight="1">
      <c r="A24" s="2">
        <f>"WF-"&amp;TEXT(ROW()-1,"0000")</f>
        <v/>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row>
    <row r="25" ht="25" customHeight="1">
      <c r="A25" s="3">
        <f>"WF-"&amp;TEXT(ROW()-1,"0000")</f>
        <v/>
      </c>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c r="AA25" s="3" t="n"/>
      <c r="AB25" s="3" t="n"/>
      <c r="AC25" s="3" t="n"/>
      <c r="AD25" s="3" t="n"/>
      <c r="AE25" s="3" t="n"/>
      <c r="AF25" s="3" t="n"/>
      <c r="AG25" s="3" t="n"/>
      <c r="AH25" s="3" t="n"/>
      <c r="AI25" s="3" t="n"/>
      <c r="AJ25" s="3" t="n"/>
      <c r="AK25" s="3" t="n"/>
      <c r="AL25" s="3" t="n"/>
      <c r="AM25" s="3" t="n"/>
      <c r="AN25" s="3" t="n"/>
      <c r="AO25" s="3" t="n"/>
    </row>
    <row r="26" ht="25" customHeight="1">
      <c r="A26" s="2">
        <f>"WF-"&amp;TEXT(ROW()-1,"0000")</f>
        <v/>
      </c>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row>
    <row r="27" ht="25" customHeight="1">
      <c r="A27" s="3">
        <f>"WF-"&amp;TEXT(ROW()-1,"0000")</f>
        <v/>
      </c>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c r="AA27" s="3" t="n"/>
      <c r="AB27" s="3" t="n"/>
      <c r="AC27" s="3" t="n"/>
      <c r="AD27" s="3" t="n"/>
      <c r="AE27" s="3" t="n"/>
      <c r="AF27" s="3" t="n"/>
      <c r="AG27" s="3" t="n"/>
      <c r="AH27" s="3" t="n"/>
      <c r="AI27" s="3" t="n"/>
      <c r="AJ27" s="3" t="n"/>
      <c r="AK27" s="3" t="n"/>
      <c r="AL27" s="3" t="n"/>
      <c r="AM27" s="3" t="n"/>
      <c r="AN27" s="3" t="n"/>
      <c r="AO27" s="3" t="n"/>
    </row>
    <row r="28" ht="25" customHeight="1">
      <c r="A28" s="2">
        <f>"WF-"&amp;TEXT(ROW()-1,"0000")</f>
        <v/>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row>
    <row r="29" ht="25" customHeight="1">
      <c r="A29" s="3">
        <f>"WF-"&amp;TEXT(ROW()-1,"0000")</f>
        <v/>
      </c>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c r="AA29" s="3" t="n"/>
      <c r="AB29" s="3" t="n"/>
      <c r="AC29" s="3" t="n"/>
      <c r="AD29" s="3" t="n"/>
      <c r="AE29" s="3" t="n"/>
      <c r="AF29" s="3" t="n"/>
      <c r="AG29" s="3" t="n"/>
      <c r="AH29" s="3" t="n"/>
      <c r="AI29" s="3" t="n"/>
      <c r="AJ29" s="3" t="n"/>
      <c r="AK29" s="3" t="n"/>
      <c r="AL29" s="3" t="n"/>
      <c r="AM29" s="3" t="n"/>
      <c r="AN29" s="3" t="n"/>
      <c r="AO29" s="3" t="n"/>
    </row>
    <row r="30" ht="25" customHeight="1">
      <c r="A30" s="2">
        <f>"WF-"&amp;TEXT(ROW()-1,"0000")</f>
        <v/>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row>
    <row r="31" ht="25" customHeight="1">
      <c r="A31" s="3">
        <f>"WF-"&amp;TEXT(ROW()-1,"0000")</f>
        <v/>
      </c>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c r="AA31" s="3" t="n"/>
      <c r="AB31" s="3" t="n"/>
      <c r="AC31" s="3" t="n"/>
      <c r="AD31" s="3" t="n"/>
      <c r="AE31" s="3" t="n"/>
      <c r="AF31" s="3" t="n"/>
      <c r="AG31" s="3" t="n"/>
      <c r="AH31" s="3" t="n"/>
      <c r="AI31" s="3" t="n"/>
      <c r="AJ31" s="3" t="n"/>
      <c r="AK31" s="3" t="n"/>
      <c r="AL31" s="3" t="n"/>
      <c r="AM31" s="3" t="n"/>
      <c r="AN31" s="3" t="n"/>
      <c r="AO31" s="3" t="n"/>
    </row>
    <row r="32" ht="25" customHeight="1">
      <c r="A32" s="2">
        <f>"WF-"&amp;TEXT(ROW()-1,"0000")</f>
        <v/>
      </c>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row>
    <row r="33" ht="25" customHeight="1">
      <c r="A33" s="3">
        <f>"WF-"&amp;TEXT(ROW()-1,"0000")</f>
        <v/>
      </c>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c r="AA33" s="3" t="n"/>
      <c r="AB33" s="3" t="n"/>
      <c r="AC33" s="3" t="n"/>
      <c r="AD33" s="3" t="n"/>
      <c r="AE33" s="3" t="n"/>
      <c r="AF33" s="3" t="n"/>
      <c r="AG33" s="3" t="n"/>
      <c r="AH33" s="3" t="n"/>
      <c r="AI33" s="3" t="n"/>
      <c r="AJ33" s="3" t="n"/>
      <c r="AK33" s="3" t="n"/>
      <c r="AL33" s="3" t="n"/>
      <c r="AM33" s="3" t="n"/>
      <c r="AN33" s="3" t="n"/>
      <c r="AO33" s="3" t="n"/>
    </row>
    <row r="34" ht="25" customHeight="1">
      <c r="A34" s="2">
        <f>"WF-"&amp;TEXT(ROW()-1,"0000")</f>
        <v/>
      </c>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row>
    <row r="35" ht="25" customHeight="1">
      <c r="A35" s="3">
        <f>"WF-"&amp;TEXT(ROW()-1,"0000")</f>
        <v/>
      </c>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c r="AA35" s="3" t="n"/>
      <c r="AB35" s="3" t="n"/>
      <c r="AC35" s="3" t="n"/>
      <c r="AD35" s="3" t="n"/>
      <c r="AE35" s="3" t="n"/>
      <c r="AF35" s="3" t="n"/>
      <c r="AG35" s="3" t="n"/>
      <c r="AH35" s="3" t="n"/>
      <c r="AI35" s="3" t="n"/>
      <c r="AJ35" s="3" t="n"/>
      <c r="AK35" s="3" t="n"/>
      <c r="AL35" s="3" t="n"/>
      <c r="AM35" s="3" t="n"/>
      <c r="AN35" s="3" t="n"/>
      <c r="AO35" s="3" t="n"/>
    </row>
    <row r="36" ht="25" customHeight="1">
      <c r="A36" s="2">
        <f>"WF-"&amp;TEXT(ROW()-1,"0000")</f>
        <v/>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row>
    <row r="37" ht="25" customHeight="1">
      <c r="A37" s="3">
        <f>"WF-"&amp;TEXT(ROW()-1,"0000")</f>
        <v/>
      </c>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c r="AA37" s="3" t="n"/>
      <c r="AB37" s="3" t="n"/>
      <c r="AC37" s="3" t="n"/>
      <c r="AD37" s="3" t="n"/>
      <c r="AE37" s="3" t="n"/>
      <c r="AF37" s="3" t="n"/>
      <c r="AG37" s="3" t="n"/>
      <c r="AH37" s="3" t="n"/>
      <c r="AI37" s="3" t="n"/>
      <c r="AJ37" s="3" t="n"/>
      <c r="AK37" s="3" t="n"/>
      <c r="AL37" s="3" t="n"/>
      <c r="AM37" s="3" t="n"/>
      <c r="AN37" s="3" t="n"/>
      <c r="AO37" s="3" t="n"/>
    </row>
    <row r="38" ht="25" customHeight="1">
      <c r="A38" s="2">
        <f>"WF-"&amp;TEXT(ROW()-1,"0000")</f>
        <v/>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row>
    <row r="39" ht="25" customHeight="1">
      <c r="A39" s="3">
        <f>"WF-"&amp;TEXT(ROW()-1,"0000")</f>
        <v/>
      </c>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c r="AA39" s="3" t="n"/>
      <c r="AB39" s="3" t="n"/>
      <c r="AC39" s="3" t="n"/>
      <c r="AD39" s="3" t="n"/>
      <c r="AE39" s="3" t="n"/>
      <c r="AF39" s="3" t="n"/>
      <c r="AG39" s="3" t="n"/>
      <c r="AH39" s="3" t="n"/>
      <c r="AI39" s="3" t="n"/>
      <c r="AJ39" s="3" t="n"/>
      <c r="AK39" s="3" t="n"/>
      <c r="AL39" s="3" t="n"/>
      <c r="AM39" s="3" t="n"/>
      <c r="AN39" s="3" t="n"/>
      <c r="AO39" s="3" t="n"/>
    </row>
    <row r="40" ht="25" customHeight="1">
      <c r="A40" s="2">
        <f>"WF-"&amp;TEXT(ROW()-1,"0000")</f>
        <v/>
      </c>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row>
    <row r="41" ht="25" customHeight="1">
      <c r="A41" s="3">
        <f>"WF-"&amp;TEXT(ROW()-1,"0000")</f>
        <v/>
      </c>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c r="AA41" s="3" t="n"/>
      <c r="AB41" s="3" t="n"/>
      <c r="AC41" s="3" t="n"/>
      <c r="AD41" s="3" t="n"/>
      <c r="AE41" s="3" t="n"/>
      <c r="AF41" s="3" t="n"/>
      <c r="AG41" s="3" t="n"/>
      <c r="AH41" s="3" t="n"/>
      <c r="AI41" s="3" t="n"/>
      <c r="AJ41" s="3" t="n"/>
      <c r="AK41" s="3" t="n"/>
      <c r="AL41" s="3" t="n"/>
      <c r="AM41" s="3" t="n"/>
      <c r="AN41" s="3" t="n"/>
      <c r="AO41" s="3" t="n"/>
    </row>
    <row r="42" ht="25" customHeight="1">
      <c r="A42" s="2">
        <f>"WF-"&amp;TEXT(ROW()-1,"0000")</f>
        <v/>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row>
    <row r="43" ht="25" customHeight="1">
      <c r="A43" s="3">
        <f>"WF-"&amp;TEXT(ROW()-1,"0000")</f>
        <v/>
      </c>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c r="AA43" s="3" t="n"/>
      <c r="AB43" s="3" t="n"/>
      <c r="AC43" s="3" t="n"/>
      <c r="AD43" s="3" t="n"/>
      <c r="AE43" s="3" t="n"/>
      <c r="AF43" s="3" t="n"/>
      <c r="AG43" s="3" t="n"/>
      <c r="AH43" s="3" t="n"/>
      <c r="AI43" s="3" t="n"/>
      <c r="AJ43" s="3" t="n"/>
      <c r="AK43" s="3" t="n"/>
      <c r="AL43" s="3" t="n"/>
      <c r="AM43" s="3" t="n"/>
      <c r="AN43" s="3" t="n"/>
      <c r="AO43" s="3" t="n"/>
    </row>
    <row r="44" ht="25" customHeight="1">
      <c r="A44" s="2">
        <f>"WF-"&amp;TEXT(ROW()-1,"0000")</f>
        <v/>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row>
    <row r="45" ht="25" customHeight="1">
      <c r="A45" s="3">
        <f>"WF-"&amp;TEXT(ROW()-1,"0000")</f>
        <v/>
      </c>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c r="AA45" s="3" t="n"/>
      <c r="AB45" s="3" t="n"/>
      <c r="AC45" s="3" t="n"/>
      <c r="AD45" s="3" t="n"/>
      <c r="AE45" s="3" t="n"/>
      <c r="AF45" s="3" t="n"/>
      <c r="AG45" s="3" t="n"/>
      <c r="AH45" s="3" t="n"/>
      <c r="AI45" s="3" t="n"/>
      <c r="AJ45" s="3" t="n"/>
      <c r="AK45" s="3" t="n"/>
      <c r="AL45" s="3" t="n"/>
      <c r="AM45" s="3" t="n"/>
      <c r="AN45" s="3" t="n"/>
      <c r="AO45" s="3" t="n"/>
    </row>
    <row r="46" ht="25" customHeight="1">
      <c r="A46" s="2">
        <f>"WF-"&amp;TEXT(ROW()-1,"0000")</f>
        <v/>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row>
    <row r="47" ht="25" customHeight="1">
      <c r="A47" s="3">
        <f>"WF-"&amp;TEXT(ROW()-1,"0000")</f>
        <v/>
      </c>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c r="AA47" s="3" t="n"/>
      <c r="AB47" s="3" t="n"/>
      <c r="AC47" s="3" t="n"/>
      <c r="AD47" s="3" t="n"/>
      <c r="AE47" s="3" t="n"/>
      <c r="AF47" s="3" t="n"/>
      <c r="AG47" s="3" t="n"/>
      <c r="AH47" s="3" t="n"/>
      <c r="AI47" s="3" t="n"/>
      <c r="AJ47" s="3" t="n"/>
      <c r="AK47" s="3" t="n"/>
      <c r="AL47" s="3" t="n"/>
      <c r="AM47" s="3" t="n"/>
      <c r="AN47" s="3" t="n"/>
      <c r="AO47" s="3" t="n"/>
    </row>
    <row r="48" ht="25" customHeight="1">
      <c r="A48" s="2">
        <f>"WF-"&amp;TEXT(ROW()-1,"0000")</f>
        <v/>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row>
    <row r="49" ht="25" customHeight="1">
      <c r="A49" s="3">
        <f>"WF-"&amp;TEXT(ROW()-1,"0000")</f>
        <v/>
      </c>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c r="AA49" s="3" t="n"/>
      <c r="AB49" s="3" t="n"/>
      <c r="AC49" s="3" t="n"/>
      <c r="AD49" s="3" t="n"/>
      <c r="AE49" s="3" t="n"/>
      <c r="AF49" s="3" t="n"/>
      <c r="AG49" s="3" t="n"/>
      <c r="AH49" s="3" t="n"/>
      <c r="AI49" s="3" t="n"/>
      <c r="AJ49" s="3" t="n"/>
      <c r="AK49" s="3" t="n"/>
      <c r="AL49" s="3" t="n"/>
      <c r="AM49" s="3" t="n"/>
      <c r="AN49" s="3" t="n"/>
      <c r="AO49" s="3" t="n"/>
    </row>
    <row r="50" ht="25" customHeight="1">
      <c r="A50" s="2">
        <f>"WF-"&amp;TEXT(ROW()-1,"0000")</f>
        <v/>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row>
    <row r="51" ht="25" customHeight="1">
      <c r="A51" s="3">
        <f>"WF-"&amp;TEXT(ROW()-1,"0000")</f>
        <v/>
      </c>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c r="AA51" s="3" t="n"/>
      <c r="AB51" s="3" t="n"/>
      <c r="AC51" s="3" t="n"/>
      <c r="AD51" s="3" t="n"/>
      <c r="AE51" s="3" t="n"/>
      <c r="AF51" s="3" t="n"/>
      <c r="AG51" s="3" t="n"/>
      <c r="AH51" s="3" t="n"/>
      <c r="AI51" s="3" t="n"/>
      <c r="AJ51" s="3" t="n"/>
      <c r="AK51" s="3" t="n"/>
      <c r="AL51" s="3" t="n"/>
      <c r="AM51" s="3" t="n"/>
      <c r="AN51" s="3" t="n"/>
      <c r="AO51" s="3" t="n"/>
    </row>
    <row r="52" ht="25" customHeight="1">
      <c r="A52" s="2">
        <f>"WF-"&amp;TEXT(ROW()-1,"0000")</f>
        <v/>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row>
    <row r="53" ht="25" customHeight="1">
      <c r="A53" s="3">
        <f>"WF-"&amp;TEXT(ROW()-1,"0000")</f>
        <v/>
      </c>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c r="AA53" s="3" t="n"/>
      <c r="AB53" s="3" t="n"/>
      <c r="AC53" s="3" t="n"/>
      <c r="AD53" s="3" t="n"/>
      <c r="AE53" s="3" t="n"/>
      <c r="AF53" s="3" t="n"/>
      <c r="AG53" s="3" t="n"/>
      <c r="AH53" s="3" t="n"/>
      <c r="AI53" s="3" t="n"/>
      <c r="AJ53" s="3" t="n"/>
      <c r="AK53" s="3" t="n"/>
      <c r="AL53" s="3" t="n"/>
      <c r="AM53" s="3" t="n"/>
      <c r="AN53" s="3" t="n"/>
      <c r="AO53" s="3" t="n"/>
    </row>
    <row r="54" ht="25" customHeight="1">
      <c r="A54" s="2">
        <f>"WF-"&amp;TEXT(ROW()-1,"0000")</f>
        <v/>
      </c>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row>
    <row r="55" ht="25" customHeight="1">
      <c r="A55" s="3">
        <f>"WF-"&amp;TEXT(ROW()-1,"0000")</f>
        <v/>
      </c>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c r="AA55" s="3" t="n"/>
      <c r="AB55" s="3" t="n"/>
      <c r="AC55" s="3" t="n"/>
      <c r="AD55" s="3" t="n"/>
      <c r="AE55" s="3" t="n"/>
      <c r="AF55" s="3" t="n"/>
      <c r="AG55" s="3" t="n"/>
      <c r="AH55" s="3" t="n"/>
      <c r="AI55" s="3" t="n"/>
      <c r="AJ55" s="3" t="n"/>
      <c r="AK55" s="3" t="n"/>
      <c r="AL55" s="3" t="n"/>
      <c r="AM55" s="3" t="n"/>
      <c r="AN55" s="3" t="n"/>
      <c r="AO55" s="3" t="n"/>
    </row>
    <row r="56" ht="25" customHeight="1">
      <c r="A56" s="2">
        <f>"WF-"&amp;TEXT(ROW()-1,"0000")</f>
        <v/>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row>
    <row r="57" ht="25" customHeight="1">
      <c r="A57" s="3">
        <f>"WF-"&amp;TEXT(ROW()-1,"0000")</f>
        <v/>
      </c>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c r="AA57" s="3" t="n"/>
      <c r="AB57" s="3" t="n"/>
      <c r="AC57" s="3" t="n"/>
      <c r="AD57" s="3" t="n"/>
      <c r="AE57" s="3" t="n"/>
      <c r="AF57" s="3" t="n"/>
      <c r="AG57" s="3" t="n"/>
      <c r="AH57" s="3" t="n"/>
      <c r="AI57" s="3" t="n"/>
      <c r="AJ57" s="3" t="n"/>
      <c r="AK57" s="3" t="n"/>
      <c r="AL57" s="3" t="n"/>
      <c r="AM57" s="3" t="n"/>
      <c r="AN57" s="3" t="n"/>
      <c r="AO57" s="3" t="n"/>
    </row>
    <row r="58" ht="25" customHeight="1">
      <c r="A58" s="2">
        <f>"WF-"&amp;TEXT(ROW()-1,"0000")</f>
        <v/>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row>
    <row r="59" ht="25" customHeight="1">
      <c r="A59" s="3">
        <f>"WF-"&amp;TEXT(ROW()-1,"0000")</f>
        <v/>
      </c>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c r="AA59" s="3" t="n"/>
      <c r="AB59" s="3" t="n"/>
      <c r="AC59" s="3" t="n"/>
      <c r="AD59" s="3" t="n"/>
      <c r="AE59" s="3" t="n"/>
      <c r="AF59" s="3" t="n"/>
      <c r="AG59" s="3" t="n"/>
      <c r="AH59" s="3" t="n"/>
      <c r="AI59" s="3" t="n"/>
      <c r="AJ59" s="3" t="n"/>
      <c r="AK59" s="3" t="n"/>
      <c r="AL59" s="3" t="n"/>
      <c r="AM59" s="3" t="n"/>
      <c r="AN59" s="3" t="n"/>
      <c r="AO59" s="3" t="n"/>
    </row>
    <row r="60" ht="25" customHeight="1">
      <c r="A60" s="2">
        <f>"WF-"&amp;TEXT(ROW()-1,"0000")</f>
        <v/>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row>
    <row r="61" ht="25" customHeight="1">
      <c r="A61" s="3">
        <f>"WF-"&amp;TEXT(ROW()-1,"0000")</f>
        <v/>
      </c>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c r="AA61" s="3" t="n"/>
      <c r="AB61" s="3" t="n"/>
      <c r="AC61" s="3" t="n"/>
      <c r="AD61" s="3" t="n"/>
      <c r="AE61" s="3" t="n"/>
      <c r="AF61" s="3" t="n"/>
      <c r="AG61" s="3" t="n"/>
      <c r="AH61" s="3" t="n"/>
      <c r="AI61" s="3" t="n"/>
      <c r="AJ61" s="3" t="n"/>
      <c r="AK61" s="3" t="n"/>
      <c r="AL61" s="3" t="n"/>
      <c r="AM61" s="3" t="n"/>
      <c r="AN61" s="3" t="n"/>
      <c r="AO61" s="3" t="n"/>
    </row>
    <row r="62" ht="25" customHeight="1">
      <c r="A62" s="2">
        <f>"WF-"&amp;TEXT(ROW()-1,"0000")</f>
        <v/>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row>
    <row r="63" ht="25" customHeight="1">
      <c r="A63" s="3">
        <f>"WF-"&amp;TEXT(ROW()-1,"0000")</f>
        <v/>
      </c>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c r="AA63" s="3" t="n"/>
      <c r="AB63" s="3" t="n"/>
      <c r="AC63" s="3" t="n"/>
      <c r="AD63" s="3" t="n"/>
      <c r="AE63" s="3" t="n"/>
      <c r="AF63" s="3" t="n"/>
      <c r="AG63" s="3" t="n"/>
      <c r="AH63" s="3" t="n"/>
      <c r="AI63" s="3" t="n"/>
      <c r="AJ63" s="3" t="n"/>
      <c r="AK63" s="3" t="n"/>
      <c r="AL63" s="3" t="n"/>
      <c r="AM63" s="3" t="n"/>
      <c r="AN63" s="3" t="n"/>
      <c r="AO63" s="3" t="n"/>
    </row>
    <row r="64" ht="25" customHeight="1">
      <c r="A64" s="2">
        <f>"WF-"&amp;TEXT(ROW()-1,"0000")</f>
        <v/>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row>
    <row r="65" ht="25" customHeight="1">
      <c r="A65" s="3">
        <f>"WF-"&amp;TEXT(ROW()-1,"0000")</f>
        <v/>
      </c>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c r="AA65" s="3" t="n"/>
      <c r="AB65" s="3" t="n"/>
      <c r="AC65" s="3" t="n"/>
      <c r="AD65" s="3" t="n"/>
      <c r="AE65" s="3" t="n"/>
      <c r="AF65" s="3" t="n"/>
      <c r="AG65" s="3" t="n"/>
      <c r="AH65" s="3" t="n"/>
      <c r="AI65" s="3" t="n"/>
      <c r="AJ65" s="3" t="n"/>
      <c r="AK65" s="3" t="n"/>
      <c r="AL65" s="3" t="n"/>
      <c r="AM65" s="3" t="n"/>
      <c r="AN65" s="3" t="n"/>
      <c r="AO65" s="3" t="n"/>
    </row>
    <row r="66" ht="25" customHeight="1">
      <c r="A66" s="2">
        <f>"WF-"&amp;TEXT(ROW()-1,"0000")</f>
        <v/>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row>
    <row r="67" ht="25" customHeight="1">
      <c r="A67" s="3">
        <f>"WF-"&amp;TEXT(ROW()-1,"0000")</f>
        <v/>
      </c>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c r="AA67" s="3" t="n"/>
      <c r="AB67" s="3" t="n"/>
      <c r="AC67" s="3" t="n"/>
      <c r="AD67" s="3" t="n"/>
      <c r="AE67" s="3" t="n"/>
      <c r="AF67" s="3" t="n"/>
      <c r="AG67" s="3" t="n"/>
      <c r="AH67" s="3" t="n"/>
      <c r="AI67" s="3" t="n"/>
      <c r="AJ67" s="3" t="n"/>
      <c r="AK67" s="3" t="n"/>
      <c r="AL67" s="3" t="n"/>
      <c r="AM67" s="3" t="n"/>
      <c r="AN67" s="3" t="n"/>
      <c r="AO67" s="3" t="n"/>
    </row>
    <row r="68" ht="25" customHeight="1">
      <c r="A68" s="2">
        <f>"WF-"&amp;TEXT(ROW()-1,"0000")</f>
        <v/>
      </c>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row>
    <row r="69" ht="25" customHeight="1">
      <c r="A69" s="3">
        <f>"WF-"&amp;TEXT(ROW()-1,"0000")</f>
        <v/>
      </c>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c r="AA69" s="3" t="n"/>
      <c r="AB69" s="3" t="n"/>
      <c r="AC69" s="3" t="n"/>
      <c r="AD69" s="3" t="n"/>
      <c r="AE69" s="3" t="n"/>
      <c r="AF69" s="3" t="n"/>
      <c r="AG69" s="3" t="n"/>
      <c r="AH69" s="3" t="n"/>
      <c r="AI69" s="3" t="n"/>
      <c r="AJ69" s="3" t="n"/>
      <c r="AK69" s="3" t="n"/>
      <c r="AL69" s="3" t="n"/>
      <c r="AM69" s="3" t="n"/>
      <c r="AN69" s="3" t="n"/>
      <c r="AO69" s="3" t="n"/>
    </row>
    <row r="70" ht="25" customHeight="1">
      <c r="A70" s="2">
        <f>"WF-"&amp;TEXT(ROW()-1,"0000")</f>
        <v/>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row>
    <row r="71" ht="25" customHeight="1">
      <c r="A71" s="3">
        <f>"WF-"&amp;TEXT(ROW()-1,"0000")</f>
        <v/>
      </c>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c r="AA71" s="3" t="n"/>
      <c r="AB71" s="3" t="n"/>
      <c r="AC71" s="3" t="n"/>
      <c r="AD71" s="3" t="n"/>
      <c r="AE71" s="3" t="n"/>
      <c r="AF71" s="3" t="n"/>
      <c r="AG71" s="3" t="n"/>
      <c r="AH71" s="3" t="n"/>
      <c r="AI71" s="3" t="n"/>
      <c r="AJ71" s="3" t="n"/>
      <c r="AK71" s="3" t="n"/>
      <c r="AL71" s="3" t="n"/>
      <c r="AM71" s="3" t="n"/>
      <c r="AN71" s="3" t="n"/>
      <c r="AO71" s="3" t="n"/>
    </row>
    <row r="72" ht="25" customHeight="1">
      <c r="A72" s="2">
        <f>"WF-"&amp;TEXT(ROW()-1,"0000")</f>
        <v/>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row>
    <row r="73" ht="25" customHeight="1">
      <c r="A73" s="3">
        <f>"WF-"&amp;TEXT(ROW()-1,"0000")</f>
        <v/>
      </c>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c r="AA73" s="3" t="n"/>
      <c r="AB73" s="3" t="n"/>
      <c r="AC73" s="3" t="n"/>
      <c r="AD73" s="3" t="n"/>
      <c r="AE73" s="3" t="n"/>
      <c r="AF73" s="3" t="n"/>
      <c r="AG73" s="3" t="n"/>
      <c r="AH73" s="3" t="n"/>
      <c r="AI73" s="3" t="n"/>
      <c r="AJ73" s="3" t="n"/>
      <c r="AK73" s="3" t="n"/>
      <c r="AL73" s="3" t="n"/>
      <c r="AM73" s="3" t="n"/>
      <c r="AN73" s="3" t="n"/>
      <c r="AO73" s="3" t="n"/>
    </row>
    <row r="74" ht="25" customHeight="1">
      <c r="A74" s="2">
        <f>"WF-"&amp;TEXT(ROW()-1,"0000")</f>
        <v/>
      </c>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row>
    <row r="75" ht="25" customHeight="1">
      <c r="A75" s="3">
        <f>"WF-"&amp;TEXT(ROW()-1,"0000")</f>
        <v/>
      </c>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c r="AA75" s="3" t="n"/>
      <c r="AB75" s="3" t="n"/>
      <c r="AC75" s="3" t="n"/>
      <c r="AD75" s="3" t="n"/>
      <c r="AE75" s="3" t="n"/>
      <c r="AF75" s="3" t="n"/>
      <c r="AG75" s="3" t="n"/>
      <c r="AH75" s="3" t="n"/>
      <c r="AI75" s="3" t="n"/>
      <c r="AJ75" s="3" t="n"/>
      <c r="AK75" s="3" t="n"/>
      <c r="AL75" s="3" t="n"/>
      <c r="AM75" s="3" t="n"/>
      <c r="AN75" s="3" t="n"/>
      <c r="AO75" s="3" t="n"/>
    </row>
    <row r="76" ht="25" customHeight="1">
      <c r="A76" s="2">
        <f>"WF-"&amp;TEXT(ROW()-1,"0000")</f>
        <v/>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row>
    <row r="77" ht="25" customHeight="1">
      <c r="A77" s="3">
        <f>"WF-"&amp;TEXT(ROW()-1,"0000")</f>
        <v/>
      </c>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c r="AC77" s="3" t="n"/>
      <c r="AD77" s="3" t="n"/>
      <c r="AE77" s="3" t="n"/>
      <c r="AF77" s="3" t="n"/>
      <c r="AG77" s="3" t="n"/>
      <c r="AH77" s="3" t="n"/>
      <c r="AI77" s="3" t="n"/>
      <c r="AJ77" s="3" t="n"/>
      <c r="AK77" s="3" t="n"/>
      <c r="AL77" s="3" t="n"/>
      <c r="AM77" s="3" t="n"/>
      <c r="AN77" s="3" t="n"/>
      <c r="AO77" s="3" t="n"/>
    </row>
    <row r="78" ht="25" customHeight="1">
      <c r="A78" s="2">
        <f>"WF-"&amp;TEXT(ROW()-1,"0000")</f>
        <v/>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row>
    <row r="79" ht="25" customHeight="1">
      <c r="A79" s="3">
        <f>"WF-"&amp;TEXT(ROW()-1,"0000")</f>
        <v/>
      </c>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c r="AC79" s="3" t="n"/>
      <c r="AD79" s="3" t="n"/>
      <c r="AE79" s="3" t="n"/>
      <c r="AF79" s="3" t="n"/>
      <c r="AG79" s="3" t="n"/>
      <c r="AH79" s="3" t="n"/>
      <c r="AI79" s="3" t="n"/>
      <c r="AJ79" s="3" t="n"/>
      <c r="AK79" s="3" t="n"/>
      <c r="AL79" s="3" t="n"/>
      <c r="AM79" s="3" t="n"/>
      <c r="AN79" s="3" t="n"/>
      <c r="AO79" s="3" t="n"/>
    </row>
    <row r="80" ht="25" customHeight="1">
      <c r="A80" s="2">
        <f>"WF-"&amp;TEXT(ROW()-1,"0000")</f>
        <v/>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row>
    <row r="81" ht="25" customHeight="1">
      <c r="A81" s="3">
        <f>"WF-"&amp;TEXT(ROW()-1,"0000")</f>
        <v/>
      </c>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c r="AC81" s="3" t="n"/>
      <c r="AD81" s="3" t="n"/>
      <c r="AE81" s="3" t="n"/>
      <c r="AF81" s="3" t="n"/>
      <c r="AG81" s="3" t="n"/>
      <c r="AH81" s="3" t="n"/>
      <c r="AI81" s="3" t="n"/>
      <c r="AJ81" s="3" t="n"/>
      <c r="AK81" s="3" t="n"/>
      <c r="AL81" s="3" t="n"/>
      <c r="AM81" s="3" t="n"/>
      <c r="AN81" s="3" t="n"/>
      <c r="AO81" s="3" t="n"/>
    </row>
    <row r="82" ht="25" customHeight="1">
      <c r="A82" s="2">
        <f>"WF-"&amp;TEXT(ROW()-1,"0000")</f>
        <v/>
      </c>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row>
    <row r="83" ht="25" customHeight="1">
      <c r="A83" s="3">
        <f>"WF-"&amp;TEXT(ROW()-1,"0000")</f>
        <v/>
      </c>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c r="AD83" s="3" t="n"/>
      <c r="AE83" s="3" t="n"/>
      <c r="AF83" s="3" t="n"/>
      <c r="AG83" s="3" t="n"/>
      <c r="AH83" s="3" t="n"/>
      <c r="AI83" s="3" t="n"/>
      <c r="AJ83" s="3" t="n"/>
      <c r="AK83" s="3" t="n"/>
      <c r="AL83" s="3" t="n"/>
      <c r="AM83" s="3" t="n"/>
      <c r="AN83" s="3" t="n"/>
      <c r="AO83" s="3" t="n"/>
    </row>
    <row r="84" ht="25" customHeight="1">
      <c r="A84" s="2">
        <f>"WF-"&amp;TEXT(ROW()-1,"0000")</f>
        <v/>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row>
    <row r="85" ht="25" customHeight="1">
      <c r="A85" s="3">
        <f>"WF-"&amp;TEXT(ROW()-1,"0000")</f>
        <v/>
      </c>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c r="AC85" s="3" t="n"/>
      <c r="AD85" s="3" t="n"/>
      <c r="AE85" s="3" t="n"/>
      <c r="AF85" s="3" t="n"/>
      <c r="AG85" s="3" t="n"/>
      <c r="AH85" s="3" t="n"/>
      <c r="AI85" s="3" t="n"/>
      <c r="AJ85" s="3" t="n"/>
      <c r="AK85" s="3" t="n"/>
      <c r="AL85" s="3" t="n"/>
      <c r="AM85" s="3" t="n"/>
      <c r="AN85" s="3" t="n"/>
      <c r="AO85" s="3" t="n"/>
    </row>
    <row r="86" ht="25" customHeight="1">
      <c r="A86" s="2">
        <f>"WF-"&amp;TEXT(ROW()-1,"0000")</f>
        <v/>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row>
    <row r="87" ht="25" customHeight="1">
      <c r="A87" s="3">
        <f>"WF-"&amp;TEXT(ROW()-1,"0000")</f>
        <v/>
      </c>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c r="AC87" s="3" t="n"/>
      <c r="AD87" s="3" t="n"/>
      <c r="AE87" s="3" t="n"/>
      <c r="AF87" s="3" t="n"/>
      <c r="AG87" s="3" t="n"/>
      <c r="AH87" s="3" t="n"/>
      <c r="AI87" s="3" t="n"/>
      <c r="AJ87" s="3" t="n"/>
      <c r="AK87" s="3" t="n"/>
      <c r="AL87" s="3" t="n"/>
      <c r="AM87" s="3" t="n"/>
      <c r="AN87" s="3" t="n"/>
      <c r="AO87" s="3" t="n"/>
    </row>
    <row r="88" ht="25" customHeight="1">
      <c r="A88" s="2">
        <f>"WF-"&amp;TEXT(ROW()-1,"0000")</f>
        <v/>
      </c>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row>
    <row r="89" ht="25" customHeight="1">
      <c r="A89" s="3">
        <f>"WF-"&amp;TEXT(ROW()-1,"0000")</f>
        <v/>
      </c>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c r="AC89" s="3" t="n"/>
      <c r="AD89" s="3" t="n"/>
      <c r="AE89" s="3" t="n"/>
      <c r="AF89" s="3" t="n"/>
      <c r="AG89" s="3" t="n"/>
      <c r="AH89" s="3" t="n"/>
      <c r="AI89" s="3" t="n"/>
      <c r="AJ89" s="3" t="n"/>
      <c r="AK89" s="3" t="n"/>
      <c r="AL89" s="3" t="n"/>
      <c r="AM89" s="3" t="n"/>
      <c r="AN89" s="3" t="n"/>
      <c r="AO89" s="3" t="n"/>
    </row>
    <row r="90" ht="25" customHeight="1">
      <c r="A90" s="2">
        <f>"WF-"&amp;TEXT(ROW()-1,"0000")</f>
        <v/>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row>
    <row r="91" ht="25" customHeight="1">
      <c r="A91" s="3">
        <f>"WF-"&amp;TEXT(ROW()-1,"0000")</f>
        <v/>
      </c>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3" t="n"/>
      <c r="AL91" s="3" t="n"/>
      <c r="AM91" s="3" t="n"/>
      <c r="AN91" s="3" t="n"/>
      <c r="AO91" s="3" t="n"/>
    </row>
    <row r="92" ht="25" customHeight="1">
      <c r="A92" s="2">
        <f>"WF-"&amp;TEXT(ROW()-1,"0000")</f>
        <v/>
      </c>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row>
    <row r="93" ht="25" customHeight="1">
      <c r="A93" s="3">
        <f>"WF-"&amp;TEXT(ROW()-1,"0000")</f>
        <v/>
      </c>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3" t="n"/>
      <c r="AL93" s="3" t="n"/>
      <c r="AM93" s="3" t="n"/>
      <c r="AN93" s="3" t="n"/>
      <c r="AO93" s="3" t="n"/>
    </row>
    <row r="94" ht="25" customHeight="1">
      <c r="A94" s="2">
        <f>"WF-"&amp;TEXT(ROW()-1,"0000")</f>
        <v/>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row>
    <row r="95" ht="25" customHeight="1">
      <c r="A95" s="3">
        <f>"WF-"&amp;TEXT(ROW()-1,"0000")</f>
        <v/>
      </c>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c r="AD95" s="3" t="n"/>
      <c r="AE95" s="3" t="n"/>
      <c r="AF95" s="3" t="n"/>
      <c r="AG95" s="3" t="n"/>
      <c r="AH95" s="3" t="n"/>
      <c r="AI95" s="3" t="n"/>
      <c r="AJ95" s="3" t="n"/>
      <c r="AK95" s="3" t="n"/>
      <c r="AL95" s="3" t="n"/>
      <c r="AM95" s="3" t="n"/>
      <c r="AN95" s="3" t="n"/>
      <c r="AO95" s="3" t="n"/>
    </row>
    <row r="96" ht="25" customHeight="1">
      <c r="A96" s="2">
        <f>"WF-"&amp;TEXT(ROW()-1,"0000")</f>
        <v/>
      </c>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row>
    <row r="97" ht="25" customHeight="1">
      <c r="A97" s="3">
        <f>"WF-"&amp;TEXT(ROW()-1,"0000")</f>
        <v/>
      </c>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c r="AC97" s="3" t="n"/>
      <c r="AD97" s="3" t="n"/>
      <c r="AE97" s="3" t="n"/>
      <c r="AF97" s="3" t="n"/>
      <c r="AG97" s="3" t="n"/>
      <c r="AH97" s="3" t="n"/>
      <c r="AI97" s="3" t="n"/>
      <c r="AJ97" s="3" t="n"/>
      <c r="AK97" s="3" t="n"/>
      <c r="AL97" s="3" t="n"/>
      <c r="AM97" s="3" t="n"/>
      <c r="AN97" s="3" t="n"/>
      <c r="AO97" s="3" t="n"/>
    </row>
    <row r="98" ht="25" customHeight="1">
      <c r="A98" s="2">
        <f>"WF-"&amp;TEXT(ROW()-1,"0000")</f>
        <v/>
      </c>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row>
    <row r="99" ht="25" customHeight="1">
      <c r="A99" s="3">
        <f>"WF-"&amp;TEXT(ROW()-1,"0000")</f>
        <v/>
      </c>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c r="AC99" s="3" t="n"/>
      <c r="AD99" s="3" t="n"/>
      <c r="AE99" s="3" t="n"/>
      <c r="AF99" s="3" t="n"/>
      <c r="AG99" s="3" t="n"/>
      <c r="AH99" s="3" t="n"/>
      <c r="AI99" s="3" t="n"/>
      <c r="AJ99" s="3" t="n"/>
      <c r="AK99" s="3" t="n"/>
      <c r="AL99" s="3" t="n"/>
      <c r="AM99" s="3" t="n"/>
      <c r="AN99" s="3" t="n"/>
      <c r="AO99" s="3" t="n"/>
    </row>
    <row r="100" ht="25" customHeight="1">
      <c r="A100" s="2">
        <f>"WF-"&amp;TEXT(ROW()-1,"0000")</f>
        <v/>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row>
    <row r="101" ht="25" customHeight="1">
      <c r="A101" s="3">
        <f>"WF-"&amp;TEXT(ROW()-1,"0000")</f>
        <v/>
      </c>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3" t="n"/>
      <c r="AD101" s="3" t="n"/>
      <c r="AE101" s="3" t="n"/>
      <c r="AF101" s="3" t="n"/>
      <c r="AG101" s="3" t="n"/>
      <c r="AH101" s="3" t="n"/>
      <c r="AI101" s="3" t="n"/>
      <c r="AJ101" s="3" t="n"/>
      <c r="AK101" s="3" t="n"/>
      <c r="AL101" s="3" t="n"/>
      <c r="AM101" s="3" t="n"/>
      <c r="AN101" s="3" t="n"/>
      <c r="AO101" s="3" t="n"/>
    </row>
    <row r="102" ht="25" customHeight="1">
      <c r="A102" s="2">
        <f>"WF-"&amp;TEXT(ROW()-1,"0000")</f>
        <v/>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row>
    <row r="103" ht="25" customHeight="1">
      <c r="A103" s="3">
        <f>"WF-"&amp;TEXT(ROW()-1,"0000")</f>
        <v/>
      </c>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c r="AD103" s="3" t="n"/>
      <c r="AE103" s="3" t="n"/>
      <c r="AF103" s="3" t="n"/>
      <c r="AG103" s="3" t="n"/>
      <c r="AH103" s="3" t="n"/>
      <c r="AI103" s="3" t="n"/>
      <c r="AJ103" s="3" t="n"/>
      <c r="AK103" s="3" t="n"/>
      <c r="AL103" s="3" t="n"/>
      <c r="AM103" s="3" t="n"/>
      <c r="AN103" s="3" t="n"/>
      <c r="AO103" s="3" t="n"/>
    </row>
    <row r="104" ht="25" customHeight="1">
      <c r="A104" s="2">
        <f>"WF-"&amp;TEXT(ROW()-1,"0000")</f>
        <v/>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row>
    <row r="105" ht="25" customHeight="1">
      <c r="A105" s="3">
        <f>"WF-"&amp;TEXT(ROW()-1,"0000")</f>
        <v/>
      </c>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c r="AD105" s="3" t="n"/>
      <c r="AE105" s="3" t="n"/>
      <c r="AF105" s="3" t="n"/>
      <c r="AG105" s="3" t="n"/>
      <c r="AH105" s="3" t="n"/>
      <c r="AI105" s="3" t="n"/>
      <c r="AJ105" s="3" t="n"/>
      <c r="AK105" s="3" t="n"/>
      <c r="AL105" s="3" t="n"/>
      <c r="AM105" s="3" t="n"/>
      <c r="AN105" s="3" t="n"/>
      <c r="AO105" s="3" t="n"/>
    </row>
    <row r="106" ht="25" customHeight="1">
      <c r="A106" s="2">
        <f>"WF-"&amp;TEXT(ROW()-1,"0000")</f>
        <v/>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row>
    <row r="107" ht="25" customHeight="1">
      <c r="A107" s="3">
        <f>"WF-"&amp;TEXT(ROW()-1,"0000")</f>
        <v/>
      </c>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3" t="n"/>
      <c r="AL107" s="3" t="n"/>
      <c r="AM107" s="3" t="n"/>
      <c r="AN107" s="3" t="n"/>
      <c r="AO107" s="3" t="n"/>
    </row>
    <row r="108" ht="25" customHeight="1">
      <c r="A108" s="2">
        <f>"WF-"&amp;TEXT(ROW()-1,"0000")</f>
        <v/>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row>
    <row r="109" ht="25" customHeight="1">
      <c r="A109" s="3">
        <f>"WF-"&amp;TEXT(ROW()-1,"0000")</f>
        <v/>
      </c>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3" t="n"/>
      <c r="AL109" s="3" t="n"/>
      <c r="AM109" s="3" t="n"/>
      <c r="AN109" s="3" t="n"/>
      <c r="AO109" s="3" t="n"/>
    </row>
    <row r="110" ht="25" customHeight="1">
      <c r="A110" s="2">
        <f>"WF-"&amp;TEXT(ROW()-1,"0000")</f>
        <v/>
      </c>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row>
    <row r="111" ht="25" customHeight="1">
      <c r="A111" s="3">
        <f>"WF-"&amp;TEXT(ROW()-1,"0000")</f>
        <v/>
      </c>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3" t="n"/>
      <c r="AL111" s="3" t="n"/>
      <c r="AM111" s="3" t="n"/>
      <c r="AN111" s="3" t="n"/>
      <c r="AO111" s="3" t="n"/>
    </row>
    <row r="112" ht="25" customHeight="1">
      <c r="A112" s="2">
        <f>"WF-"&amp;TEXT(ROW()-1,"0000")</f>
        <v/>
      </c>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row>
    <row r="113" ht="25" customHeight="1">
      <c r="A113" s="3">
        <f>"WF-"&amp;TEXT(ROW()-1,"0000")</f>
        <v/>
      </c>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3" t="n"/>
      <c r="AL113" s="3" t="n"/>
      <c r="AM113" s="3" t="n"/>
      <c r="AN113" s="3" t="n"/>
      <c r="AO113" s="3" t="n"/>
    </row>
    <row r="114" ht="25" customHeight="1">
      <c r="A114" s="2">
        <f>"WF-"&amp;TEXT(ROW()-1,"0000")</f>
        <v/>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row>
    <row r="115" ht="25" customHeight="1">
      <c r="A115" s="3">
        <f>"WF-"&amp;TEXT(ROW()-1,"0000")</f>
        <v/>
      </c>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3" t="n"/>
      <c r="AL115" s="3" t="n"/>
      <c r="AM115" s="3" t="n"/>
      <c r="AN115" s="3" t="n"/>
      <c r="AO115" s="3" t="n"/>
    </row>
    <row r="116" ht="25" customHeight="1">
      <c r="A116" s="2">
        <f>"WF-"&amp;TEXT(ROW()-1,"0000")</f>
        <v/>
      </c>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row>
    <row r="117" ht="25" customHeight="1">
      <c r="A117" s="3">
        <f>"WF-"&amp;TEXT(ROW()-1,"0000")</f>
        <v/>
      </c>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3" t="n"/>
      <c r="AL117" s="3" t="n"/>
      <c r="AM117" s="3" t="n"/>
      <c r="AN117" s="3" t="n"/>
      <c r="AO117" s="3" t="n"/>
    </row>
    <row r="118" ht="25" customHeight="1">
      <c r="A118" s="2">
        <f>"WF-"&amp;TEXT(ROW()-1,"0000")</f>
        <v/>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row>
    <row r="119" ht="25" customHeight="1">
      <c r="A119" s="3">
        <f>"WF-"&amp;TEXT(ROW()-1,"0000")</f>
        <v/>
      </c>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3" t="n"/>
      <c r="AL119" s="3" t="n"/>
      <c r="AM119" s="3" t="n"/>
      <c r="AN119" s="3" t="n"/>
      <c r="AO119" s="3" t="n"/>
    </row>
    <row r="120" ht="25" customHeight="1">
      <c r="A120" s="2">
        <f>"WF-"&amp;TEXT(ROW()-1,"0000")</f>
        <v/>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row>
    <row r="121" ht="25" customHeight="1">
      <c r="A121" s="3">
        <f>"WF-"&amp;TEXT(ROW()-1,"0000")</f>
        <v/>
      </c>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3" t="n"/>
      <c r="AL121" s="3" t="n"/>
      <c r="AM121" s="3" t="n"/>
      <c r="AN121" s="3" t="n"/>
      <c r="AO121" s="3" t="n"/>
    </row>
    <row r="122" ht="25" customHeight="1">
      <c r="A122" s="2">
        <f>"WF-"&amp;TEXT(ROW()-1,"0000")</f>
        <v/>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row>
    <row r="123" ht="25" customHeight="1">
      <c r="A123" s="3">
        <f>"WF-"&amp;TEXT(ROW()-1,"0000")</f>
        <v/>
      </c>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3" t="n"/>
      <c r="AL123" s="3" t="n"/>
      <c r="AM123" s="3" t="n"/>
      <c r="AN123" s="3" t="n"/>
      <c r="AO123" s="3" t="n"/>
    </row>
    <row r="124" ht="25" customHeight="1">
      <c r="A124" s="2">
        <f>"WF-"&amp;TEXT(ROW()-1,"0000")</f>
        <v/>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row>
    <row r="125" ht="25" customHeight="1">
      <c r="A125" s="3">
        <f>"WF-"&amp;TEXT(ROW()-1,"0000")</f>
        <v/>
      </c>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3" t="n"/>
      <c r="AL125" s="3" t="n"/>
      <c r="AM125" s="3" t="n"/>
      <c r="AN125" s="3" t="n"/>
      <c r="AO125" s="3" t="n"/>
    </row>
    <row r="126" ht="25" customHeight="1">
      <c r="A126" s="2">
        <f>"WF-"&amp;TEXT(ROW()-1,"0000")</f>
        <v/>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row>
    <row r="127" ht="25" customHeight="1">
      <c r="A127" s="3">
        <f>"WF-"&amp;TEXT(ROW()-1,"0000")</f>
        <v/>
      </c>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3" t="n"/>
      <c r="AL127" s="3" t="n"/>
      <c r="AM127" s="3" t="n"/>
      <c r="AN127" s="3" t="n"/>
      <c r="AO127" s="3" t="n"/>
    </row>
    <row r="128" ht="25" customHeight="1">
      <c r="A128" s="2">
        <f>"WF-"&amp;TEXT(ROW()-1,"0000")</f>
        <v/>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row>
    <row r="129" ht="25" customHeight="1">
      <c r="A129" s="3">
        <f>"WF-"&amp;TEXT(ROW()-1,"0000")</f>
        <v/>
      </c>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3" t="n"/>
      <c r="AL129" s="3" t="n"/>
      <c r="AM129" s="3" t="n"/>
      <c r="AN129" s="3" t="n"/>
      <c r="AO129" s="3" t="n"/>
    </row>
    <row r="130" ht="25" customHeight="1">
      <c r="A130" s="2">
        <f>"WF-"&amp;TEXT(ROW()-1,"0000")</f>
        <v/>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row>
    <row r="131" ht="25" customHeight="1">
      <c r="A131" s="3">
        <f>"WF-"&amp;TEXT(ROW()-1,"0000")</f>
        <v/>
      </c>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3" t="n"/>
      <c r="AL131" s="3" t="n"/>
      <c r="AM131" s="3" t="n"/>
      <c r="AN131" s="3" t="n"/>
      <c r="AO131" s="3" t="n"/>
    </row>
    <row r="132" ht="25" customHeight="1">
      <c r="A132" s="2">
        <f>"WF-"&amp;TEXT(ROW()-1,"0000")</f>
        <v/>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row>
    <row r="133" ht="25" customHeight="1">
      <c r="A133" s="3">
        <f>"WF-"&amp;TEXT(ROW()-1,"0000")</f>
        <v/>
      </c>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3" t="n"/>
      <c r="AL133" s="3" t="n"/>
      <c r="AM133" s="3" t="n"/>
      <c r="AN133" s="3" t="n"/>
      <c r="AO133" s="3" t="n"/>
    </row>
    <row r="134" ht="25" customHeight="1">
      <c r="A134" s="2">
        <f>"WF-"&amp;TEXT(ROW()-1,"0000")</f>
        <v/>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row>
    <row r="135" ht="25" customHeight="1">
      <c r="A135" s="3">
        <f>"WF-"&amp;TEXT(ROW()-1,"0000")</f>
        <v/>
      </c>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3" t="n"/>
      <c r="AL135" s="3" t="n"/>
      <c r="AM135" s="3" t="n"/>
      <c r="AN135" s="3" t="n"/>
      <c r="AO135" s="3" t="n"/>
    </row>
    <row r="136" ht="25" customHeight="1">
      <c r="A136" s="2">
        <f>"WF-"&amp;TEXT(ROW()-1,"0000")</f>
        <v/>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row>
    <row r="137" ht="25" customHeight="1">
      <c r="A137" s="3">
        <f>"WF-"&amp;TEXT(ROW()-1,"0000")</f>
        <v/>
      </c>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3" t="n"/>
      <c r="AL137" s="3" t="n"/>
      <c r="AM137" s="3" t="n"/>
      <c r="AN137" s="3" t="n"/>
      <c r="AO137" s="3" t="n"/>
    </row>
    <row r="138" ht="25" customHeight="1">
      <c r="A138" s="2">
        <f>"WF-"&amp;TEXT(ROW()-1,"0000")</f>
        <v/>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row>
    <row r="139" ht="25" customHeight="1">
      <c r="A139" s="3">
        <f>"WF-"&amp;TEXT(ROW()-1,"0000")</f>
        <v/>
      </c>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3" t="n"/>
      <c r="AL139" s="3" t="n"/>
      <c r="AM139" s="3" t="n"/>
      <c r="AN139" s="3" t="n"/>
      <c r="AO139" s="3" t="n"/>
    </row>
    <row r="140" ht="25" customHeight="1">
      <c r="A140" s="2">
        <f>"WF-"&amp;TEXT(ROW()-1,"0000")</f>
        <v/>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row>
    <row r="141" ht="25" customHeight="1">
      <c r="A141" s="3">
        <f>"WF-"&amp;TEXT(ROW()-1,"0000")</f>
        <v/>
      </c>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3" t="n"/>
      <c r="AL141" s="3" t="n"/>
      <c r="AM141" s="3" t="n"/>
      <c r="AN141" s="3" t="n"/>
      <c r="AO141" s="3" t="n"/>
    </row>
    <row r="142" ht="25" customHeight="1">
      <c r="A142" s="2">
        <f>"WF-"&amp;TEXT(ROW()-1,"0000")</f>
        <v/>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row>
    <row r="143" ht="25" customHeight="1">
      <c r="A143" s="3">
        <f>"WF-"&amp;TEXT(ROW()-1,"0000")</f>
        <v/>
      </c>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3" t="n"/>
      <c r="AL143" s="3" t="n"/>
      <c r="AM143" s="3" t="n"/>
      <c r="AN143" s="3" t="n"/>
      <c r="AO143" s="3" t="n"/>
    </row>
    <row r="144" ht="25" customHeight="1">
      <c r="A144" s="2">
        <f>"WF-"&amp;TEXT(ROW()-1,"0000")</f>
        <v/>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row>
    <row r="145" ht="25" customHeight="1">
      <c r="A145" s="3">
        <f>"WF-"&amp;TEXT(ROW()-1,"0000")</f>
        <v/>
      </c>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3" t="n"/>
      <c r="AL145" s="3" t="n"/>
      <c r="AM145" s="3" t="n"/>
      <c r="AN145" s="3" t="n"/>
      <c r="AO145" s="3" t="n"/>
    </row>
    <row r="146" ht="25" customHeight="1">
      <c r="A146" s="2">
        <f>"WF-"&amp;TEXT(ROW()-1,"0000")</f>
        <v/>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row>
    <row r="147" ht="25" customHeight="1">
      <c r="A147" s="3">
        <f>"WF-"&amp;TEXT(ROW()-1,"0000")</f>
        <v/>
      </c>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3" t="n"/>
      <c r="AL147" s="3" t="n"/>
      <c r="AM147" s="3" t="n"/>
      <c r="AN147" s="3" t="n"/>
      <c r="AO147" s="3" t="n"/>
    </row>
    <row r="148" ht="25" customHeight="1">
      <c r="A148" s="2">
        <f>"WF-"&amp;TEXT(ROW()-1,"0000")</f>
        <v/>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row>
    <row r="149" ht="25" customHeight="1">
      <c r="A149" s="3">
        <f>"WF-"&amp;TEXT(ROW()-1,"0000")</f>
        <v/>
      </c>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3" t="n"/>
      <c r="AL149" s="3" t="n"/>
      <c r="AM149" s="3" t="n"/>
      <c r="AN149" s="3" t="n"/>
      <c r="AO149" s="3" t="n"/>
    </row>
    <row r="150" ht="25" customHeight="1">
      <c r="A150" s="2">
        <f>"WF-"&amp;TEXT(ROW()-1,"0000")</f>
        <v/>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row>
    <row r="151" ht="25" customHeight="1">
      <c r="A151" s="3">
        <f>"WF-"&amp;TEXT(ROW()-1,"0000")</f>
        <v/>
      </c>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3" t="n"/>
      <c r="AL151" s="3" t="n"/>
      <c r="AM151" s="3" t="n"/>
      <c r="AN151" s="3" t="n"/>
      <c r="AO151" s="3" t="n"/>
    </row>
    <row r="152" ht="25" customHeight="1">
      <c r="A152" s="2">
        <f>"WF-"&amp;TEXT(ROW()-1,"0000")</f>
        <v/>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row>
    <row r="153" ht="25" customHeight="1">
      <c r="A153" s="3">
        <f>"WF-"&amp;TEXT(ROW()-1,"0000")</f>
        <v/>
      </c>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3" t="n"/>
      <c r="AL153" s="3" t="n"/>
      <c r="AM153" s="3" t="n"/>
      <c r="AN153" s="3" t="n"/>
      <c r="AO153" s="3" t="n"/>
    </row>
    <row r="154" ht="25" customHeight="1">
      <c r="A154" s="2">
        <f>"WF-"&amp;TEXT(ROW()-1,"0000")</f>
        <v/>
      </c>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row>
    <row r="155" ht="25" customHeight="1">
      <c r="A155" s="3">
        <f>"WF-"&amp;TEXT(ROW()-1,"0000")</f>
        <v/>
      </c>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3" t="n"/>
      <c r="AL155" s="3" t="n"/>
      <c r="AM155" s="3" t="n"/>
      <c r="AN155" s="3" t="n"/>
      <c r="AO155" s="3" t="n"/>
    </row>
    <row r="156" ht="25" customHeight="1">
      <c r="A156" s="2">
        <f>"WF-"&amp;TEXT(ROW()-1,"0000")</f>
        <v/>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row>
    <row r="157" ht="25" customHeight="1">
      <c r="A157" s="3">
        <f>"WF-"&amp;TEXT(ROW()-1,"0000")</f>
        <v/>
      </c>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3" t="n"/>
      <c r="AL157" s="3" t="n"/>
      <c r="AM157" s="3" t="n"/>
      <c r="AN157" s="3" t="n"/>
      <c r="AO157" s="3" t="n"/>
    </row>
    <row r="158" ht="25" customHeight="1">
      <c r="A158" s="2">
        <f>"WF-"&amp;TEXT(ROW()-1,"0000")</f>
        <v/>
      </c>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row>
    <row r="159" ht="25" customHeight="1">
      <c r="A159" s="3">
        <f>"WF-"&amp;TEXT(ROW()-1,"0000")</f>
        <v/>
      </c>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3" t="n"/>
      <c r="AL159" s="3" t="n"/>
      <c r="AM159" s="3" t="n"/>
      <c r="AN159" s="3" t="n"/>
      <c r="AO159" s="3" t="n"/>
    </row>
    <row r="160" ht="25" customHeight="1">
      <c r="A160" s="2">
        <f>"WF-"&amp;TEXT(ROW()-1,"0000")</f>
        <v/>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row>
    <row r="161" ht="25" customHeight="1">
      <c r="A161" s="3">
        <f>"WF-"&amp;TEXT(ROW()-1,"0000")</f>
        <v/>
      </c>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3" t="n"/>
      <c r="AL161" s="3" t="n"/>
      <c r="AM161" s="3" t="n"/>
      <c r="AN161" s="3" t="n"/>
      <c r="AO161" s="3" t="n"/>
    </row>
    <row r="162" ht="25" customHeight="1">
      <c r="A162" s="2">
        <f>"WF-"&amp;TEXT(ROW()-1,"0000")</f>
        <v/>
      </c>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row>
    <row r="163" ht="25" customHeight="1">
      <c r="A163" s="3">
        <f>"WF-"&amp;TEXT(ROW()-1,"0000")</f>
        <v/>
      </c>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3" t="n"/>
      <c r="AL163" s="3" t="n"/>
      <c r="AM163" s="3" t="n"/>
      <c r="AN163" s="3" t="n"/>
      <c r="AO163" s="3" t="n"/>
    </row>
    <row r="164" ht="25" customHeight="1">
      <c r="A164" s="2">
        <f>"WF-"&amp;TEXT(ROW()-1,"0000")</f>
        <v/>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row>
    <row r="165" ht="25" customHeight="1">
      <c r="A165" s="3">
        <f>"WF-"&amp;TEXT(ROW()-1,"0000")</f>
        <v/>
      </c>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3" t="n"/>
      <c r="AL165" s="3" t="n"/>
      <c r="AM165" s="3" t="n"/>
      <c r="AN165" s="3" t="n"/>
      <c r="AO165" s="3" t="n"/>
    </row>
    <row r="166" ht="25" customHeight="1">
      <c r="A166" s="2">
        <f>"WF-"&amp;TEXT(ROW()-1,"0000")</f>
        <v/>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row>
    <row r="167" ht="25" customHeight="1">
      <c r="A167" s="3">
        <f>"WF-"&amp;TEXT(ROW()-1,"0000")</f>
        <v/>
      </c>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3" t="n"/>
      <c r="AL167" s="3" t="n"/>
      <c r="AM167" s="3" t="n"/>
      <c r="AN167" s="3" t="n"/>
      <c r="AO167" s="3" t="n"/>
    </row>
    <row r="168" ht="25" customHeight="1">
      <c r="A168" s="2">
        <f>"WF-"&amp;TEXT(ROW()-1,"0000")</f>
        <v/>
      </c>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row>
    <row r="169" ht="25" customHeight="1">
      <c r="A169" s="3">
        <f>"WF-"&amp;TEXT(ROW()-1,"0000")</f>
        <v/>
      </c>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3" t="n"/>
      <c r="AL169" s="3" t="n"/>
      <c r="AM169" s="3" t="n"/>
      <c r="AN169" s="3" t="n"/>
      <c r="AO169" s="3" t="n"/>
    </row>
    <row r="170" ht="25" customHeight="1">
      <c r="A170" s="2">
        <f>"WF-"&amp;TEXT(ROW()-1,"0000")</f>
        <v/>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row>
    <row r="171" ht="25" customHeight="1">
      <c r="A171" s="3">
        <f>"WF-"&amp;TEXT(ROW()-1,"0000")</f>
        <v/>
      </c>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3" t="n"/>
      <c r="AL171" s="3" t="n"/>
      <c r="AM171" s="3" t="n"/>
      <c r="AN171" s="3" t="n"/>
      <c r="AO171" s="3" t="n"/>
    </row>
    <row r="172" ht="25" customHeight="1">
      <c r="A172" s="2">
        <f>"WF-"&amp;TEXT(ROW()-1,"0000")</f>
        <v/>
      </c>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row>
    <row r="173" ht="25" customHeight="1">
      <c r="A173" s="3">
        <f>"WF-"&amp;TEXT(ROW()-1,"0000")</f>
        <v/>
      </c>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3" t="n"/>
      <c r="AL173" s="3" t="n"/>
      <c r="AM173" s="3" t="n"/>
      <c r="AN173" s="3" t="n"/>
      <c r="AO173" s="3" t="n"/>
    </row>
    <row r="174" ht="25" customHeight="1">
      <c r="A174" s="2">
        <f>"WF-"&amp;TEXT(ROW()-1,"0000")</f>
        <v/>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row>
    <row r="175" ht="25" customHeight="1">
      <c r="A175" s="3">
        <f>"WF-"&amp;TEXT(ROW()-1,"0000")</f>
        <v/>
      </c>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3" t="n"/>
      <c r="AL175" s="3" t="n"/>
      <c r="AM175" s="3" t="n"/>
      <c r="AN175" s="3" t="n"/>
      <c r="AO175" s="3" t="n"/>
    </row>
    <row r="176" ht="25" customHeight="1">
      <c r="A176" s="2">
        <f>"WF-"&amp;TEXT(ROW()-1,"0000")</f>
        <v/>
      </c>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row>
    <row r="177" ht="25" customHeight="1">
      <c r="A177" s="3">
        <f>"WF-"&amp;TEXT(ROW()-1,"0000")</f>
        <v/>
      </c>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c r="AC177" s="3" t="n"/>
      <c r="AD177" s="3" t="n"/>
      <c r="AE177" s="3" t="n"/>
      <c r="AF177" s="3" t="n"/>
      <c r="AG177" s="3" t="n"/>
      <c r="AH177" s="3" t="n"/>
      <c r="AI177" s="3" t="n"/>
      <c r="AJ177" s="3" t="n"/>
      <c r="AK177" s="3" t="n"/>
      <c r="AL177" s="3" t="n"/>
      <c r="AM177" s="3" t="n"/>
      <c r="AN177" s="3" t="n"/>
      <c r="AO177" s="3" t="n"/>
    </row>
    <row r="178" ht="25" customHeight="1">
      <c r="A178" s="2">
        <f>"WF-"&amp;TEXT(ROW()-1,"0000")</f>
        <v/>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row>
    <row r="179" ht="25" customHeight="1">
      <c r="A179" s="3">
        <f>"WF-"&amp;TEXT(ROW()-1,"0000")</f>
        <v/>
      </c>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c r="AD179" s="3" t="n"/>
      <c r="AE179" s="3" t="n"/>
      <c r="AF179" s="3" t="n"/>
      <c r="AG179" s="3" t="n"/>
      <c r="AH179" s="3" t="n"/>
      <c r="AI179" s="3" t="n"/>
      <c r="AJ179" s="3" t="n"/>
      <c r="AK179" s="3" t="n"/>
      <c r="AL179" s="3" t="n"/>
      <c r="AM179" s="3" t="n"/>
      <c r="AN179" s="3" t="n"/>
      <c r="AO179" s="3" t="n"/>
    </row>
    <row r="180" ht="25" customHeight="1">
      <c r="A180" s="2">
        <f>"WF-"&amp;TEXT(ROW()-1,"0000")</f>
        <v/>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row>
    <row r="181" ht="25" customHeight="1">
      <c r="A181" s="3">
        <f>"WF-"&amp;TEXT(ROW()-1,"0000")</f>
        <v/>
      </c>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c r="AC181" s="3" t="n"/>
      <c r="AD181" s="3" t="n"/>
      <c r="AE181" s="3" t="n"/>
      <c r="AF181" s="3" t="n"/>
      <c r="AG181" s="3" t="n"/>
      <c r="AH181" s="3" t="n"/>
      <c r="AI181" s="3" t="n"/>
      <c r="AJ181" s="3" t="n"/>
      <c r="AK181" s="3" t="n"/>
      <c r="AL181" s="3" t="n"/>
      <c r="AM181" s="3" t="n"/>
      <c r="AN181" s="3" t="n"/>
      <c r="AO181" s="3" t="n"/>
    </row>
    <row r="182" ht="25" customHeight="1">
      <c r="A182" s="2">
        <f>"WF-"&amp;TEXT(ROW()-1,"0000")</f>
        <v/>
      </c>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row>
    <row r="183" ht="25" customHeight="1">
      <c r="A183" s="3">
        <f>"WF-"&amp;TEXT(ROW()-1,"0000")</f>
        <v/>
      </c>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3" t="n"/>
      <c r="AL183" s="3" t="n"/>
      <c r="AM183" s="3" t="n"/>
      <c r="AN183" s="3" t="n"/>
      <c r="AO183" s="3" t="n"/>
    </row>
    <row r="184" ht="25" customHeight="1">
      <c r="A184" s="2">
        <f>"WF-"&amp;TEXT(ROW()-1,"0000")</f>
        <v/>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row>
    <row r="185" ht="25" customHeight="1">
      <c r="A185" s="3">
        <f>"WF-"&amp;TEXT(ROW()-1,"0000")</f>
        <v/>
      </c>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c r="AC185" s="3" t="n"/>
      <c r="AD185" s="3" t="n"/>
      <c r="AE185" s="3" t="n"/>
      <c r="AF185" s="3" t="n"/>
      <c r="AG185" s="3" t="n"/>
      <c r="AH185" s="3" t="n"/>
      <c r="AI185" s="3" t="n"/>
      <c r="AJ185" s="3" t="n"/>
      <c r="AK185" s="3" t="n"/>
      <c r="AL185" s="3" t="n"/>
      <c r="AM185" s="3" t="n"/>
      <c r="AN185" s="3" t="n"/>
      <c r="AO185" s="3" t="n"/>
    </row>
    <row r="186" ht="25" customHeight="1">
      <c r="A186" s="2">
        <f>"WF-"&amp;TEXT(ROW()-1,"0000")</f>
        <v/>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row>
    <row r="187" ht="25" customHeight="1">
      <c r="A187" s="3">
        <f>"WF-"&amp;TEXT(ROW()-1,"0000")</f>
        <v/>
      </c>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c r="AC187" s="3" t="n"/>
      <c r="AD187" s="3" t="n"/>
      <c r="AE187" s="3" t="n"/>
      <c r="AF187" s="3" t="n"/>
      <c r="AG187" s="3" t="n"/>
      <c r="AH187" s="3" t="n"/>
      <c r="AI187" s="3" t="n"/>
      <c r="AJ187" s="3" t="n"/>
      <c r="AK187" s="3" t="n"/>
      <c r="AL187" s="3" t="n"/>
      <c r="AM187" s="3" t="n"/>
      <c r="AN187" s="3" t="n"/>
      <c r="AO187" s="3" t="n"/>
    </row>
    <row r="188" ht="25" customHeight="1">
      <c r="A188" s="2">
        <f>"WF-"&amp;TEXT(ROW()-1,"0000")</f>
        <v/>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row>
    <row r="189" ht="25" customHeight="1">
      <c r="A189" s="3">
        <f>"WF-"&amp;TEXT(ROW()-1,"0000")</f>
        <v/>
      </c>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3" t="n"/>
      <c r="AL189" s="3" t="n"/>
      <c r="AM189" s="3" t="n"/>
      <c r="AN189" s="3" t="n"/>
      <c r="AO189" s="3" t="n"/>
    </row>
    <row r="190" ht="25" customHeight="1">
      <c r="A190" s="2">
        <f>"WF-"&amp;TEXT(ROW()-1,"0000")</f>
        <v/>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row>
    <row r="191" ht="25" customHeight="1">
      <c r="A191" s="3">
        <f>"WF-"&amp;TEXT(ROW()-1,"0000")</f>
        <v/>
      </c>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c r="AC191" s="3" t="n"/>
      <c r="AD191" s="3" t="n"/>
      <c r="AE191" s="3" t="n"/>
      <c r="AF191" s="3" t="n"/>
      <c r="AG191" s="3" t="n"/>
      <c r="AH191" s="3" t="n"/>
      <c r="AI191" s="3" t="n"/>
      <c r="AJ191" s="3" t="n"/>
      <c r="AK191" s="3" t="n"/>
      <c r="AL191" s="3" t="n"/>
      <c r="AM191" s="3" t="n"/>
      <c r="AN191" s="3" t="n"/>
      <c r="AO191" s="3" t="n"/>
    </row>
    <row r="192" ht="25" customHeight="1">
      <c r="A192" s="2">
        <f>"WF-"&amp;TEXT(ROW()-1,"0000")</f>
        <v/>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row>
    <row r="193" ht="25" customHeight="1">
      <c r="A193" s="3">
        <f>"WF-"&amp;TEXT(ROW()-1,"0000")</f>
        <v/>
      </c>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c r="AC193" s="3" t="n"/>
      <c r="AD193" s="3" t="n"/>
      <c r="AE193" s="3" t="n"/>
      <c r="AF193" s="3" t="n"/>
      <c r="AG193" s="3" t="n"/>
      <c r="AH193" s="3" t="n"/>
      <c r="AI193" s="3" t="n"/>
      <c r="AJ193" s="3" t="n"/>
      <c r="AK193" s="3" t="n"/>
      <c r="AL193" s="3" t="n"/>
      <c r="AM193" s="3" t="n"/>
      <c r="AN193" s="3" t="n"/>
      <c r="AO193" s="3" t="n"/>
    </row>
    <row r="194" ht="25" customHeight="1">
      <c r="A194" s="2">
        <f>"WF-"&amp;TEXT(ROW()-1,"0000")</f>
        <v/>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row>
    <row r="195" ht="25" customHeight="1">
      <c r="A195" s="3">
        <f>"WF-"&amp;TEXT(ROW()-1,"0000")</f>
        <v/>
      </c>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c r="AD195" s="3" t="n"/>
      <c r="AE195" s="3" t="n"/>
      <c r="AF195" s="3" t="n"/>
      <c r="AG195" s="3" t="n"/>
      <c r="AH195" s="3" t="n"/>
      <c r="AI195" s="3" t="n"/>
      <c r="AJ195" s="3" t="n"/>
      <c r="AK195" s="3" t="n"/>
      <c r="AL195" s="3" t="n"/>
      <c r="AM195" s="3" t="n"/>
      <c r="AN195" s="3" t="n"/>
      <c r="AO195" s="3" t="n"/>
    </row>
    <row r="196" ht="25" customHeight="1">
      <c r="A196" s="2">
        <f>"WF-"&amp;TEXT(ROW()-1,"0000")</f>
        <v/>
      </c>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row>
    <row r="197" ht="25" customHeight="1">
      <c r="A197" s="3">
        <f>"WF-"&amp;TEXT(ROW()-1,"0000")</f>
        <v/>
      </c>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c r="AD197" s="3" t="n"/>
      <c r="AE197" s="3" t="n"/>
      <c r="AF197" s="3" t="n"/>
      <c r="AG197" s="3" t="n"/>
      <c r="AH197" s="3" t="n"/>
      <c r="AI197" s="3" t="n"/>
      <c r="AJ197" s="3" t="n"/>
      <c r="AK197" s="3" t="n"/>
      <c r="AL197" s="3" t="n"/>
      <c r="AM197" s="3" t="n"/>
      <c r="AN197" s="3" t="n"/>
      <c r="AO197" s="3" t="n"/>
    </row>
    <row r="198" ht="25" customHeight="1">
      <c r="A198" s="2">
        <f>"WF-"&amp;TEXT(ROW()-1,"0000")</f>
        <v/>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row>
    <row r="199" ht="25" customHeight="1">
      <c r="A199" s="3">
        <f>"WF-"&amp;TEXT(ROW()-1,"0000")</f>
        <v/>
      </c>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c r="AC199" s="3" t="n"/>
      <c r="AD199" s="3" t="n"/>
      <c r="AE199" s="3" t="n"/>
      <c r="AF199" s="3" t="n"/>
      <c r="AG199" s="3" t="n"/>
      <c r="AH199" s="3" t="n"/>
      <c r="AI199" s="3" t="n"/>
      <c r="AJ199" s="3" t="n"/>
      <c r="AK199" s="3" t="n"/>
      <c r="AL199" s="3" t="n"/>
      <c r="AM199" s="3" t="n"/>
      <c r="AN199" s="3" t="n"/>
      <c r="AO199" s="3" t="n"/>
    </row>
    <row r="200" ht="25" customHeight="1">
      <c r="A200" s="2">
        <f>"WF-"&amp;TEXT(ROW()-1,"0000")</f>
        <v/>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row>
    <row r="201" ht="25" customHeight="1">
      <c r="A201" s="3">
        <f>"WF-"&amp;TEXT(ROW()-1,"0000")</f>
        <v/>
      </c>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c r="AD201" s="3" t="n"/>
      <c r="AE201" s="3" t="n"/>
      <c r="AF201" s="3" t="n"/>
      <c r="AG201" s="3" t="n"/>
      <c r="AH201" s="3" t="n"/>
      <c r="AI201" s="3" t="n"/>
      <c r="AJ201" s="3" t="n"/>
      <c r="AK201" s="3" t="n"/>
      <c r="AL201" s="3" t="n"/>
      <c r="AM201" s="3" t="n"/>
      <c r="AN201" s="3" t="n"/>
      <c r="AO201" s="3" t="n"/>
    </row>
    <row r="202" ht="25" customHeight="1">
      <c r="A202" s="2">
        <f>"WF-"&amp;TEXT(ROW()-1,"0000")</f>
        <v/>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row>
    <row r="203" ht="25" customHeight="1">
      <c r="A203" s="3">
        <f>"WF-"&amp;TEXT(ROW()-1,"0000")</f>
        <v/>
      </c>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c r="AD203" s="3" t="n"/>
      <c r="AE203" s="3" t="n"/>
      <c r="AF203" s="3" t="n"/>
      <c r="AG203" s="3" t="n"/>
      <c r="AH203" s="3" t="n"/>
      <c r="AI203" s="3" t="n"/>
      <c r="AJ203" s="3" t="n"/>
      <c r="AK203" s="3" t="n"/>
      <c r="AL203" s="3" t="n"/>
      <c r="AM203" s="3" t="n"/>
      <c r="AN203" s="3" t="n"/>
      <c r="AO203" s="3" t="n"/>
    </row>
    <row r="204" ht="25" customHeight="1">
      <c r="A204" s="2">
        <f>"WF-"&amp;TEXT(ROW()-1,"0000")</f>
        <v/>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row>
    <row r="205" ht="25" customHeight="1">
      <c r="A205" s="3">
        <f>"WF-"&amp;TEXT(ROW()-1,"0000")</f>
        <v/>
      </c>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c r="AD205" s="3" t="n"/>
      <c r="AE205" s="3" t="n"/>
      <c r="AF205" s="3" t="n"/>
      <c r="AG205" s="3" t="n"/>
      <c r="AH205" s="3" t="n"/>
      <c r="AI205" s="3" t="n"/>
      <c r="AJ205" s="3" t="n"/>
      <c r="AK205" s="3" t="n"/>
      <c r="AL205" s="3" t="n"/>
      <c r="AM205" s="3" t="n"/>
      <c r="AN205" s="3" t="n"/>
      <c r="AO205" s="3" t="n"/>
    </row>
    <row r="206" ht="25" customHeight="1">
      <c r="A206" s="2">
        <f>"WF-"&amp;TEXT(ROW()-1,"0000")</f>
        <v/>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row>
    <row r="207" ht="25" customHeight="1">
      <c r="A207" s="3">
        <f>"WF-"&amp;TEXT(ROW()-1,"0000")</f>
        <v/>
      </c>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3" t="n"/>
      <c r="AD207" s="3" t="n"/>
      <c r="AE207" s="3" t="n"/>
      <c r="AF207" s="3" t="n"/>
      <c r="AG207" s="3" t="n"/>
      <c r="AH207" s="3" t="n"/>
      <c r="AI207" s="3" t="n"/>
      <c r="AJ207" s="3" t="n"/>
      <c r="AK207" s="3" t="n"/>
      <c r="AL207" s="3" t="n"/>
      <c r="AM207" s="3" t="n"/>
      <c r="AN207" s="3" t="n"/>
      <c r="AO207" s="3" t="n"/>
    </row>
    <row r="208" ht="25" customHeight="1">
      <c r="A208" s="2">
        <f>"WF-"&amp;TEXT(ROW()-1,"0000")</f>
        <v/>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row>
    <row r="209" ht="25" customHeight="1">
      <c r="A209" s="3">
        <f>"WF-"&amp;TEXT(ROW()-1,"0000")</f>
        <v/>
      </c>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3" t="n"/>
      <c r="AD209" s="3" t="n"/>
      <c r="AE209" s="3" t="n"/>
      <c r="AF209" s="3" t="n"/>
      <c r="AG209" s="3" t="n"/>
      <c r="AH209" s="3" t="n"/>
      <c r="AI209" s="3" t="n"/>
      <c r="AJ209" s="3" t="n"/>
      <c r="AK209" s="3" t="n"/>
      <c r="AL209" s="3" t="n"/>
      <c r="AM209" s="3" t="n"/>
      <c r="AN209" s="3" t="n"/>
      <c r="AO209" s="3" t="n"/>
    </row>
    <row r="210" ht="25" customHeight="1">
      <c r="A210" s="2">
        <f>"WF-"&amp;TEXT(ROW()-1,"0000")</f>
        <v/>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row>
    <row r="211" ht="25" customHeight="1">
      <c r="A211" s="3">
        <f>"WF-"&amp;TEXT(ROW()-1,"0000")</f>
        <v/>
      </c>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3" t="n"/>
      <c r="AD211" s="3" t="n"/>
      <c r="AE211" s="3" t="n"/>
      <c r="AF211" s="3" t="n"/>
      <c r="AG211" s="3" t="n"/>
      <c r="AH211" s="3" t="n"/>
      <c r="AI211" s="3" t="n"/>
      <c r="AJ211" s="3" t="n"/>
      <c r="AK211" s="3" t="n"/>
      <c r="AL211" s="3" t="n"/>
      <c r="AM211" s="3" t="n"/>
      <c r="AN211" s="3" t="n"/>
      <c r="AO211" s="3" t="n"/>
    </row>
    <row r="212" ht="25" customHeight="1">
      <c r="A212" s="2">
        <f>"WF-"&amp;TEXT(ROW()-1,"0000")</f>
        <v/>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row>
    <row r="213" ht="25" customHeight="1">
      <c r="A213" s="3">
        <f>"WF-"&amp;TEXT(ROW()-1,"0000")</f>
        <v/>
      </c>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c r="AD213" s="3" t="n"/>
      <c r="AE213" s="3" t="n"/>
      <c r="AF213" s="3" t="n"/>
      <c r="AG213" s="3" t="n"/>
      <c r="AH213" s="3" t="n"/>
      <c r="AI213" s="3" t="n"/>
      <c r="AJ213" s="3" t="n"/>
      <c r="AK213" s="3" t="n"/>
      <c r="AL213" s="3" t="n"/>
      <c r="AM213" s="3" t="n"/>
      <c r="AN213" s="3" t="n"/>
      <c r="AO213" s="3" t="n"/>
    </row>
    <row r="214" ht="25" customHeight="1">
      <c r="A214" s="2">
        <f>"WF-"&amp;TEXT(ROW()-1,"0000")</f>
        <v/>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row>
    <row r="215" ht="25" customHeight="1">
      <c r="A215" s="3">
        <f>"WF-"&amp;TEXT(ROW()-1,"0000")</f>
        <v/>
      </c>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3" t="n"/>
      <c r="AD215" s="3" t="n"/>
      <c r="AE215" s="3" t="n"/>
      <c r="AF215" s="3" t="n"/>
      <c r="AG215" s="3" t="n"/>
      <c r="AH215" s="3" t="n"/>
      <c r="AI215" s="3" t="n"/>
      <c r="AJ215" s="3" t="n"/>
      <c r="AK215" s="3" t="n"/>
      <c r="AL215" s="3" t="n"/>
      <c r="AM215" s="3" t="n"/>
      <c r="AN215" s="3" t="n"/>
      <c r="AO215" s="3" t="n"/>
    </row>
    <row r="216" ht="25" customHeight="1">
      <c r="A216" s="2">
        <f>"WF-"&amp;TEXT(ROW()-1,"0000")</f>
        <v/>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row>
    <row r="217" ht="25" customHeight="1">
      <c r="A217" s="3">
        <f>"WF-"&amp;TEXT(ROW()-1,"0000")</f>
        <v/>
      </c>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3" t="n"/>
      <c r="AD217" s="3" t="n"/>
      <c r="AE217" s="3" t="n"/>
      <c r="AF217" s="3" t="n"/>
      <c r="AG217" s="3" t="n"/>
      <c r="AH217" s="3" t="n"/>
      <c r="AI217" s="3" t="n"/>
      <c r="AJ217" s="3" t="n"/>
      <c r="AK217" s="3" t="n"/>
      <c r="AL217" s="3" t="n"/>
      <c r="AM217" s="3" t="n"/>
      <c r="AN217" s="3" t="n"/>
      <c r="AO217" s="3" t="n"/>
    </row>
    <row r="218" ht="25" customHeight="1">
      <c r="A218" s="2">
        <f>"WF-"&amp;TEXT(ROW()-1,"0000")</f>
        <v/>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row>
    <row r="219" ht="25" customHeight="1">
      <c r="A219" s="3">
        <f>"WF-"&amp;TEXT(ROW()-1,"0000")</f>
        <v/>
      </c>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3" t="n"/>
      <c r="AD219" s="3" t="n"/>
      <c r="AE219" s="3" t="n"/>
      <c r="AF219" s="3" t="n"/>
      <c r="AG219" s="3" t="n"/>
      <c r="AH219" s="3" t="n"/>
      <c r="AI219" s="3" t="n"/>
      <c r="AJ219" s="3" t="n"/>
      <c r="AK219" s="3" t="n"/>
      <c r="AL219" s="3" t="n"/>
      <c r="AM219" s="3" t="n"/>
      <c r="AN219" s="3" t="n"/>
      <c r="AO219" s="3" t="n"/>
    </row>
    <row r="220" ht="25" customHeight="1">
      <c r="A220" s="2">
        <f>"WF-"&amp;TEXT(ROW()-1,"0000")</f>
        <v/>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row>
    <row r="221" ht="25" customHeight="1">
      <c r="A221" s="3">
        <f>"WF-"&amp;TEXT(ROW()-1,"0000")</f>
        <v/>
      </c>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3" t="n"/>
      <c r="AD221" s="3" t="n"/>
      <c r="AE221" s="3" t="n"/>
      <c r="AF221" s="3" t="n"/>
      <c r="AG221" s="3" t="n"/>
      <c r="AH221" s="3" t="n"/>
      <c r="AI221" s="3" t="n"/>
      <c r="AJ221" s="3" t="n"/>
      <c r="AK221" s="3" t="n"/>
      <c r="AL221" s="3" t="n"/>
      <c r="AM221" s="3" t="n"/>
      <c r="AN221" s="3" t="n"/>
      <c r="AO221" s="3" t="n"/>
    </row>
    <row r="222" ht="25" customHeight="1">
      <c r="A222" s="2">
        <f>"WF-"&amp;TEXT(ROW()-1,"0000")</f>
        <v/>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row>
    <row r="223" ht="25" customHeight="1">
      <c r="A223" s="3">
        <f>"WF-"&amp;TEXT(ROW()-1,"0000")</f>
        <v/>
      </c>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c r="AD223" s="3" t="n"/>
      <c r="AE223" s="3" t="n"/>
      <c r="AF223" s="3" t="n"/>
      <c r="AG223" s="3" t="n"/>
      <c r="AH223" s="3" t="n"/>
      <c r="AI223" s="3" t="n"/>
      <c r="AJ223" s="3" t="n"/>
      <c r="AK223" s="3" t="n"/>
      <c r="AL223" s="3" t="n"/>
      <c r="AM223" s="3" t="n"/>
      <c r="AN223" s="3" t="n"/>
      <c r="AO223" s="3" t="n"/>
    </row>
    <row r="224" ht="25" customHeight="1">
      <c r="A224" s="2">
        <f>"WF-"&amp;TEXT(ROW()-1,"0000")</f>
        <v/>
      </c>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row>
    <row r="225" ht="25" customHeight="1">
      <c r="A225" s="3">
        <f>"WF-"&amp;TEXT(ROW()-1,"0000")</f>
        <v/>
      </c>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3" t="n"/>
      <c r="AL225" s="3" t="n"/>
      <c r="AM225" s="3" t="n"/>
      <c r="AN225" s="3" t="n"/>
      <c r="AO225" s="3" t="n"/>
    </row>
    <row r="226" ht="25" customHeight="1">
      <c r="A226" s="2">
        <f>"WF-"&amp;TEXT(ROW()-1,"0000")</f>
        <v/>
      </c>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row>
    <row r="227" ht="25" customHeight="1">
      <c r="A227" s="3">
        <f>"WF-"&amp;TEXT(ROW()-1,"0000")</f>
        <v/>
      </c>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3" t="n"/>
      <c r="AL227" s="3" t="n"/>
      <c r="AM227" s="3" t="n"/>
      <c r="AN227" s="3" t="n"/>
      <c r="AO227" s="3" t="n"/>
    </row>
    <row r="228" ht="25" customHeight="1">
      <c r="A228" s="2">
        <f>"WF-"&amp;TEXT(ROW()-1,"0000")</f>
        <v/>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row>
    <row r="229" ht="25" customHeight="1">
      <c r="A229" s="3">
        <f>"WF-"&amp;TEXT(ROW()-1,"0000")</f>
        <v/>
      </c>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c r="AD229" s="3" t="n"/>
      <c r="AE229" s="3" t="n"/>
      <c r="AF229" s="3" t="n"/>
      <c r="AG229" s="3" t="n"/>
      <c r="AH229" s="3" t="n"/>
      <c r="AI229" s="3" t="n"/>
      <c r="AJ229" s="3" t="n"/>
      <c r="AK229" s="3" t="n"/>
      <c r="AL229" s="3" t="n"/>
      <c r="AM229" s="3" t="n"/>
      <c r="AN229" s="3" t="n"/>
      <c r="AO229" s="3" t="n"/>
    </row>
    <row r="230" ht="25" customHeight="1">
      <c r="A230" s="2">
        <f>"WF-"&amp;TEXT(ROW()-1,"0000")</f>
        <v/>
      </c>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row>
    <row r="231" ht="25" customHeight="1">
      <c r="A231" s="3">
        <f>"WF-"&amp;TEXT(ROW()-1,"0000")</f>
        <v/>
      </c>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c r="AC231" s="3" t="n"/>
      <c r="AD231" s="3" t="n"/>
      <c r="AE231" s="3" t="n"/>
      <c r="AF231" s="3" t="n"/>
      <c r="AG231" s="3" t="n"/>
      <c r="AH231" s="3" t="n"/>
      <c r="AI231" s="3" t="n"/>
      <c r="AJ231" s="3" t="n"/>
      <c r="AK231" s="3" t="n"/>
      <c r="AL231" s="3" t="n"/>
      <c r="AM231" s="3" t="n"/>
      <c r="AN231" s="3" t="n"/>
      <c r="AO231" s="3" t="n"/>
    </row>
    <row r="232" ht="25" customHeight="1">
      <c r="A232" s="2">
        <f>"WF-"&amp;TEXT(ROW()-1,"0000")</f>
        <v/>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row>
    <row r="233" ht="25" customHeight="1">
      <c r="A233" s="3">
        <f>"WF-"&amp;TEXT(ROW()-1,"0000")</f>
        <v/>
      </c>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c r="AD233" s="3" t="n"/>
      <c r="AE233" s="3" t="n"/>
      <c r="AF233" s="3" t="n"/>
      <c r="AG233" s="3" t="n"/>
      <c r="AH233" s="3" t="n"/>
      <c r="AI233" s="3" t="n"/>
      <c r="AJ233" s="3" t="n"/>
      <c r="AK233" s="3" t="n"/>
      <c r="AL233" s="3" t="n"/>
      <c r="AM233" s="3" t="n"/>
      <c r="AN233" s="3" t="n"/>
      <c r="AO233" s="3" t="n"/>
    </row>
    <row r="234" ht="25" customHeight="1">
      <c r="A234" s="2">
        <f>"WF-"&amp;TEXT(ROW()-1,"0000")</f>
        <v/>
      </c>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row>
    <row r="235" ht="25" customHeight="1">
      <c r="A235" s="3">
        <f>"WF-"&amp;TEXT(ROW()-1,"0000")</f>
        <v/>
      </c>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c r="AD235" s="3" t="n"/>
      <c r="AE235" s="3" t="n"/>
      <c r="AF235" s="3" t="n"/>
      <c r="AG235" s="3" t="n"/>
      <c r="AH235" s="3" t="n"/>
      <c r="AI235" s="3" t="n"/>
      <c r="AJ235" s="3" t="n"/>
      <c r="AK235" s="3" t="n"/>
      <c r="AL235" s="3" t="n"/>
      <c r="AM235" s="3" t="n"/>
      <c r="AN235" s="3" t="n"/>
      <c r="AO235" s="3" t="n"/>
    </row>
    <row r="236" ht="25" customHeight="1">
      <c r="A236" s="2">
        <f>"WF-"&amp;TEXT(ROW()-1,"0000")</f>
        <v/>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row>
    <row r="237" ht="25" customHeight="1">
      <c r="A237" s="3">
        <f>"WF-"&amp;TEXT(ROW()-1,"0000")</f>
        <v/>
      </c>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c r="AC237" s="3" t="n"/>
      <c r="AD237" s="3" t="n"/>
      <c r="AE237" s="3" t="n"/>
      <c r="AF237" s="3" t="n"/>
      <c r="AG237" s="3" t="n"/>
      <c r="AH237" s="3" t="n"/>
      <c r="AI237" s="3" t="n"/>
      <c r="AJ237" s="3" t="n"/>
      <c r="AK237" s="3" t="n"/>
      <c r="AL237" s="3" t="n"/>
      <c r="AM237" s="3" t="n"/>
      <c r="AN237" s="3" t="n"/>
      <c r="AO237" s="3" t="n"/>
    </row>
    <row r="238" ht="25" customHeight="1">
      <c r="A238" s="2">
        <f>"WF-"&amp;TEXT(ROW()-1,"0000")</f>
        <v/>
      </c>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row>
    <row r="239" ht="25" customHeight="1">
      <c r="A239" s="3">
        <f>"WF-"&amp;TEXT(ROW()-1,"0000")</f>
        <v/>
      </c>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c r="AD239" s="3" t="n"/>
      <c r="AE239" s="3" t="n"/>
      <c r="AF239" s="3" t="n"/>
      <c r="AG239" s="3" t="n"/>
      <c r="AH239" s="3" t="n"/>
      <c r="AI239" s="3" t="n"/>
      <c r="AJ239" s="3" t="n"/>
      <c r="AK239" s="3" t="n"/>
      <c r="AL239" s="3" t="n"/>
      <c r="AM239" s="3" t="n"/>
      <c r="AN239" s="3" t="n"/>
      <c r="AO239" s="3" t="n"/>
    </row>
    <row r="240" ht="25" customHeight="1">
      <c r="A240" s="2">
        <f>"WF-"&amp;TEXT(ROW()-1,"0000")</f>
        <v/>
      </c>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row>
    <row r="241" ht="25" customHeight="1">
      <c r="A241" s="3">
        <f>"WF-"&amp;TEXT(ROW()-1,"0000")</f>
        <v/>
      </c>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c r="AD241" s="3" t="n"/>
      <c r="AE241" s="3" t="n"/>
      <c r="AF241" s="3" t="n"/>
      <c r="AG241" s="3" t="n"/>
      <c r="AH241" s="3" t="n"/>
      <c r="AI241" s="3" t="n"/>
      <c r="AJ241" s="3" t="n"/>
      <c r="AK241" s="3" t="n"/>
      <c r="AL241" s="3" t="n"/>
      <c r="AM241" s="3" t="n"/>
      <c r="AN241" s="3" t="n"/>
      <c r="AO241" s="3" t="n"/>
    </row>
    <row r="242" ht="25" customHeight="1">
      <c r="A242" s="2">
        <f>"WF-"&amp;TEXT(ROW()-1,"0000")</f>
        <v/>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row>
    <row r="243" ht="25" customHeight="1">
      <c r="A243" s="3">
        <f>"WF-"&amp;TEXT(ROW()-1,"0000")</f>
        <v/>
      </c>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3" t="n"/>
      <c r="AL243" s="3" t="n"/>
      <c r="AM243" s="3" t="n"/>
      <c r="AN243" s="3" t="n"/>
      <c r="AO243" s="3" t="n"/>
    </row>
    <row r="244" ht="25" customHeight="1">
      <c r="A244" s="2">
        <f>"WF-"&amp;TEXT(ROW()-1,"0000")</f>
        <v/>
      </c>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row>
    <row r="245" ht="25" customHeight="1">
      <c r="A245" s="3">
        <f>"WF-"&amp;TEXT(ROW()-1,"0000")</f>
        <v/>
      </c>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3" t="n"/>
      <c r="AL245" s="3" t="n"/>
      <c r="AM245" s="3" t="n"/>
      <c r="AN245" s="3" t="n"/>
      <c r="AO245" s="3" t="n"/>
    </row>
    <row r="246" ht="25" customHeight="1">
      <c r="A246" s="2">
        <f>"WF-"&amp;TEXT(ROW()-1,"0000")</f>
        <v/>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row>
    <row r="247" ht="25" customHeight="1">
      <c r="A247" s="3">
        <f>"WF-"&amp;TEXT(ROW()-1,"0000")</f>
        <v/>
      </c>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c r="AC247" s="3" t="n"/>
      <c r="AD247" s="3" t="n"/>
      <c r="AE247" s="3" t="n"/>
      <c r="AF247" s="3" t="n"/>
      <c r="AG247" s="3" t="n"/>
      <c r="AH247" s="3" t="n"/>
      <c r="AI247" s="3" t="n"/>
      <c r="AJ247" s="3" t="n"/>
      <c r="AK247" s="3" t="n"/>
      <c r="AL247" s="3" t="n"/>
      <c r="AM247" s="3" t="n"/>
      <c r="AN247" s="3" t="n"/>
      <c r="AO247" s="3" t="n"/>
    </row>
    <row r="248" ht="25" customHeight="1">
      <c r="A248" s="2">
        <f>"WF-"&amp;TEXT(ROW()-1,"0000")</f>
        <v/>
      </c>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row>
    <row r="249" ht="25" customHeight="1">
      <c r="A249" s="3">
        <f>"WF-"&amp;TEXT(ROW()-1,"0000")</f>
        <v/>
      </c>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c r="AD249" s="3" t="n"/>
      <c r="AE249" s="3" t="n"/>
      <c r="AF249" s="3" t="n"/>
      <c r="AG249" s="3" t="n"/>
      <c r="AH249" s="3" t="n"/>
      <c r="AI249" s="3" t="n"/>
      <c r="AJ249" s="3" t="n"/>
      <c r="AK249" s="3" t="n"/>
      <c r="AL249" s="3" t="n"/>
      <c r="AM249" s="3" t="n"/>
      <c r="AN249" s="3" t="n"/>
      <c r="AO249" s="3" t="n"/>
    </row>
    <row r="250" ht="25" customHeight="1">
      <c r="A250" s="2">
        <f>"WF-"&amp;TEXT(ROW()-1,"0000")</f>
        <v/>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row>
    <row r="251" ht="25" customHeight="1">
      <c r="A251" s="3">
        <f>"WF-"&amp;TEXT(ROW()-1,"0000")</f>
        <v/>
      </c>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c r="AC251" s="3" t="n"/>
      <c r="AD251" s="3" t="n"/>
      <c r="AE251" s="3" t="n"/>
      <c r="AF251" s="3" t="n"/>
      <c r="AG251" s="3" t="n"/>
      <c r="AH251" s="3" t="n"/>
      <c r="AI251" s="3" t="n"/>
      <c r="AJ251" s="3" t="n"/>
      <c r="AK251" s="3" t="n"/>
      <c r="AL251" s="3" t="n"/>
      <c r="AM251" s="3" t="n"/>
      <c r="AN251" s="3" t="n"/>
      <c r="AO251" s="3" t="n"/>
    </row>
    <row r="252" ht="25" customHeight="1">
      <c r="A252" s="2">
        <f>"WF-"&amp;TEXT(ROW()-1,"0000")</f>
        <v/>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row>
    <row r="253" ht="25" customHeight="1">
      <c r="A253" s="3">
        <f>"WF-"&amp;TEXT(ROW()-1,"0000")</f>
        <v/>
      </c>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c r="AC253" s="3" t="n"/>
      <c r="AD253" s="3" t="n"/>
      <c r="AE253" s="3" t="n"/>
      <c r="AF253" s="3" t="n"/>
      <c r="AG253" s="3" t="n"/>
      <c r="AH253" s="3" t="n"/>
      <c r="AI253" s="3" t="n"/>
      <c r="AJ253" s="3" t="n"/>
      <c r="AK253" s="3" t="n"/>
      <c r="AL253" s="3" t="n"/>
      <c r="AM253" s="3" t="n"/>
      <c r="AN253" s="3" t="n"/>
      <c r="AO253" s="3" t="n"/>
    </row>
    <row r="254" ht="25" customHeight="1">
      <c r="A254" s="2">
        <f>"WF-"&amp;TEXT(ROW()-1,"0000")</f>
        <v/>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row>
    <row r="255" ht="25" customHeight="1">
      <c r="A255" s="3">
        <f>"WF-"&amp;TEXT(ROW()-1,"0000")</f>
        <v/>
      </c>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c r="AC255" s="3" t="n"/>
      <c r="AD255" s="3" t="n"/>
      <c r="AE255" s="3" t="n"/>
      <c r="AF255" s="3" t="n"/>
      <c r="AG255" s="3" t="n"/>
      <c r="AH255" s="3" t="n"/>
      <c r="AI255" s="3" t="n"/>
      <c r="AJ255" s="3" t="n"/>
      <c r="AK255" s="3" t="n"/>
      <c r="AL255" s="3" t="n"/>
      <c r="AM255" s="3" t="n"/>
      <c r="AN255" s="3" t="n"/>
      <c r="AO255" s="3" t="n"/>
    </row>
    <row r="256" ht="25" customHeight="1">
      <c r="A256" s="2">
        <f>"WF-"&amp;TEXT(ROW()-1,"0000")</f>
        <v/>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row>
    <row r="257" ht="25" customHeight="1">
      <c r="A257" s="3">
        <f>"WF-"&amp;TEXT(ROW()-1,"0000")</f>
        <v/>
      </c>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c r="AD257" s="3" t="n"/>
      <c r="AE257" s="3" t="n"/>
      <c r="AF257" s="3" t="n"/>
      <c r="AG257" s="3" t="n"/>
      <c r="AH257" s="3" t="n"/>
      <c r="AI257" s="3" t="n"/>
      <c r="AJ257" s="3" t="n"/>
      <c r="AK257" s="3" t="n"/>
      <c r="AL257" s="3" t="n"/>
      <c r="AM257" s="3" t="n"/>
      <c r="AN257" s="3" t="n"/>
      <c r="AO257" s="3" t="n"/>
    </row>
    <row r="258" ht="25" customHeight="1">
      <c r="A258" s="2">
        <f>"WF-"&amp;TEXT(ROW()-1,"0000")</f>
        <v/>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row>
    <row r="259" ht="25" customHeight="1">
      <c r="A259" s="3">
        <f>"WF-"&amp;TEXT(ROW()-1,"0000")</f>
        <v/>
      </c>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c r="AD259" s="3" t="n"/>
      <c r="AE259" s="3" t="n"/>
      <c r="AF259" s="3" t="n"/>
      <c r="AG259" s="3" t="n"/>
      <c r="AH259" s="3" t="n"/>
      <c r="AI259" s="3" t="n"/>
      <c r="AJ259" s="3" t="n"/>
      <c r="AK259" s="3" t="n"/>
      <c r="AL259" s="3" t="n"/>
      <c r="AM259" s="3" t="n"/>
      <c r="AN259" s="3" t="n"/>
      <c r="AO259" s="3" t="n"/>
    </row>
    <row r="260" ht="25" customHeight="1">
      <c r="A260" s="2">
        <f>"WF-"&amp;TEXT(ROW()-1,"0000")</f>
        <v/>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row>
    <row r="261" ht="25" customHeight="1">
      <c r="A261" s="3">
        <f>"WF-"&amp;TEXT(ROW()-1,"0000")</f>
        <v/>
      </c>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c r="AD261" s="3" t="n"/>
      <c r="AE261" s="3" t="n"/>
      <c r="AF261" s="3" t="n"/>
      <c r="AG261" s="3" t="n"/>
      <c r="AH261" s="3" t="n"/>
      <c r="AI261" s="3" t="n"/>
      <c r="AJ261" s="3" t="n"/>
      <c r="AK261" s="3" t="n"/>
      <c r="AL261" s="3" t="n"/>
      <c r="AM261" s="3" t="n"/>
      <c r="AN261" s="3" t="n"/>
      <c r="AO261" s="3" t="n"/>
    </row>
    <row r="262" ht="25" customHeight="1">
      <c r="A262" s="2">
        <f>"WF-"&amp;TEXT(ROW()-1,"0000")</f>
        <v/>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row>
    <row r="263" ht="25" customHeight="1">
      <c r="A263" s="3">
        <f>"WF-"&amp;TEXT(ROW()-1,"0000")</f>
        <v/>
      </c>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c r="AC263" s="3" t="n"/>
      <c r="AD263" s="3" t="n"/>
      <c r="AE263" s="3" t="n"/>
      <c r="AF263" s="3" t="n"/>
      <c r="AG263" s="3" t="n"/>
      <c r="AH263" s="3" t="n"/>
      <c r="AI263" s="3" t="n"/>
      <c r="AJ263" s="3" t="n"/>
      <c r="AK263" s="3" t="n"/>
      <c r="AL263" s="3" t="n"/>
      <c r="AM263" s="3" t="n"/>
      <c r="AN263" s="3" t="n"/>
      <c r="AO263" s="3" t="n"/>
    </row>
    <row r="264" ht="25" customHeight="1">
      <c r="A264" s="2">
        <f>"WF-"&amp;TEXT(ROW()-1,"0000")</f>
        <v/>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row>
    <row r="265" ht="25" customHeight="1">
      <c r="A265" s="3">
        <f>"WF-"&amp;TEXT(ROW()-1,"0000")</f>
        <v/>
      </c>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c r="AD265" s="3" t="n"/>
      <c r="AE265" s="3" t="n"/>
      <c r="AF265" s="3" t="n"/>
      <c r="AG265" s="3" t="n"/>
      <c r="AH265" s="3" t="n"/>
      <c r="AI265" s="3" t="n"/>
      <c r="AJ265" s="3" t="n"/>
      <c r="AK265" s="3" t="n"/>
      <c r="AL265" s="3" t="n"/>
      <c r="AM265" s="3" t="n"/>
      <c r="AN265" s="3" t="n"/>
      <c r="AO265" s="3" t="n"/>
    </row>
    <row r="266" ht="25" customHeight="1">
      <c r="A266" s="2">
        <f>"WF-"&amp;TEXT(ROW()-1,"0000")</f>
        <v/>
      </c>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row>
    <row r="267" ht="25" customHeight="1">
      <c r="A267" s="3">
        <f>"WF-"&amp;TEXT(ROW()-1,"0000")</f>
        <v/>
      </c>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s="3" t="n"/>
      <c r="AD267" s="3" t="n"/>
      <c r="AE267" s="3" t="n"/>
      <c r="AF267" s="3" t="n"/>
      <c r="AG267" s="3" t="n"/>
      <c r="AH267" s="3" t="n"/>
      <c r="AI267" s="3" t="n"/>
      <c r="AJ267" s="3" t="n"/>
      <c r="AK267" s="3" t="n"/>
      <c r="AL267" s="3" t="n"/>
      <c r="AM267" s="3" t="n"/>
      <c r="AN267" s="3" t="n"/>
      <c r="AO267" s="3" t="n"/>
    </row>
    <row r="268" ht="25" customHeight="1">
      <c r="A268" s="2">
        <f>"WF-"&amp;TEXT(ROW()-1,"0000")</f>
        <v/>
      </c>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row>
    <row r="269" ht="25" customHeight="1">
      <c r="A269" s="3">
        <f>"WF-"&amp;TEXT(ROW()-1,"0000")</f>
        <v/>
      </c>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c r="AC269" s="3" t="n"/>
      <c r="AD269" s="3" t="n"/>
      <c r="AE269" s="3" t="n"/>
      <c r="AF269" s="3" t="n"/>
      <c r="AG269" s="3" t="n"/>
      <c r="AH269" s="3" t="n"/>
      <c r="AI269" s="3" t="n"/>
      <c r="AJ269" s="3" t="n"/>
      <c r="AK269" s="3" t="n"/>
      <c r="AL269" s="3" t="n"/>
      <c r="AM269" s="3" t="n"/>
      <c r="AN269" s="3" t="n"/>
      <c r="AO269" s="3" t="n"/>
    </row>
    <row r="270" ht="25" customHeight="1">
      <c r="A270" s="2">
        <f>"WF-"&amp;TEXT(ROW()-1,"0000")</f>
        <v/>
      </c>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row>
    <row r="271" ht="25" customHeight="1">
      <c r="A271" s="3">
        <f>"WF-"&amp;TEXT(ROW()-1,"0000")</f>
        <v/>
      </c>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c r="AD271" s="3" t="n"/>
      <c r="AE271" s="3" t="n"/>
      <c r="AF271" s="3" t="n"/>
      <c r="AG271" s="3" t="n"/>
      <c r="AH271" s="3" t="n"/>
      <c r="AI271" s="3" t="n"/>
      <c r="AJ271" s="3" t="n"/>
      <c r="AK271" s="3" t="n"/>
      <c r="AL271" s="3" t="n"/>
      <c r="AM271" s="3" t="n"/>
      <c r="AN271" s="3" t="n"/>
      <c r="AO271" s="3" t="n"/>
    </row>
    <row r="272" ht="25" customHeight="1">
      <c r="A272" s="2">
        <f>"WF-"&amp;TEXT(ROW()-1,"0000")</f>
        <v/>
      </c>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row>
    <row r="273" ht="25" customHeight="1">
      <c r="A273" s="3">
        <f>"WF-"&amp;TEXT(ROW()-1,"0000")</f>
        <v/>
      </c>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3" t="n"/>
      <c r="AL273" s="3" t="n"/>
      <c r="AM273" s="3" t="n"/>
      <c r="AN273" s="3" t="n"/>
      <c r="AO273" s="3" t="n"/>
    </row>
    <row r="274" ht="25" customHeight="1">
      <c r="A274" s="2">
        <f>"WF-"&amp;TEXT(ROW()-1,"0000")</f>
        <v/>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row>
    <row r="275" ht="25" customHeight="1">
      <c r="A275" s="3">
        <f>"WF-"&amp;TEXT(ROW()-1,"0000")</f>
        <v/>
      </c>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3" t="n"/>
      <c r="AL275" s="3" t="n"/>
      <c r="AM275" s="3" t="n"/>
      <c r="AN275" s="3" t="n"/>
      <c r="AO275" s="3" t="n"/>
    </row>
    <row r="276" ht="25" customHeight="1">
      <c r="A276" s="2">
        <f>"WF-"&amp;TEXT(ROW()-1,"0000")</f>
        <v/>
      </c>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row>
    <row r="277" ht="25" customHeight="1">
      <c r="A277" s="3">
        <f>"WF-"&amp;TEXT(ROW()-1,"0000")</f>
        <v/>
      </c>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c r="AD277" s="3" t="n"/>
      <c r="AE277" s="3" t="n"/>
      <c r="AF277" s="3" t="n"/>
      <c r="AG277" s="3" t="n"/>
      <c r="AH277" s="3" t="n"/>
      <c r="AI277" s="3" t="n"/>
      <c r="AJ277" s="3" t="n"/>
      <c r="AK277" s="3" t="n"/>
      <c r="AL277" s="3" t="n"/>
      <c r="AM277" s="3" t="n"/>
      <c r="AN277" s="3" t="n"/>
      <c r="AO277" s="3" t="n"/>
    </row>
    <row r="278" ht="25" customHeight="1">
      <c r="A278" s="2">
        <f>"WF-"&amp;TEXT(ROW()-1,"0000")</f>
        <v/>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row>
    <row r="279" ht="25" customHeight="1">
      <c r="A279" s="3">
        <f>"WF-"&amp;TEXT(ROW()-1,"0000")</f>
        <v/>
      </c>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s="3" t="n"/>
      <c r="AD279" s="3" t="n"/>
      <c r="AE279" s="3" t="n"/>
      <c r="AF279" s="3" t="n"/>
      <c r="AG279" s="3" t="n"/>
      <c r="AH279" s="3" t="n"/>
      <c r="AI279" s="3" t="n"/>
      <c r="AJ279" s="3" t="n"/>
      <c r="AK279" s="3" t="n"/>
      <c r="AL279" s="3" t="n"/>
      <c r="AM279" s="3" t="n"/>
      <c r="AN279" s="3" t="n"/>
      <c r="AO279" s="3" t="n"/>
    </row>
    <row r="280" ht="25" customHeight="1">
      <c r="A280" s="2">
        <f>"WF-"&amp;TEXT(ROW()-1,"0000")</f>
        <v/>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row>
    <row r="281" ht="25" customHeight="1">
      <c r="A281" s="3">
        <f>"WF-"&amp;TEXT(ROW()-1,"0000")</f>
        <v/>
      </c>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c r="AD281" s="3" t="n"/>
      <c r="AE281" s="3" t="n"/>
      <c r="AF281" s="3" t="n"/>
      <c r="AG281" s="3" t="n"/>
      <c r="AH281" s="3" t="n"/>
      <c r="AI281" s="3" t="n"/>
      <c r="AJ281" s="3" t="n"/>
      <c r="AK281" s="3" t="n"/>
      <c r="AL281" s="3" t="n"/>
      <c r="AM281" s="3" t="n"/>
      <c r="AN281" s="3" t="n"/>
      <c r="AO281" s="3" t="n"/>
    </row>
    <row r="282" ht="25" customHeight="1">
      <c r="A282" s="2">
        <f>"WF-"&amp;TEXT(ROW()-1,"0000")</f>
        <v/>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row>
    <row r="283" ht="25" customHeight="1">
      <c r="A283" s="3">
        <f>"WF-"&amp;TEXT(ROW()-1,"0000")</f>
        <v/>
      </c>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c r="AC283" s="3" t="n"/>
      <c r="AD283" s="3" t="n"/>
      <c r="AE283" s="3" t="n"/>
      <c r="AF283" s="3" t="n"/>
      <c r="AG283" s="3" t="n"/>
      <c r="AH283" s="3" t="n"/>
      <c r="AI283" s="3" t="n"/>
      <c r="AJ283" s="3" t="n"/>
      <c r="AK283" s="3" t="n"/>
      <c r="AL283" s="3" t="n"/>
      <c r="AM283" s="3" t="n"/>
      <c r="AN283" s="3" t="n"/>
      <c r="AO283" s="3" t="n"/>
    </row>
    <row r="284" ht="25" customHeight="1">
      <c r="A284" s="2">
        <f>"WF-"&amp;TEXT(ROW()-1,"0000")</f>
        <v/>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row>
    <row r="285" ht="25" customHeight="1">
      <c r="A285" s="3">
        <f>"WF-"&amp;TEXT(ROW()-1,"0000")</f>
        <v/>
      </c>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c r="AD285" s="3" t="n"/>
      <c r="AE285" s="3" t="n"/>
      <c r="AF285" s="3" t="n"/>
      <c r="AG285" s="3" t="n"/>
      <c r="AH285" s="3" t="n"/>
      <c r="AI285" s="3" t="n"/>
      <c r="AJ285" s="3" t="n"/>
      <c r="AK285" s="3" t="n"/>
      <c r="AL285" s="3" t="n"/>
      <c r="AM285" s="3" t="n"/>
      <c r="AN285" s="3" t="n"/>
      <c r="AO285" s="3" t="n"/>
    </row>
    <row r="286" ht="25" customHeight="1">
      <c r="A286" s="2">
        <f>"WF-"&amp;TEXT(ROW()-1,"0000")</f>
        <v/>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row>
    <row r="287" ht="25" customHeight="1">
      <c r="A287" s="3">
        <f>"WF-"&amp;TEXT(ROW()-1,"0000")</f>
        <v/>
      </c>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c r="AC287" s="3" t="n"/>
      <c r="AD287" s="3" t="n"/>
      <c r="AE287" s="3" t="n"/>
      <c r="AF287" s="3" t="n"/>
      <c r="AG287" s="3" t="n"/>
      <c r="AH287" s="3" t="n"/>
      <c r="AI287" s="3" t="n"/>
      <c r="AJ287" s="3" t="n"/>
      <c r="AK287" s="3" t="n"/>
      <c r="AL287" s="3" t="n"/>
      <c r="AM287" s="3" t="n"/>
      <c r="AN287" s="3" t="n"/>
      <c r="AO287" s="3" t="n"/>
    </row>
    <row r="288" ht="25" customHeight="1">
      <c r="A288" s="2">
        <f>"WF-"&amp;TEXT(ROW()-1,"0000")</f>
        <v/>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row>
    <row r="289" ht="25" customHeight="1">
      <c r="A289" s="3">
        <f>"WF-"&amp;TEXT(ROW()-1,"0000")</f>
        <v/>
      </c>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s="3" t="n"/>
      <c r="AD289" s="3" t="n"/>
      <c r="AE289" s="3" t="n"/>
      <c r="AF289" s="3" t="n"/>
      <c r="AG289" s="3" t="n"/>
      <c r="AH289" s="3" t="n"/>
      <c r="AI289" s="3" t="n"/>
      <c r="AJ289" s="3" t="n"/>
      <c r="AK289" s="3" t="n"/>
      <c r="AL289" s="3" t="n"/>
      <c r="AM289" s="3" t="n"/>
      <c r="AN289" s="3" t="n"/>
      <c r="AO289" s="3" t="n"/>
    </row>
    <row r="290" ht="25" customHeight="1">
      <c r="A290" s="2">
        <f>"WF-"&amp;TEXT(ROW()-1,"0000")</f>
        <v/>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row>
    <row r="291" ht="25" customHeight="1">
      <c r="A291" s="3">
        <f>"WF-"&amp;TEXT(ROW()-1,"0000")</f>
        <v/>
      </c>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c r="AC291" s="3" t="n"/>
      <c r="AD291" s="3" t="n"/>
      <c r="AE291" s="3" t="n"/>
      <c r="AF291" s="3" t="n"/>
      <c r="AG291" s="3" t="n"/>
      <c r="AH291" s="3" t="n"/>
      <c r="AI291" s="3" t="n"/>
      <c r="AJ291" s="3" t="n"/>
      <c r="AK291" s="3" t="n"/>
      <c r="AL291" s="3" t="n"/>
      <c r="AM291" s="3" t="n"/>
      <c r="AN291" s="3" t="n"/>
      <c r="AO291" s="3" t="n"/>
    </row>
    <row r="292" ht="25" customHeight="1">
      <c r="A292" s="2">
        <f>"WF-"&amp;TEXT(ROW()-1,"0000")</f>
        <v/>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row>
    <row r="293" ht="25" customHeight="1">
      <c r="A293" s="3">
        <f>"WF-"&amp;TEXT(ROW()-1,"0000")</f>
        <v/>
      </c>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c r="AD293" s="3" t="n"/>
      <c r="AE293" s="3" t="n"/>
      <c r="AF293" s="3" t="n"/>
      <c r="AG293" s="3" t="n"/>
      <c r="AH293" s="3" t="n"/>
      <c r="AI293" s="3" t="n"/>
      <c r="AJ293" s="3" t="n"/>
      <c r="AK293" s="3" t="n"/>
      <c r="AL293" s="3" t="n"/>
      <c r="AM293" s="3" t="n"/>
      <c r="AN293" s="3" t="n"/>
      <c r="AO293" s="3" t="n"/>
    </row>
    <row r="294" ht="25" customHeight="1">
      <c r="A294" s="2">
        <f>"WF-"&amp;TEXT(ROW()-1,"0000")</f>
        <v/>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row>
    <row r="295" ht="25" customHeight="1">
      <c r="A295" s="3">
        <f>"WF-"&amp;TEXT(ROW()-1,"0000")</f>
        <v/>
      </c>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c r="AD295" s="3" t="n"/>
      <c r="AE295" s="3" t="n"/>
      <c r="AF295" s="3" t="n"/>
      <c r="AG295" s="3" t="n"/>
      <c r="AH295" s="3" t="n"/>
      <c r="AI295" s="3" t="n"/>
      <c r="AJ295" s="3" t="n"/>
      <c r="AK295" s="3" t="n"/>
      <c r="AL295" s="3" t="n"/>
      <c r="AM295" s="3" t="n"/>
      <c r="AN295" s="3" t="n"/>
      <c r="AO295" s="3" t="n"/>
    </row>
    <row r="296" ht="25" customHeight="1">
      <c r="A296" s="2">
        <f>"WF-"&amp;TEXT(ROW()-1,"0000")</f>
        <v/>
      </c>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row>
    <row r="297" ht="25" customHeight="1">
      <c r="A297" s="3">
        <f>"WF-"&amp;TEXT(ROW()-1,"0000")</f>
        <v/>
      </c>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c r="AC297" s="3" t="n"/>
      <c r="AD297" s="3" t="n"/>
      <c r="AE297" s="3" t="n"/>
      <c r="AF297" s="3" t="n"/>
      <c r="AG297" s="3" t="n"/>
      <c r="AH297" s="3" t="n"/>
      <c r="AI297" s="3" t="n"/>
      <c r="AJ297" s="3" t="n"/>
      <c r="AK297" s="3" t="n"/>
      <c r="AL297" s="3" t="n"/>
      <c r="AM297" s="3" t="n"/>
      <c r="AN297" s="3" t="n"/>
      <c r="AO297" s="3" t="n"/>
    </row>
    <row r="298" ht="25" customHeight="1">
      <c r="A298" s="2">
        <f>"WF-"&amp;TEXT(ROW()-1,"0000")</f>
        <v/>
      </c>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row>
    <row r="299" ht="25" customHeight="1">
      <c r="A299" s="3">
        <f>"WF-"&amp;TEXT(ROW()-1,"0000")</f>
        <v/>
      </c>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c r="AD299" s="3" t="n"/>
      <c r="AE299" s="3" t="n"/>
      <c r="AF299" s="3" t="n"/>
      <c r="AG299" s="3" t="n"/>
      <c r="AH299" s="3" t="n"/>
      <c r="AI299" s="3" t="n"/>
      <c r="AJ299" s="3" t="n"/>
      <c r="AK299" s="3" t="n"/>
      <c r="AL299" s="3" t="n"/>
      <c r="AM299" s="3" t="n"/>
      <c r="AN299" s="3" t="n"/>
      <c r="AO299" s="3" t="n"/>
    </row>
    <row r="300" ht="25" customHeight="1">
      <c r="A300" s="2">
        <f>"WF-"&amp;TEXT(ROW()-1,"0000")</f>
        <v/>
      </c>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row>
    <row r="301" ht="25" customHeight="1">
      <c r="A301" s="3">
        <f>"WF-"&amp;TEXT(ROW()-1,"0000")</f>
        <v/>
      </c>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c r="AC301" s="3" t="n"/>
      <c r="AD301" s="3" t="n"/>
      <c r="AE301" s="3" t="n"/>
      <c r="AF301" s="3" t="n"/>
      <c r="AG301" s="3" t="n"/>
      <c r="AH301" s="3" t="n"/>
      <c r="AI301" s="3" t="n"/>
      <c r="AJ301" s="3" t="n"/>
      <c r="AK301" s="3" t="n"/>
      <c r="AL301" s="3" t="n"/>
      <c r="AM301" s="3" t="n"/>
      <c r="AN301" s="3" t="n"/>
      <c r="AO301" s="3" t="n"/>
    </row>
    <row r="302" ht="25" customHeight="1">
      <c r="A302" s="2">
        <f>"WF-"&amp;TEXT(ROW()-1,"0000")</f>
        <v/>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row>
    <row r="303" ht="25" customHeight="1">
      <c r="A303" s="3">
        <f>"WF-"&amp;TEXT(ROW()-1,"0000")</f>
        <v/>
      </c>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c r="AC303" s="3" t="n"/>
      <c r="AD303" s="3" t="n"/>
      <c r="AE303" s="3" t="n"/>
      <c r="AF303" s="3" t="n"/>
      <c r="AG303" s="3" t="n"/>
      <c r="AH303" s="3" t="n"/>
      <c r="AI303" s="3" t="n"/>
      <c r="AJ303" s="3" t="n"/>
      <c r="AK303" s="3" t="n"/>
      <c r="AL303" s="3" t="n"/>
      <c r="AM303" s="3" t="n"/>
      <c r="AN303" s="3" t="n"/>
      <c r="AO303" s="3" t="n"/>
    </row>
    <row r="304" ht="25" customHeight="1">
      <c r="A304" s="2">
        <f>"WF-"&amp;TEXT(ROW()-1,"0000")</f>
        <v/>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row>
    <row r="305" ht="25" customHeight="1">
      <c r="A305" s="3">
        <f>"WF-"&amp;TEXT(ROW()-1,"0000")</f>
        <v/>
      </c>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c r="AC305" s="3" t="n"/>
      <c r="AD305" s="3" t="n"/>
      <c r="AE305" s="3" t="n"/>
      <c r="AF305" s="3" t="n"/>
      <c r="AG305" s="3" t="n"/>
      <c r="AH305" s="3" t="n"/>
      <c r="AI305" s="3" t="n"/>
      <c r="AJ305" s="3" t="n"/>
      <c r="AK305" s="3" t="n"/>
      <c r="AL305" s="3" t="n"/>
      <c r="AM305" s="3" t="n"/>
      <c r="AN305" s="3" t="n"/>
      <c r="AO305" s="3" t="n"/>
    </row>
    <row r="306" ht="25" customHeight="1">
      <c r="A306" s="2">
        <f>"WF-"&amp;TEXT(ROW()-1,"0000")</f>
        <v/>
      </c>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row>
    <row r="307" ht="25" customHeight="1">
      <c r="A307" s="3">
        <f>"WF-"&amp;TEXT(ROW()-1,"0000")</f>
        <v/>
      </c>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c r="AC307" s="3" t="n"/>
      <c r="AD307" s="3" t="n"/>
      <c r="AE307" s="3" t="n"/>
      <c r="AF307" s="3" t="n"/>
      <c r="AG307" s="3" t="n"/>
      <c r="AH307" s="3" t="n"/>
      <c r="AI307" s="3" t="n"/>
      <c r="AJ307" s="3" t="n"/>
      <c r="AK307" s="3" t="n"/>
      <c r="AL307" s="3" t="n"/>
      <c r="AM307" s="3" t="n"/>
      <c r="AN307" s="3" t="n"/>
      <c r="AO307" s="3" t="n"/>
    </row>
    <row r="308" ht="25" customHeight="1">
      <c r="A308" s="2">
        <f>"WF-"&amp;TEXT(ROW()-1,"0000")</f>
        <v/>
      </c>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row>
    <row r="309" ht="25" customHeight="1">
      <c r="A309" s="3">
        <f>"WF-"&amp;TEXT(ROW()-1,"0000")</f>
        <v/>
      </c>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c r="AC309" s="3" t="n"/>
      <c r="AD309" s="3" t="n"/>
      <c r="AE309" s="3" t="n"/>
      <c r="AF309" s="3" t="n"/>
      <c r="AG309" s="3" t="n"/>
      <c r="AH309" s="3" t="n"/>
      <c r="AI309" s="3" t="n"/>
      <c r="AJ309" s="3" t="n"/>
      <c r="AK309" s="3" t="n"/>
      <c r="AL309" s="3" t="n"/>
      <c r="AM309" s="3" t="n"/>
      <c r="AN309" s="3" t="n"/>
      <c r="AO309" s="3" t="n"/>
    </row>
    <row r="310" ht="25" customHeight="1">
      <c r="A310" s="2">
        <f>"WF-"&amp;TEXT(ROW()-1,"0000")</f>
        <v/>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row>
    <row r="311" ht="25" customHeight="1">
      <c r="A311" s="3">
        <f>"WF-"&amp;TEXT(ROW()-1,"0000")</f>
        <v/>
      </c>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c r="AC311" s="3" t="n"/>
      <c r="AD311" s="3" t="n"/>
      <c r="AE311" s="3" t="n"/>
      <c r="AF311" s="3" t="n"/>
      <c r="AG311" s="3" t="n"/>
      <c r="AH311" s="3" t="n"/>
      <c r="AI311" s="3" t="n"/>
      <c r="AJ311" s="3" t="n"/>
      <c r="AK311" s="3" t="n"/>
      <c r="AL311" s="3" t="n"/>
      <c r="AM311" s="3" t="n"/>
      <c r="AN311" s="3" t="n"/>
      <c r="AO311" s="3" t="n"/>
    </row>
    <row r="312" ht="25" customHeight="1">
      <c r="A312" s="2">
        <f>"WF-"&amp;TEXT(ROW()-1,"0000")</f>
        <v/>
      </c>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row>
    <row r="313" ht="25" customHeight="1">
      <c r="A313" s="3">
        <f>"WF-"&amp;TEXT(ROW()-1,"0000")</f>
        <v/>
      </c>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c r="AC313" s="3" t="n"/>
      <c r="AD313" s="3" t="n"/>
      <c r="AE313" s="3" t="n"/>
      <c r="AF313" s="3" t="n"/>
      <c r="AG313" s="3" t="n"/>
      <c r="AH313" s="3" t="n"/>
      <c r="AI313" s="3" t="n"/>
      <c r="AJ313" s="3" t="n"/>
      <c r="AK313" s="3" t="n"/>
      <c r="AL313" s="3" t="n"/>
      <c r="AM313" s="3" t="n"/>
      <c r="AN313" s="3" t="n"/>
      <c r="AO313" s="3" t="n"/>
    </row>
    <row r="314" ht="25" customHeight="1">
      <c r="A314" s="2">
        <f>"WF-"&amp;TEXT(ROW()-1,"0000")</f>
        <v/>
      </c>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row>
    <row r="315" ht="25" customHeight="1">
      <c r="A315" s="3">
        <f>"WF-"&amp;TEXT(ROW()-1,"0000")</f>
        <v/>
      </c>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c r="AC315" s="3" t="n"/>
      <c r="AD315" s="3" t="n"/>
      <c r="AE315" s="3" t="n"/>
      <c r="AF315" s="3" t="n"/>
      <c r="AG315" s="3" t="n"/>
      <c r="AH315" s="3" t="n"/>
      <c r="AI315" s="3" t="n"/>
      <c r="AJ315" s="3" t="n"/>
      <c r="AK315" s="3" t="n"/>
      <c r="AL315" s="3" t="n"/>
      <c r="AM315" s="3" t="n"/>
      <c r="AN315" s="3" t="n"/>
      <c r="AO315" s="3" t="n"/>
    </row>
    <row r="316" ht="25" customHeight="1">
      <c r="A316" s="2">
        <f>"WF-"&amp;TEXT(ROW()-1,"0000")</f>
        <v/>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row>
    <row r="317" ht="25" customHeight="1">
      <c r="A317" s="3">
        <f>"WF-"&amp;TEXT(ROW()-1,"0000")</f>
        <v/>
      </c>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c r="AD317" s="3" t="n"/>
      <c r="AE317" s="3" t="n"/>
      <c r="AF317" s="3" t="n"/>
      <c r="AG317" s="3" t="n"/>
      <c r="AH317" s="3" t="n"/>
      <c r="AI317" s="3" t="n"/>
      <c r="AJ317" s="3" t="n"/>
      <c r="AK317" s="3" t="n"/>
      <c r="AL317" s="3" t="n"/>
      <c r="AM317" s="3" t="n"/>
      <c r="AN317" s="3" t="n"/>
      <c r="AO317" s="3" t="n"/>
    </row>
    <row r="318" ht="25" customHeight="1">
      <c r="A318" s="2">
        <f>"WF-"&amp;TEXT(ROW()-1,"0000")</f>
        <v/>
      </c>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row>
    <row r="319" ht="25" customHeight="1">
      <c r="A319" s="3">
        <f>"WF-"&amp;TEXT(ROW()-1,"0000")</f>
        <v/>
      </c>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c r="AD319" s="3" t="n"/>
      <c r="AE319" s="3" t="n"/>
      <c r="AF319" s="3" t="n"/>
      <c r="AG319" s="3" t="n"/>
      <c r="AH319" s="3" t="n"/>
      <c r="AI319" s="3" t="n"/>
      <c r="AJ319" s="3" t="n"/>
      <c r="AK319" s="3" t="n"/>
      <c r="AL319" s="3" t="n"/>
      <c r="AM319" s="3" t="n"/>
      <c r="AN319" s="3" t="n"/>
      <c r="AO319" s="3" t="n"/>
    </row>
    <row r="320" ht="25" customHeight="1">
      <c r="A320" s="2">
        <f>"WF-"&amp;TEXT(ROW()-1,"0000")</f>
        <v/>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row>
    <row r="321" ht="25" customHeight="1">
      <c r="A321" s="3">
        <f>"WF-"&amp;TEXT(ROW()-1,"0000")</f>
        <v/>
      </c>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c r="AD321" s="3" t="n"/>
      <c r="AE321" s="3" t="n"/>
      <c r="AF321" s="3" t="n"/>
      <c r="AG321" s="3" t="n"/>
      <c r="AH321" s="3" t="n"/>
      <c r="AI321" s="3" t="n"/>
      <c r="AJ321" s="3" t="n"/>
      <c r="AK321" s="3" t="n"/>
      <c r="AL321" s="3" t="n"/>
      <c r="AM321" s="3" t="n"/>
      <c r="AN321" s="3" t="n"/>
      <c r="AO321" s="3" t="n"/>
    </row>
    <row r="322" ht="25" customHeight="1">
      <c r="A322" s="2">
        <f>"WF-"&amp;TEXT(ROW()-1,"0000")</f>
        <v/>
      </c>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row>
    <row r="323" ht="25" customHeight="1">
      <c r="A323" s="3">
        <f>"WF-"&amp;TEXT(ROW()-1,"0000")</f>
        <v/>
      </c>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c r="AC323" s="3" t="n"/>
      <c r="AD323" s="3" t="n"/>
      <c r="AE323" s="3" t="n"/>
      <c r="AF323" s="3" t="n"/>
      <c r="AG323" s="3" t="n"/>
      <c r="AH323" s="3" t="n"/>
      <c r="AI323" s="3" t="n"/>
      <c r="AJ323" s="3" t="n"/>
      <c r="AK323" s="3" t="n"/>
      <c r="AL323" s="3" t="n"/>
      <c r="AM323" s="3" t="n"/>
      <c r="AN323" s="3" t="n"/>
      <c r="AO323" s="3" t="n"/>
    </row>
    <row r="324" ht="25" customHeight="1">
      <c r="A324" s="2">
        <f>"WF-"&amp;TEXT(ROW()-1,"0000")</f>
        <v/>
      </c>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row>
    <row r="325" ht="25" customHeight="1">
      <c r="A325" s="3">
        <f>"WF-"&amp;TEXT(ROW()-1,"0000")</f>
        <v/>
      </c>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c r="AD325" s="3" t="n"/>
      <c r="AE325" s="3" t="n"/>
      <c r="AF325" s="3" t="n"/>
      <c r="AG325" s="3" t="n"/>
      <c r="AH325" s="3" t="n"/>
      <c r="AI325" s="3" t="n"/>
      <c r="AJ325" s="3" t="n"/>
      <c r="AK325" s="3" t="n"/>
      <c r="AL325" s="3" t="n"/>
      <c r="AM325" s="3" t="n"/>
      <c r="AN325" s="3" t="n"/>
      <c r="AO325" s="3" t="n"/>
    </row>
    <row r="326" ht="25" customHeight="1">
      <c r="A326" s="2">
        <f>"WF-"&amp;TEXT(ROW()-1,"0000")</f>
        <v/>
      </c>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row>
    <row r="327" ht="25" customHeight="1">
      <c r="A327" s="3">
        <f>"WF-"&amp;TEXT(ROW()-1,"0000")</f>
        <v/>
      </c>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c r="AD327" s="3" t="n"/>
      <c r="AE327" s="3" t="n"/>
      <c r="AF327" s="3" t="n"/>
      <c r="AG327" s="3" t="n"/>
      <c r="AH327" s="3" t="n"/>
      <c r="AI327" s="3" t="n"/>
      <c r="AJ327" s="3" t="n"/>
      <c r="AK327" s="3" t="n"/>
      <c r="AL327" s="3" t="n"/>
      <c r="AM327" s="3" t="n"/>
      <c r="AN327" s="3" t="n"/>
      <c r="AO327" s="3" t="n"/>
    </row>
    <row r="328" ht="25" customHeight="1">
      <c r="A328" s="2">
        <f>"WF-"&amp;TEXT(ROW()-1,"0000")</f>
        <v/>
      </c>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row>
    <row r="329" ht="25" customHeight="1">
      <c r="A329" s="3">
        <f>"WF-"&amp;TEXT(ROW()-1,"0000")</f>
        <v/>
      </c>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c r="AC329" s="3" t="n"/>
      <c r="AD329" s="3" t="n"/>
      <c r="AE329" s="3" t="n"/>
      <c r="AF329" s="3" t="n"/>
      <c r="AG329" s="3" t="n"/>
      <c r="AH329" s="3" t="n"/>
      <c r="AI329" s="3" t="n"/>
      <c r="AJ329" s="3" t="n"/>
      <c r="AK329" s="3" t="n"/>
      <c r="AL329" s="3" t="n"/>
      <c r="AM329" s="3" t="n"/>
      <c r="AN329" s="3" t="n"/>
      <c r="AO329" s="3" t="n"/>
    </row>
    <row r="330" ht="25" customHeight="1">
      <c r="A330" s="2">
        <f>"WF-"&amp;TEXT(ROW()-1,"0000")</f>
        <v/>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row>
    <row r="331" ht="25" customHeight="1">
      <c r="A331" s="3">
        <f>"WF-"&amp;TEXT(ROW()-1,"0000")</f>
        <v/>
      </c>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c r="AD331" s="3" t="n"/>
      <c r="AE331" s="3" t="n"/>
      <c r="AF331" s="3" t="n"/>
      <c r="AG331" s="3" t="n"/>
      <c r="AH331" s="3" t="n"/>
      <c r="AI331" s="3" t="n"/>
      <c r="AJ331" s="3" t="n"/>
      <c r="AK331" s="3" t="n"/>
      <c r="AL331" s="3" t="n"/>
      <c r="AM331" s="3" t="n"/>
      <c r="AN331" s="3" t="n"/>
      <c r="AO331" s="3" t="n"/>
    </row>
    <row r="332" ht="25" customHeight="1">
      <c r="A332" s="2">
        <f>"WF-"&amp;TEXT(ROW()-1,"0000")</f>
        <v/>
      </c>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row>
    <row r="333" ht="25" customHeight="1">
      <c r="A333" s="3">
        <f>"WF-"&amp;TEXT(ROW()-1,"0000")</f>
        <v/>
      </c>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c r="AC333" s="3" t="n"/>
      <c r="AD333" s="3" t="n"/>
      <c r="AE333" s="3" t="n"/>
      <c r="AF333" s="3" t="n"/>
      <c r="AG333" s="3" t="n"/>
      <c r="AH333" s="3" t="n"/>
      <c r="AI333" s="3" t="n"/>
      <c r="AJ333" s="3" t="n"/>
      <c r="AK333" s="3" t="n"/>
      <c r="AL333" s="3" t="n"/>
      <c r="AM333" s="3" t="n"/>
      <c r="AN333" s="3" t="n"/>
      <c r="AO333" s="3" t="n"/>
    </row>
    <row r="334" ht="25" customHeight="1">
      <c r="A334" s="2">
        <f>"WF-"&amp;TEXT(ROW()-1,"0000")</f>
        <v/>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row>
    <row r="335" ht="25" customHeight="1">
      <c r="A335" s="3">
        <f>"WF-"&amp;TEXT(ROW()-1,"0000")</f>
        <v/>
      </c>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c r="AD335" s="3" t="n"/>
      <c r="AE335" s="3" t="n"/>
      <c r="AF335" s="3" t="n"/>
      <c r="AG335" s="3" t="n"/>
      <c r="AH335" s="3" t="n"/>
      <c r="AI335" s="3" t="n"/>
      <c r="AJ335" s="3" t="n"/>
      <c r="AK335" s="3" t="n"/>
      <c r="AL335" s="3" t="n"/>
      <c r="AM335" s="3" t="n"/>
      <c r="AN335" s="3" t="n"/>
      <c r="AO335" s="3" t="n"/>
    </row>
    <row r="336" ht="25" customHeight="1">
      <c r="A336" s="2">
        <f>"WF-"&amp;TEXT(ROW()-1,"0000")</f>
        <v/>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row>
    <row r="337" ht="25" customHeight="1">
      <c r="A337" s="3">
        <f>"WF-"&amp;TEXT(ROW()-1,"0000")</f>
        <v/>
      </c>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c r="AC337" s="3" t="n"/>
      <c r="AD337" s="3" t="n"/>
      <c r="AE337" s="3" t="n"/>
      <c r="AF337" s="3" t="n"/>
      <c r="AG337" s="3" t="n"/>
      <c r="AH337" s="3" t="n"/>
      <c r="AI337" s="3" t="n"/>
      <c r="AJ337" s="3" t="n"/>
      <c r="AK337" s="3" t="n"/>
      <c r="AL337" s="3" t="n"/>
      <c r="AM337" s="3" t="n"/>
      <c r="AN337" s="3" t="n"/>
      <c r="AO337" s="3" t="n"/>
    </row>
    <row r="338" ht="25" customHeight="1">
      <c r="A338" s="2">
        <f>"WF-"&amp;TEXT(ROW()-1,"0000")</f>
        <v/>
      </c>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row>
    <row r="339" ht="25" customHeight="1">
      <c r="A339" s="3">
        <f>"WF-"&amp;TEXT(ROW()-1,"0000")</f>
        <v/>
      </c>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c r="AD339" s="3" t="n"/>
      <c r="AE339" s="3" t="n"/>
      <c r="AF339" s="3" t="n"/>
      <c r="AG339" s="3" t="n"/>
      <c r="AH339" s="3" t="n"/>
      <c r="AI339" s="3" t="n"/>
      <c r="AJ339" s="3" t="n"/>
      <c r="AK339" s="3" t="n"/>
      <c r="AL339" s="3" t="n"/>
      <c r="AM339" s="3" t="n"/>
      <c r="AN339" s="3" t="n"/>
      <c r="AO339" s="3" t="n"/>
    </row>
    <row r="340" ht="25" customHeight="1">
      <c r="A340" s="2">
        <f>"WF-"&amp;TEXT(ROW()-1,"0000")</f>
        <v/>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row>
    <row r="341" ht="25" customHeight="1">
      <c r="A341" s="3">
        <f>"WF-"&amp;TEXT(ROW()-1,"0000")</f>
        <v/>
      </c>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c r="AD341" s="3" t="n"/>
      <c r="AE341" s="3" t="n"/>
      <c r="AF341" s="3" t="n"/>
      <c r="AG341" s="3" t="n"/>
      <c r="AH341" s="3" t="n"/>
      <c r="AI341" s="3" t="n"/>
      <c r="AJ341" s="3" t="n"/>
      <c r="AK341" s="3" t="n"/>
      <c r="AL341" s="3" t="n"/>
      <c r="AM341" s="3" t="n"/>
      <c r="AN341" s="3" t="n"/>
      <c r="AO341" s="3" t="n"/>
    </row>
    <row r="342" ht="25" customHeight="1">
      <c r="A342" s="2">
        <f>"WF-"&amp;TEXT(ROW()-1,"0000")</f>
        <v/>
      </c>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row>
    <row r="343" ht="25" customHeight="1">
      <c r="A343" s="3">
        <f>"WF-"&amp;TEXT(ROW()-1,"0000")</f>
        <v/>
      </c>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c r="AC343" s="3" t="n"/>
      <c r="AD343" s="3" t="n"/>
      <c r="AE343" s="3" t="n"/>
      <c r="AF343" s="3" t="n"/>
      <c r="AG343" s="3" t="n"/>
      <c r="AH343" s="3" t="n"/>
      <c r="AI343" s="3" t="n"/>
      <c r="AJ343" s="3" t="n"/>
      <c r="AK343" s="3" t="n"/>
      <c r="AL343" s="3" t="n"/>
      <c r="AM343" s="3" t="n"/>
      <c r="AN343" s="3" t="n"/>
      <c r="AO343" s="3" t="n"/>
    </row>
    <row r="344" ht="25" customHeight="1">
      <c r="A344" s="2">
        <f>"WF-"&amp;TEXT(ROW()-1,"0000")</f>
        <v/>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row>
    <row r="345" ht="25" customHeight="1">
      <c r="A345" s="3">
        <f>"WF-"&amp;TEXT(ROW()-1,"0000")</f>
        <v/>
      </c>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c r="AC345" s="3" t="n"/>
      <c r="AD345" s="3" t="n"/>
      <c r="AE345" s="3" t="n"/>
      <c r="AF345" s="3" t="n"/>
      <c r="AG345" s="3" t="n"/>
      <c r="AH345" s="3" t="n"/>
      <c r="AI345" s="3" t="n"/>
      <c r="AJ345" s="3" t="n"/>
      <c r="AK345" s="3" t="n"/>
      <c r="AL345" s="3" t="n"/>
      <c r="AM345" s="3" t="n"/>
      <c r="AN345" s="3" t="n"/>
      <c r="AO345" s="3" t="n"/>
    </row>
    <row r="346" ht="25" customHeight="1">
      <c r="A346" s="2">
        <f>"WF-"&amp;TEXT(ROW()-1,"0000")</f>
        <v/>
      </c>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row>
    <row r="347" ht="25" customHeight="1">
      <c r="A347" s="3">
        <f>"WF-"&amp;TEXT(ROW()-1,"0000")</f>
        <v/>
      </c>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c r="AC347" s="3" t="n"/>
      <c r="AD347" s="3" t="n"/>
      <c r="AE347" s="3" t="n"/>
      <c r="AF347" s="3" t="n"/>
      <c r="AG347" s="3" t="n"/>
      <c r="AH347" s="3" t="n"/>
      <c r="AI347" s="3" t="n"/>
      <c r="AJ347" s="3" t="n"/>
      <c r="AK347" s="3" t="n"/>
      <c r="AL347" s="3" t="n"/>
      <c r="AM347" s="3" t="n"/>
      <c r="AN347" s="3" t="n"/>
      <c r="AO347" s="3" t="n"/>
    </row>
    <row r="348" ht="25" customHeight="1">
      <c r="A348" s="2">
        <f>"WF-"&amp;TEXT(ROW()-1,"0000")</f>
        <v/>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row>
    <row r="349" ht="25" customHeight="1">
      <c r="A349" s="3">
        <f>"WF-"&amp;TEXT(ROW()-1,"0000")</f>
        <v/>
      </c>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c r="AC349" s="3" t="n"/>
      <c r="AD349" s="3" t="n"/>
      <c r="AE349" s="3" t="n"/>
      <c r="AF349" s="3" t="n"/>
      <c r="AG349" s="3" t="n"/>
      <c r="AH349" s="3" t="n"/>
      <c r="AI349" s="3" t="n"/>
      <c r="AJ349" s="3" t="n"/>
      <c r="AK349" s="3" t="n"/>
      <c r="AL349" s="3" t="n"/>
      <c r="AM349" s="3" t="n"/>
      <c r="AN349" s="3" t="n"/>
      <c r="AO349" s="3" t="n"/>
    </row>
    <row r="350" ht="25" customHeight="1">
      <c r="A350" s="2">
        <f>"WF-"&amp;TEXT(ROW()-1,"0000")</f>
        <v/>
      </c>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row>
    <row r="351" ht="25" customHeight="1">
      <c r="A351" s="3">
        <f>"WF-"&amp;TEXT(ROW()-1,"0000")</f>
        <v/>
      </c>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c r="AC351" s="3" t="n"/>
      <c r="AD351" s="3" t="n"/>
      <c r="AE351" s="3" t="n"/>
      <c r="AF351" s="3" t="n"/>
      <c r="AG351" s="3" t="n"/>
      <c r="AH351" s="3" t="n"/>
      <c r="AI351" s="3" t="n"/>
      <c r="AJ351" s="3" t="n"/>
      <c r="AK351" s="3" t="n"/>
      <c r="AL351" s="3" t="n"/>
      <c r="AM351" s="3" t="n"/>
      <c r="AN351" s="3" t="n"/>
      <c r="AO351" s="3" t="n"/>
    </row>
    <row r="352" ht="25" customHeight="1">
      <c r="A352" s="2">
        <f>"WF-"&amp;TEXT(ROW()-1,"0000")</f>
        <v/>
      </c>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row>
    <row r="353" ht="25" customHeight="1">
      <c r="A353" s="3">
        <f>"WF-"&amp;TEXT(ROW()-1,"0000")</f>
        <v/>
      </c>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c r="AC353" s="3" t="n"/>
      <c r="AD353" s="3" t="n"/>
      <c r="AE353" s="3" t="n"/>
      <c r="AF353" s="3" t="n"/>
      <c r="AG353" s="3" t="n"/>
      <c r="AH353" s="3" t="n"/>
      <c r="AI353" s="3" t="n"/>
      <c r="AJ353" s="3" t="n"/>
      <c r="AK353" s="3" t="n"/>
      <c r="AL353" s="3" t="n"/>
      <c r="AM353" s="3" t="n"/>
      <c r="AN353" s="3" t="n"/>
      <c r="AO353" s="3" t="n"/>
    </row>
    <row r="354" ht="25" customHeight="1">
      <c r="A354" s="2">
        <f>"WF-"&amp;TEXT(ROW()-1,"0000")</f>
        <v/>
      </c>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row>
    <row r="355" ht="25" customHeight="1">
      <c r="A355" s="3">
        <f>"WF-"&amp;TEXT(ROW()-1,"0000")</f>
        <v/>
      </c>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c r="AD355" s="3" t="n"/>
      <c r="AE355" s="3" t="n"/>
      <c r="AF355" s="3" t="n"/>
      <c r="AG355" s="3" t="n"/>
      <c r="AH355" s="3" t="n"/>
      <c r="AI355" s="3" t="n"/>
      <c r="AJ355" s="3" t="n"/>
      <c r="AK355" s="3" t="n"/>
      <c r="AL355" s="3" t="n"/>
      <c r="AM355" s="3" t="n"/>
      <c r="AN355" s="3" t="n"/>
      <c r="AO355" s="3" t="n"/>
    </row>
    <row r="356" ht="25" customHeight="1">
      <c r="A356" s="2">
        <f>"WF-"&amp;TEXT(ROW()-1,"0000")</f>
        <v/>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row>
    <row r="357" ht="25" customHeight="1">
      <c r="A357" s="3">
        <f>"WF-"&amp;TEXT(ROW()-1,"0000")</f>
        <v/>
      </c>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c r="AD357" s="3" t="n"/>
      <c r="AE357" s="3" t="n"/>
      <c r="AF357" s="3" t="n"/>
      <c r="AG357" s="3" t="n"/>
      <c r="AH357" s="3" t="n"/>
      <c r="AI357" s="3" t="n"/>
      <c r="AJ357" s="3" t="n"/>
      <c r="AK357" s="3" t="n"/>
      <c r="AL357" s="3" t="n"/>
      <c r="AM357" s="3" t="n"/>
      <c r="AN357" s="3" t="n"/>
      <c r="AO357" s="3" t="n"/>
    </row>
    <row r="358" ht="25" customHeight="1">
      <c r="A358" s="2">
        <f>"WF-"&amp;TEXT(ROW()-1,"0000")</f>
        <v/>
      </c>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row>
    <row r="359" ht="25" customHeight="1">
      <c r="A359" s="3">
        <f>"WF-"&amp;TEXT(ROW()-1,"0000")</f>
        <v/>
      </c>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c r="AC359" s="3" t="n"/>
      <c r="AD359" s="3" t="n"/>
      <c r="AE359" s="3" t="n"/>
      <c r="AF359" s="3" t="n"/>
      <c r="AG359" s="3" t="n"/>
      <c r="AH359" s="3" t="n"/>
      <c r="AI359" s="3" t="n"/>
      <c r="AJ359" s="3" t="n"/>
      <c r="AK359" s="3" t="n"/>
      <c r="AL359" s="3" t="n"/>
      <c r="AM359" s="3" t="n"/>
      <c r="AN359" s="3" t="n"/>
      <c r="AO359" s="3" t="n"/>
    </row>
    <row r="360" ht="25" customHeight="1">
      <c r="A360" s="2">
        <f>"WF-"&amp;TEXT(ROW()-1,"0000")</f>
        <v/>
      </c>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row>
    <row r="361" ht="25" customHeight="1">
      <c r="A361" s="3">
        <f>"WF-"&amp;TEXT(ROW()-1,"0000")</f>
        <v/>
      </c>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c r="AD361" s="3" t="n"/>
      <c r="AE361" s="3" t="n"/>
      <c r="AF361" s="3" t="n"/>
      <c r="AG361" s="3" t="n"/>
      <c r="AH361" s="3" t="n"/>
      <c r="AI361" s="3" t="n"/>
      <c r="AJ361" s="3" t="n"/>
      <c r="AK361" s="3" t="n"/>
      <c r="AL361" s="3" t="n"/>
      <c r="AM361" s="3" t="n"/>
      <c r="AN361" s="3" t="n"/>
      <c r="AO361" s="3" t="n"/>
    </row>
    <row r="362" ht="25" customHeight="1">
      <c r="A362" s="2">
        <f>"WF-"&amp;TEXT(ROW()-1,"0000")</f>
        <v/>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row>
    <row r="363" ht="25" customHeight="1">
      <c r="A363" s="3">
        <f>"WF-"&amp;TEXT(ROW()-1,"0000")</f>
        <v/>
      </c>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c r="AD363" s="3" t="n"/>
      <c r="AE363" s="3" t="n"/>
      <c r="AF363" s="3" t="n"/>
      <c r="AG363" s="3" t="n"/>
      <c r="AH363" s="3" t="n"/>
      <c r="AI363" s="3" t="n"/>
      <c r="AJ363" s="3" t="n"/>
      <c r="AK363" s="3" t="n"/>
      <c r="AL363" s="3" t="n"/>
      <c r="AM363" s="3" t="n"/>
      <c r="AN363" s="3" t="n"/>
      <c r="AO363" s="3" t="n"/>
    </row>
    <row r="364" ht="25" customHeight="1">
      <c r="A364" s="2">
        <f>"WF-"&amp;TEXT(ROW()-1,"0000")</f>
        <v/>
      </c>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row>
    <row r="365" ht="25" customHeight="1">
      <c r="A365" s="3">
        <f>"WF-"&amp;TEXT(ROW()-1,"0000")</f>
        <v/>
      </c>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c r="AD365" s="3" t="n"/>
      <c r="AE365" s="3" t="n"/>
      <c r="AF365" s="3" t="n"/>
      <c r="AG365" s="3" t="n"/>
      <c r="AH365" s="3" t="n"/>
      <c r="AI365" s="3" t="n"/>
      <c r="AJ365" s="3" t="n"/>
      <c r="AK365" s="3" t="n"/>
      <c r="AL365" s="3" t="n"/>
      <c r="AM365" s="3" t="n"/>
      <c r="AN365" s="3" t="n"/>
      <c r="AO365" s="3" t="n"/>
    </row>
    <row r="366" ht="25" customHeight="1">
      <c r="A366" s="2">
        <f>"WF-"&amp;TEXT(ROW()-1,"0000")</f>
        <v/>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row>
    <row r="367" ht="25" customHeight="1">
      <c r="A367" s="3">
        <f>"WF-"&amp;TEXT(ROW()-1,"0000")</f>
        <v/>
      </c>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c r="AC367" s="3" t="n"/>
      <c r="AD367" s="3" t="n"/>
      <c r="AE367" s="3" t="n"/>
      <c r="AF367" s="3" t="n"/>
      <c r="AG367" s="3" t="n"/>
      <c r="AH367" s="3" t="n"/>
      <c r="AI367" s="3" t="n"/>
      <c r="AJ367" s="3" t="n"/>
      <c r="AK367" s="3" t="n"/>
      <c r="AL367" s="3" t="n"/>
      <c r="AM367" s="3" t="n"/>
      <c r="AN367" s="3" t="n"/>
      <c r="AO367" s="3" t="n"/>
    </row>
    <row r="368" ht="25" customHeight="1">
      <c r="A368" s="2">
        <f>"WF-"&amp;TEXT(ROW()-1,"0000")</f>
        <v/>
      </c>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row>
    <row r="369" ht="25" customHeight="1">
      <c r="A369" s="3">
        <f>"WF-"&amp;TEXT(ROW()-1,"0000")</f>
        <v/>
      </c>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c r="AD369" s="3" t="n"/>
      <c r="AE369" s="3" t="n"/>
      <c r="AF369" s="3" t="n"/>
      <c r="AG369" s="3" t="n"/>
      <c r="AH369" s="3" t="n"/>
      <c r="AI369" s="3" t="n"/>
      <c r="AJ369" s="3" t="n"/>
      <c r="AK369" s="3" t="n"/>
      <c r="AL369" s="3" t="n"/>
      <c r="AM369" s="3" t="n"/>
      <c r="AN369" s="3" t="n"/>
      <c r="AO369" s="3" t="n"/>
    </row>
    <row r="370" ht="25" customHeight="1">
      <c r="A370" s="2">
        <f>"WF-"&amp;TEXT(ROW()-1,"0000")</f>
        <v/>
      </c>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row>
    <row r="371" ht="25" customHeight="1">
      <c r="A371" s="3">
        <f>"WF-"&amp;TEXT(ROW()-1,"0000")</f>
        <v/>
      </c>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c r="AC371" s="3" t="n"/>
      <c r="AD371" s="3" t="n"/>
      <c r="AE371" s="3" t="n"/>
      <c r="AF371" s="3" t="n"/>
      <c r="AG371" s="3" t="n"/>
      <c r="AH371" s="3" t="n"/>
      <c r="AI371" s="3" t="n"/>
      <c r="AJ371" s="3" t="n"/>
      <c r="AK371" s="3" t="n"/>
      <c r="AL371" s="3" t="n"/>
      <c r="AM371" s="3" t="n"/>
      <c r="AN371" s="3" t="n"/>
      <c r="AO371" s="3" t="n"/>
    </row>
    <row r="372" ht="25" customHeight="1">
      <c r="A372" s="2">
        <f>"WF-"&amp;TEXT(ROW()-1,"0000")</f>
        <v/>
      </c>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row>
    <row r="373" ht="25" customHeight="1">
      <c r="A373" s="3">
        <f>"WF-"&amp;TEXT(ROW()-1,"0000")</f>
        <v/>
      </c>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c r="AD373" s="3" t="n"/>
      <c r="AE373" s="3" t="n"/>
      <c r="AF373" s="3" t="n"/>
      <c r="AG373" s="3" t="n"/>
      <c r="AH373" s="3" t="n"/>
      <c r="AI373" s="3" t="n"/>
      <c r="AJ373" s="3" t="n"/>
      <c r="AK373" s="3" t="n"/>
      <c r="AL373" s="3" t="n"/>
      <c r="AM373" s="3" t="n"/>
      <c r="AN373" s="3" t="n"/>
      <c r="AO373" s="3" t="n"/>
    </row>
    <row r="374" ht="25" customHeight="1">
      <c r="A374" s="2">
        <f>"WF-"&amp;TEXT(ROW()-1,"0000")</f>
        <v/>
      </c>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row>
    <row r="375" ht="25" customHeight="1">
      <c r="A375" s="3">
        <f>"WF-"&amp;TEXT(ROW()-1,"0000")</f>
        <v/>
      </c>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c r="AC375" s="3" t="n"/>
      <c r="AD375" s="3" t="n"/>
      <c r="AE375" s="3" t="n"/>
      <c r="AF375" s="3" t="n"/>
      <c r="AG375" s="3" t="n"/>
      <c r="AH375" s="3" t="n"/>
      <c r="AI375" s="3" t="n"/>
      <c r="AJ375" s="3" t="n"/>
      <c r="AK375" s="3" t="n"/>
      <c r="AL375" s="3" t="n"/>
      <c r="AM375" s="3" t="n"/>
      <c r="AN375" s="3" t="n"/>
      <c r="AO375" s="3" t="n"/>
    </row>
    <row r="376" ht="25" customHeight="1">
      <c r="A376" s="2">
        <f>"WF-"&amp;TEXT(ROW()-1,"0000")</f>
        <v/>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row>
    <row r="377" ht="25" customHeight="1">
      <c r="A377" s="3">
        <f>"WF-"&amp;TEXT(ROW()-1,"0000")</f>
        <v/>
      </c>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c r="AD377" s="3" t="n"/>
      <c r="AE377" s="3" t="n"/>
      <c r="AF377" s="3" t="n"/>
      <c r="AG377" s="3" t="n"/>
      <c r="AH377" s="3" t="n"/>
      <c r="AI377" s="3" t="n"/>
      <c r="AJ377" s="3" t="n"/>
      <c r="AK377" s="3" t="n"/>
      <c r="AL377" s="3" t="n"/>
      <c r="AM377" s="3" t="n"/>
      <c r="AN377" s="3" t="n"/>
      <c r="AO377" s="3" t="n"/>
    </row>
    <row r="378" ht="25" customHeight="1">
      <c r="A378" s="2">
        <f>"WF-"&amp;TEXT(ROW()-1,"0000")</f>
        <v/>
      </c>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row>
    <row r="379" ht="25" customHeight="1">
      <c r="A379" s="3">
        <f>"WF-"&amp;TEXT(ROW()-1,"0000")</f>
        <v/>
      </c>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c r="AD379" s="3" t="n"/>
      <c r="AE379" s="3" t="n"/>
      <c r="AF379" s="3" t="n"/>
      <c r="AG379" s="3" t="n"/>
      <c r="AH379" s="3" t="n"/>
      <c r="AI379" s="3" t="n"/>
      <c r="AJ379" s="3" t="n"/>
      <c r="AK379" s="3" t="n"/>
      <c r="AL379" s="3" t="n"/>
      <c r="AM379" s="3" t="n"/>
      <c r="AN379" s="3" t="n"/>
      <c r="AO379" s="3" t="n"/>
    </row>
    <row r="380" ht="25" customHeight="1">
      <c r="A380" s="2">
        <f>"WF-"&amp;TEXT(ROW()-1,"0000")</f>
        <v/>
      </c>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row>
    <row r="381" ht="25" customHeight="1">
      <c r="A381" s="3">
        <f>"WF-"&amp;TEXT(ROW()-1,"0000")</f>
        <v/>
      </c>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c r="AC381" s="3" t="n"/>
      <c r="AD381" s="3" t="n"/>
      <c r="AE381" s="3" t="n"/>
      <c r="AF381" s="3" t="n"/>
      <c r="AG381" s="3" t="n"/>
      <c r="AH381" s="3" t="n"/>
      <c r="AI381" s="3" t="n"/>
      <c r="AJ381" s="3" t="n"/>
      <c r="AK381" s="3" t="n"/>
      <c r="AL381" s="3" t="n"/>
      <c r="AM381" s="3" t="n"/>
      <c r="AN381" s="3" t="n"/>
      <c r="AO381" s="3" t="n"/>
    </row>
    <row r="382" ht="25" customHeight="1">
      <c r="A382" s="2">
        <f>"WF-"&amp;TEXT(ROW()-1,"0000")</f>
        <v/>
      </c>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row>
    <row r="383" ht="25" customHeight="1">
      <c r="A383" s="3">
        <f>"WF-"&amp;TEXT(ROW()-1,"0000")</f>
        <v/>
      </c>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c r="AC383" s="3" t="n"/>
      <c r="AD383" s="3" t="n"/>
      <c r="AE383" s="3" t="n"/>
      <c r="AF383" s="3" t="n"/>
      <c r="AG383" s="3" t="n"/>
      <c r="AH383" s="3" t="n"/>
      <c r="AI383" s="3" t="n"/>
      <c r="AJ383" s="3" t="n"/>
      <c r="AK383" s="3" t="n"/>
      <c r="AL383" s="3" t="n"/>
      <c r="AM383" s="3" t="n"/>
      <c r="AN383" s="3" t="n"/>
      <c r="AO383" s="3" t="n"/>
    </row>
    <row r="384" ht="25" customHeight="1">
      <c r="A384" s="2">
        <f>"WF-"&amp;TEXT(ROW()-1,"0000")</f>
        <v/>
      </c>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row>
    <row r="385" ht="25" customHeight="1">
      <c r="A385" s="3">
        <f>"WF-"&amp;TEXT(ROW()-1,"0000")</f>
        <v/>
      </c>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c r="AC385" s="3" t="n"/>
      <c r="AD385" s="3" t="n"/>
      <c r="AE385" s="3" t="n"/>
      <c r="AF385" s="3" t="n"/>
      <c r="AG385" s="3" t="n"/>
      <c r="AH385" s="3" t="n"/>
      <c r="AI385" s="3" t="n"/>
      <c r="AJ385" s="3" t="n"/>
      <c r="AK385" s="3" t="n"/>
      <c r="AL385" s="3" t="n"/>
      <c r="AM385" s="3" t="n"/>
      <c r="AN385" s="3" t="n"/>
      <c r="AO385" s="3" t="n"/>
    </row>
    <row r="386" ht="25" customHeight="1">
      <c r="A386" s="2">
        <f>"WF-"&amp;TEXT(ROW()-1,"0000")</f>
        <v/>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row>
    <row r="387" ht="25" customHeight="1">
      <c r="A387" s="3">
        <f>"WF-"&amp;TEXT(ROW()-1,"0000")</f>
        <v/>
      </c>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c r="AC387" s="3" t="n"/>
      <c r="AD387" s="3" t="n"/>
      <c r="AE387" s="3" t="n"/>
      <c r="AF387" s="3" t="n"/>
      <c r="AG387" s="3" t="n"/>
      <c r="AH387" s="3" t="n"/>
      <c r="AI387" s="3" t="n"/>
      <c r="AJ387" s="3" t="n"/>
      <c r="AK387" s="3" t="n"/>
      <c r="AL387" s="3" t="n"/>
      <c r="AM387" s="3" t="n"/>
      <c r="AN387" s="3" t="n"/>
      <c r="AO387" s="3" t="n"/>
    </row>
    <row r="388" ht="25" customHeight="1">
      <c r="A388" s="2">
        <f>"WF-"&amp;TEXT(ROW()-1,"0000")</f>
        <v/>
      </c>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row>
    <row r="389" ht="25" customHeight="1">
      <c r="A389" s="3">
        <f>"WF-"&amp;TEXT(ROW()-1,"0000")</f>
        <v/>
      </c>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c r="AC389" s="3" t="n"/>
      <c r="AD389" s="3" t="n"/>
      <c r="AE389" s="3" t="n"/>
      <c r="AF389" s="3" t="n"/>
      <c r="AG389" s="3" t="n"/>
      <c r="AH389" s="3" t="n"/>
      <c r="AI389" s="3" t="n"/>
      <c r="AJ389" s="3" t="n"/>
      <c r="AK389" s="3" t="n"/>
      <c r="AL389" s="3" t="n"/>
      <c r="AM389" s="3" t="n"/>
      <c r="AN389" s="3" t="n"/>
      <c r="AO389" s="3" t="n"/>
    </row>
    <row r="390" ht="25" customHeight="1">
      <c r="A390" s="2">
        <f>"WF-"&amp;TEXT(ROW()-1,"0000")</f>
        <v/>
      </c>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row>
    <row r="391" ht="25" customHeight="1">
      <c r="A391" s="3">
        <f>"WF-"&amp;TEXT(ROW()-1,"0000")</f>
        <v/>
      </c>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c r="AC391" s="3" t="n"/>
      <c r="AD391" s="3" t="n"/>
      <c r="AE391" s="3" t="n"/>
      <c r="AF391" s="3" t="n"/>
      <c r="AG391" s="3" t="n"/>
      <c r="AH391" s="3" t="n"/>
      <c r="AI391" s="3" t="n"/>
      <c r="AJ391" s="3" t="n"/>
      <c r="AK391" s="3" t="n"/>
      <c r="AL391" s="3" t="n"/>
      <c r="AM391" s="3" t="n"/>
      <c r="AN391" s="3" t="n"/>
      <c r="AO391" s="3" t="n"/>
    </row>
    <row r="392" ht="25" customHeight="1">
      <c r="A392" s="2">
        <f>"WF-"&amp;TEXT(ROW()-1,"0000")</f>
        <v/>
      </c>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row>
    <row r="393" ht="25" customHeight="1">
      <c r="A393" s="3">
        <f>"WF-"&amp;TEXT(ROW()-1,"0000")</f>
        <v/>
      </c>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c r="AD393" s="3" t="n"/>
      <c r="AE393" s="3" t="n"/>
      <c r="AF393" s="3" t="n"/>
      <c r="AG393" s="3" t="n"/>
      <c r="AH393" s="3" t="n"/>
      <c r="AI393" s="3" t="n"/>
      <c r="AJ393" s="3" t="n"/>
      <c r="AK393" s="3" t="n"/>
      <c r="AL393" s="3" t="n"/>
      <c r="AM393" s="3" t="n"/>
      <c r="AN393" s="3" t="n"/>
      <c r="AO393" s="3" t="n"/>
    </row>
    <row r="394" ht="25" customHeight="1">
      <c r="A394" s="2">
        <f>"WF-"&amp;TEXT(ROW()-1,"0000")</f>
        <v/>
      </c>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row>
    <row r="395" ht="25" customHeight="1">
      <c r="A395" s="3">
        <f>"WF-"&amp;TEXT(ROW()-1,"0000")</f>
        <v/>
      </c>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c r="AD395" s="3" t="n"/>
      <c r="AE395" s="3" t="n"/>
      <c r="AF395" s="3" t="n"/>
      <c r="AG395" s="3" t="n"/>
      <c r="AH395" s="3" t="n"/>
      <c r="AI395" s="3" t="n"/>
      <c r="AJ395" s="3" t="n"/>
      <c r="AK395" s="3" t="n"/>
      <c r="AL395" s="3" t="n"/>
      <c r="AM395" s="3" t="n"/>
      <c r="AN395" s="3" t="n"/>
      <c r="AO395" s="3" t="n"/>
    </row>
    <row r="396" ht="25" customHeight="1">
      <c r="A396" s="2">
        <f>"WF-"&amp;TEXT(ROW()-1,"0000")</f>
        <v/>
      </c>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row>
    <row r="397" ht="25" customHeight="1">
      <c r="A397" s="3">
        <f>"WF-"&amp;TEXT(ROW()-1,"0000")</f>
        <v/>
      </c>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c r="AC397" s="3" t="n"/>
      <c r="AD397" s="3" t="n"/>
      <c r="AE397" s="3" t="n"/>
      <c r="AF397" s="3" t="n"/>
      <c r="AG397" s="3" t="n"/>
      <c r="AH397" s="3" t="n"/>
      <c r="AI397" s="3" t="n"/>
      <c r="AJ397" s="3" t="n"/>
      <c r="AK397" s="3" t="n"/>
      <c r="AL397" s="3" t="n"/>
      <c r="AM397" s="3" t="n"/>
      <c r="AN397" s="3" t="n"/>
      <c r="AO397" s="3" t="n"/>
    </row>
    <row r="398" ht="25" customHeight="1">
      <c r="A398" s="2">
        <f>"WF-"&amp;TEXT(ROW()-1,"0000")</f>
        <v/>
      </c>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row>
    <row r="399" ht="25" customHeight="1">
      <c r="A399" s="3">
        <f>"WF-"&amp;TEXT(ROW()-1,"0000")</f>
        <v/>
      </c>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c r="AD399" s="3" t="n"/>
      <c r="AE399" s="3" t="n"/>
      <c r="AF399" s="3" t="n"/>
      <c r="AG399" s="3" t="n"/>
      <c r="AH399" s="3" t="n"/>
      <c r="AI399" s="3" t="n"/>
      <c r="AJ399" s="3" t="n"/>
      <c r="AK399" s="3" t="n"/>
      <c r="AL399" s="3" t="n"/>
      <c r="AM399" s="3" t="n"/>
      <c r="AN399" s="3" t="n"/>
      <c r="AO399" s="3" t="n"/>
    </row>
    <row r="400" ht="25" customHeight="1">
      <c r="A400" s="2">
        <f>"WF-"&amp;TEXT(ROW()-1,"0000")</f>
        <v/>
      </c>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row>
    <row r="401" ht="25" customHeight="1">
      <c r="A401" s="3">
        <f>"WF-"&amp;TEXT(ROW()-1,"0000")</f>
        <v/>
      </c>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c r="AC401" s="3" t="n"/>
      <c r="AD401" s="3" t="n"/>
      <c r="AE401" s="3" t="n"/>
      <c r="AF401" s="3" t="n"/>
      <c r="AG401" s="3" t="n"/>
      <c r="AH401" s="3" t="n"/>
      <c r="AI401" s="3" t="n"/>
      <c r="AJ401" s="3" t="n"/>
      <c r="AK401" s="3" t="n"/>
      <c r="AL401" s="3" t="n"/>
      <c r="AM401" s="3" t="n"/>
      <c r="AN401" s="3" t="n"/>
      <c r="AO401" s="3" t="n"/>
    </row>
    <row r="402" ht="25" customHeight="1">
      <c r="A402" s="2">
        <f>"WF-"&amp;TEXT(ROW()-1,"0000")</f>
        <v/>
      </c>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row>
    <row r="403" ht="25" customHeight="1">
      <c r="A403" s="3">
        <f>"WF-"&amp;TEXT(ROW()-1,"0000")</f>
        <v/>
      </c>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c r="AC403" s="3" t="n"/>
      <c r="AD403" s="3" t="n"/>
      <c r="AE403" s="3" t="n"/>
      <c r="AF403" s="3" t="n"/>
      <c r="AG403" s="3" t="n"/>
      <c r="AH403" s="3" t="n"/>
      <c r="AI403" s="3" t="n"/>
      <c r="AJ403" s="3" t="n"/>
      <c r="AK403" s="3" t="n"/>
      <c r="AL403" s="3" t="n"/>
      <c r="AM403" s="3" t="n"/>
      <c r="AN403" s="3" t="n"/>
      <c r="AO403" s="3" t="n"/>
    </row>
    <row r="404" ht="25" customHeight="1">
      <c r="A404" s="2">
        <f>"WF-"&amp;TEXT(ROW()-1,"0000")</f>
        <v/>
      </c>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row>
    <row r="405" ht="25" customHeight="1">
      <c r="A405" s="3">
        <f>"WF-"&amp;TEXT(ROW()-1,"0000")</f>
        <v/>
      </c>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c r="AD405" s="3" t="n"/>
      <c r="AE405" s="3" t="n"/>
      <c r="AF405" s="3" t="n"/>
      <c r="AG405" s="3" t="n"/>
      <c r="AH405" s="3" t="n"/>
      <c r="AI405" s="3" t="n"/>
      <c r="AJ405" s="3" t="n"/>
      <c r="AK405" s="3" t="n"/>
      <c r="AL405" s="3" t="n"/>
      <c r="AM405" s="3" t="n"/>
      <c r="AN405" s="3" t="n"/>
      <c r="AO405" s="3" t="n"/>
    </row>
    <row r="406" ht="25" customHeight="1">
      <c r="A406" s="2">
        <f>"WF-"&amp;TEXT(ROW()-1,"0000")</f>
        <v/>
      </c>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row>
    <row r="407" ht="25" customHeight="1">
      <c r="A407" s="3">
        <f>"WF-"&amp;TEXT(ROW()-1,"0000")</f>
        <v/>
      </c>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c r="AD407" s="3" t="n"/>
      <c r="AE407" s="3" t="n"/>
      <c r="AF407" s="3" t="n"/>
      <c r="AG407" s="3" t="n"/>
      <c r="AH407" s="3" t="n"/>
      <c r="AI407" s="3" t="n"/>
      <c r="AJ407" s="3" t="n"/>
      <c r="AK407" s="3" t="n"/>
      <c r="AL407" s="3" t="n"/>
      <c r="AM407" s="3" t="n"/>
      <c r="AN407" s="3" t="n"/>
      <c r="AO407" s="3" t="n"/>
    </row>
    <row r="408" ht="25" customHeight="1">
      <c r="A408" s="2">
        <f>"WF-"&amp;TEXT(ROW()-1,"0000")</f>
        <v/>
      </c>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c r="AK408" s="2" t="n"/>
      <c r="AL408" s="2" t="n"/>
      <c r="AM408" s="2" t="n"/>
      <c r="AN408" s="2" t="n"/>
      <c r="AO408" s="2" t="n"/>
    </row>
    <row r="409" ht="25" customHeight="1">
      <c r="A409" s="3">
        <f>"WF-"&amp;TEXT(ROW()-1,"0000")</f>
        <v/>
      </c>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c r="AD409" s="3" t="n"/>
      <c r="AE409" s="3" t="n"/>
      <c r="AF409" s="3" t="n"/>
      <c r="AG409" s="3" t="n"/>
      <c r="AH409" s="3" t="n"/>
      <c r="AI409" s="3" t="n"/>
      <c r="AJ409" s="3" t="n"/>
      <c r="AK409" s="3" t="n"/>
      <c r="AL409" s="3" t="n"/>
      <c r="AM409" s="3" t="n"/>
      <c r="AN409" s="3" t="n"/>
      <c r="AO409" s="3" t="n"/>
    </row>
    <row r="410" ht="25" customHeight="1">
      <c r="A410" s="2">
        <f>"WF-"&amp;TEXT(ROW()-1,"0000")</f>
        <v/>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row>
    <row r="411" ht="25" customHeight="1">
      <c r="A411" s="3">
        <f>"WF-"&amp;TEXT(ROW()-1,"0000")</f>
        <v/>
      </c>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c r="AC411" s="3" t="n"/>
      <c r="AD411" s="3" t="n"/>
      <c r="AE411" s="3" t="n"/>
      <c r="AF411" s="3" t="n"/>
      <c r="AG411" s="3" t="n"/>
      <c r="AH411" s="3" t="n"/>
      <c r="AI411" s="3" t="n"/>
      <c r="AJ411" s="3" t="n"/>
      <c r="AK411" s="3" t="n"/>
      <c r="AL411" s="3" t="n"/>
      <c r="AM411" s="3" t="n"/>
      <c r="AN411" s="3" t="n"/>
      <c r="AO411" s="3" t="n"/>
    </row>
    <row r="412" ht="25" customHeight="1">
      <c r="A412" s="2">
        <f>"WF-"&amp;TEXT(ROW()-1,"0000")</f>
        <v/>
      </c>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row>
    <row r="413" ht="25" customHeight="1">
      <c r="A413" s="3">
        <f>"WF-"&amp;TEXT(ROW()-1,"0000")</f>
        <v/>
      </c>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c r="AD413" s="3" t="n"/>
      <c r="AE413" s="3" t="n"/>
      <c r="AF413" s="3" t="n"/>
      <c r="AG413" s="3" t="n"/>
      <c r="AH413" s="3" t="n"/>
      <c r="AI413" s="3" t="n"/>
      <c r="AJ413" s="3" t="n"/>
      <c r="AK413" s="3" t="n"/>
      <c r="AL413" s="3" t="n"/>
      <c r="AM413" s="3" t="n"/>
      <c r="AN413" s="3" t="n"/>
      <c r="AO413" s="3" t="n"/>
    </row>
    <row r="414" ht="25" customHeight="1">
      <c r="A414" s="2">
        <f>"WF-"&amp;TEXT(ROW()-1,"0000")</f>
        <v/>
      </c>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row>
    <row r="415" ht="25" customHeight="1">
      <c r="A415" s="3">
        <f>"WF-"&amp;TEXT(ROW()-1,"0000")</f>
        <v/>
      </c>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c r="AD415" s="3" t="n"/>
      <c r="AE415" s="3" t="n"/>
      <c r="AF415" s="3" t="n"/>
      <c r="AG415" s="3" t="n"/>
      <c r="AH415" s="3" t="n"/>
      <c r="AI415" s="3" t="n"/>
      <c r="AJ415" s="3" t="n"/>
      <c r="AK415" s="3" t="n"/>
      <c r="AL415" s="3" t="n"/>
      <c r="AM415" s="3" t="n"/>
      <c r="AN415" s="3" t="n"/>
      <c r="AO415" s="3" t="n"/>
    </row>
    <row r="416" ht="25" customHeight="1">
      <c r="A416" s="2">
        <f>"WF-"&amp;TEXT(ROW()-1,"0000")</f>
        <v/>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row>
    <row r="417" ht="25" customHeight="1">
      <c r="A417" s="3">
        <f>"WF-"&amp;TEXT(ROW()-1,"0000")</f>
        <v/>
      </c>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c r="AD417" s="3" t="n"/>
      <c r="AE417" s="3" t="n"/>
      <c r="AF417" s="3" t="n"/>
      <c r="AG417" s="3" t="n"/>
      <c r="AH417" s="3" t="n"/>
      <c r="AI417" s="3" t="n"/>
      <c r="AJ417" s="3" t="n"/>
      <c r="AK417" s="3" t="n"/>
      <c r="AL417" s="3" t="n"/>
      <c r="AM417" s="3" t="n"/>
      <c r="AN417" s="3" t="n"/>
      <c r="AO417" s="3" t="n"/>
    </row>
    <row r="418" ht="25" customHeight="1">
      <c r="A418" s="2">
        <f>"WF-"&amp;TEXT(ROW()-1,"0000")</f>
        <v/>
      </c>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row>
    <row r="419" ht="25" customHeight="1">
      <c r="A419" s="3">
        <f>"WF-"&amp;TEXT(ROW()-1,"0000")</f>
        <v/>
      </c>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c r="AD419" s="3" t="n"/>
      <c r="AE419" s="3" t="n"/>
      <c r="AF419" s="3" t="n"/>
      <c r="AG419" s="3" t="n"/>
      <c r="AH419" s="3" t="n"/>
      <c r="AI419" s="3" t="n"/>
      <c r="AJ419" s="3" t="n"/>
      <c r="AK419" s="3" t="n"/>
      <c r="AL419" s="3" t="n"/>
      <c r="AM419" s="3" t="n"/>
      <c r="AN419" s="3" t="n"/>
      <c r="AO419" s="3" t="n"/>
    </row>
    <row r="420" ht="25" customHeight="1">
      <c r="A420" s="2">
        <f>"WF-"&amp;TEXT(ROW()-1,"0000")</f>
        <v/>
      </c>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row>
    <row r="421" ht="25" customHeight="1">
      <c r="A421" s="3">
        <f>"WF-"&amp;TEXT(ROW()-1,"0000")</f>
        <v/>
      </c>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c r="AC421" s="3" t="n"/>
      <c r="AD421" s="3" t="n"/>
      <c r="AE421" s="3" t="n"/>
      <c r="AF421" s="3" t="n"/>
      <c r="AG421" s="3" t="n"/>
      <c r="AH421" s="3" t="n"/>
      <c r="AI421" s="3" t="n"/>
      <c r="AJ421" s="3" t="n"/>
      <c r="AK421" s="3" t="n"/>
      <c r="AL421" s="3" t="n"/>
      <c r="AM421" s="3" t="n"/>
      <c r="AN421" s="3" t="n"/>
      <c r="AO421" s="3" t="n"/>
    </row>
    <row r="422" ht="25" customHeight="1">
      <c r="A422" s="2">
        <f>"WF-"&amp;TEXT(ROW()-1,"0000")</f>
        <v/>
      </c>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c r="AK422" s="2" t="n"/>
      <c r="AL422" s="2" t="n"/>
      <c r="AM422" s="2" t="n"/>
      <c r="AN422" s="2" t="n"/>
      <c r="AO422" s="2" t="n"/>
    </row>
    <row r="423" ht="25" customHeight="1">
      <c r="A423" s="3">
        <f>"WF-"&amp;TEXT(ROW()-1,"0000")</f>
        <v/>
      </c>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c r="AC423" s="3" t="n"/>
      <c r="AD423" s="3" t="n"/>
      <c r="AE423" s="3" t="n"/>
      <c r="AF423" s="3" t="n"/>
      <c r="AG423" s="3" t="n"/>
      <c r="AH423" s="3" t="n"/>
      <c r="AI423" s="3" t="n"/>
      <c r="AJ423" s="3" t="n"/>
      <c r="AK423" s="3" t="n"/>
      <c r="AL423" s="3" t="n"/>
      <c r="AM423" s="3" t="n"/>
      <c r="AN423" s="3" t="n"/>
      <c r="AO423" s="3" t="n"/>
    </row>
    <row r="424" ht="25" customHeight="1">
      <c r="A424" s="2">
        <f>"WF-"&amp;TEXT(ROW()-1,"0000")</f>
        <v/>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row>
    <row r="425" ht="25" customHeight="1">
      <c r="A425" s="3">
        <f>"WF-"&amp;TEXT(ROW()-1,"0000")</f>
        <v/>
      </c>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c r="AD425" s="3" t="n"/>
      <c r="AE425" s="3" t="n"/>
      <c r="AF425" s="3" t="n"/>
      <c r="AG425" s="3" t="n"/>
      <c r="AH425" s="3" t="n"/>
      <c r="AI425" s="3" t="n"/>
      <c r="AJ425" s="3" t="n"/>
      <c r="AK425" s="3" t="n"/>
      <c r="AL425" s="3" t="n"/>
      <c r="AM425" s="3" t="n"/>
      <c r="AN425" s="3" t="n"/>
      <c r="AO425" s="3" t="n"/>
    </row>
    <row r="426" ht="25" customHeight="1">
      <c r="A426" s="2">
        <f>"WF-"&amp;TEXT(ROW()-1,"0000")</f>
        <v/>
      </c>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row>
    <row r="427" ht="25" customHeight="1">
      <c r="A427" s="3">
        <f>"WF-"&amp;TEXT(ROW()-1,"0000")</f>
        <v/>
      </c>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c r="AD427" s="3" t="n"/>
      <c r="AE427" s="3" t="n"/>
      <c r="AF427" s="3" t="n"/>
      <c r="AG427" s="3" t="n"/>
      <c r="AH427" s="3" t="n"/>
      <c r="AI427" s="3" t="n"/>
      <c r="AJ427" s="3" t="n"/>
      <c r="AK427" s="3" t="n"/>
      <c r="AL427" s="3" t="n"/>
      <c r="AM427" s="3" t="n"/>
      <c r="AN427" s="3" t="n"/>
      <c r="AO427" s="3" t="n"/>
    </row>
    <row r="428" ht="25" customHeight="1">
      <c r="A428" s="2">
        <f>"WF-"&amp;TEXT(ROW()-1,"0000")</f>
        <v/>
      </c>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row>
    <row r="429" ht="25" customHeight="1">
      <c r="A429" s="3">
        <f>"WF-"&amp;TEXT(ROW()-1,"0000")</f>
        <v/>
      </c>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c r="AC429" s="3" t="n"/>
      <c r="AD429" s="3" t="n"/>
      <c r="AE429" s="3" t="n"/>
      <c r="AF429" s="3" t="n"/>
      <c r="AG429" s="3" t="n"/>
      <c r="AH429" s="3" t="n"/>
      <c r="AI429" s="3" t="n"/>
      <c r="AJ429" s="3" t="n"/>
      <c r="AK429" s="3" t="n"/>
      <c r="AL429" s="3" t="n"/>
      <c r="AM429" s="3" t="n"/>
      <c r="AN429" s="3" t="n"/>
      <c r="AO429" s="3" t="n"/>
    </row>
    <row r="430" ht="25" customHeight="1">
      <c r="A430" s="2">
        <f>"WF-"&amp;TEXT(ROW()-1,"0000")</f>
        <v/>
      </c>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row>
    <row r="431" ht="25" customHeight="1">
      <c r="A431" s="3">
        <f>"WF-"&amp;TEXT(ROW()-1,"0000")</f>
        <v/>
      </c>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c r="AC431" s="3" t="n"/>
      <c r="AD431" s="3" t="n"/>
      <c r="AE431" s="3" t="n"/>
      <c r="AF431" s="3" t="n"/>
      <c r="AG431" s="3" t="n"/>
      <c r="AH431" s="3" t="n"/>
      <c r="AI431" s="3" t="n"/>
      <c r="AJ431" s="3" t="n"/>
      <c r="AK431" s="3" t="n"/>
      <c r="AL431" s="3" t="n"/>
      <c r="AM431" s="3" t="n"/>
      <c r="AN431" s="3" t="n"/>
      <c r="AO431" s="3" t="n"/>
    </row>
    <row r="432" ht="25" customHeight="1">
      <c r="A432" s="2">
        <f>"WF-"&amp;TEXT(ROW()-1,"0000")</f>
        <v/>
      </c>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row>
    <row r="433" ht="25" customHeight="1">
      <c r="A433" s="3">
        <f>"WF-"&amp;TEXT(ROW()-1,"0000")</f>
        <v/>
      </c>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c r="AD433" s="3" t="n"/>
      <c r="AE433" s="3" t="n"/>
      <c r="AF433" s="3" t="n"/>
      <c r="AG433" s="3" t="n"/>
      <c r="AH433" s="3" t="n"/>
      <c r="AI433" s="3" t="n"/>
      <c r="AJ433" s="3" t="n"/>
      <c r="AK433" s="3" t="n"/>
      <c r="AL433" s="3" t="n"/>
      <c r="AM433" s="3" t="n"/>
      <c r="AN433" s="3" t="n"/>
      <c r="AO433" s="3" t="n"/>
    </row>
    <row r="434" ht="25" customHeight="1">
      <c r="A434" s="2">
        <f>"WF-"&amp;TEXT(ROW()-1,"0000")</f>
        <v/>
      </c>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row>
    <row r="435" ht="25" customHeight="1">
      <c r="A435" s="3">
        <f>"WF-"&amp;TEXT(ROW()-1,"0000")</f>
        <v/>
      </c>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c r="AD435" s="3" t="n"/>
      <c r="AE435" s="3" t="n"/>
      <c r="AF435" s="3" t="n"/>
      <c r="AG435" s="3" t="n"/>
      <c r="AH435" s="3" t="n"/>
      <c r="AI435" s="3" t="n"/>
      <c r="AJ435" s="3" t="n"/>
      <c r="AK435" s="3" t="n"/>
      <c r="AL435" s="3" t="n"/>
      <c r="AM435" s="3" t="n"/>
      <c r="AN435" s="3" t="n"/>
      <c r="AO435" s="3" t="n"/>
    </row>
    <row r="436" ht="25" customHeight="1">
      <c r="A436" s="2">
        <f>"WF-"&amp;TEXT(ROW()-1,"0000")</f>
        <v/>
      </c>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c r="AK436" s="2" t="n"/>
      <c r="AL436" s="2" t="n"/>
      <c r="AM436" s="2" t="n"/>
      <c r="AN436" s="2" t="n"/>
      <c r="AO436" s="2" t="n"/>
    </row>
    <row r="437" ht="25" customHeight="1">
      <c r="A437" s="3">
        <f>"WF-"&amp;TEXT(ROW()-1,"0000")</f>
        <v/>
      </c>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c r="AC437" s="3" t="n"/>
      <c r="AD437" s="3" t="n"/>
      <c r="AE437" s="3" t="n"/>
      <c r="AF437" s="3" t="n"/>
      <c r="AG437" s="3" t="n"/>
      <c r="AH437" s="3" t="n"/>
      <c r="AI437" s="3" t="n"/>
      <c r="AJ437" s="3" t="n"/>
      <c r="AK437" s="3" t="n"/>
      <c r="AL437" s="3" t="n"/>
      <c r="AM437" s="3" t="n"/>
      <c r="AN437" s="3" t="n"/>
      <c r="AO437" s="3" t="n"/>
    </row>
    <row r="438" ht="25" customHeight="1">
      <c r="A438" s="2">
        <f>"WF-"&amp;TEXT(ROW()-1,"0000")</f>
        <v/>
      </c>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row>
    <row r="439" ht="25" customHeight="1">
      <c r="A439" s="3">
        <f>"WF-"&amp;TEXT(ROW()-1,"0000")</f>
        <v/>
      </c>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c r="AC439" s="3" t="n"/>
      <c r="AD439" s="3" t="n"/>
      <c r="AE439" s="3" t="n"/>
      <c r="AF439" s="3" t="n"/>
      <c r="AG439" s="3" t="n"/>
      <c r="AH439" s="3" t="n"/>
      <c r="AI439" s="3" t="n"/>
      <c r="AJ439" s="3" t="n"/>
      <c r="AK439" s="3" t="n"/>
      <c r="AL439" s="3" t="n"/>
      <c r="AM439" s="3" t="n"/>
      <c r="AN439" s="3" t="n"/>
      <c r="AO439" s="3" t="n"/>
    </row>
    <row r="440" ht="25" customHeight="1">
      <c r="A440" s="2">
        <f>"WF-"&amp;TEXT(ROW()-1,"0000")</f>
        <v/>
      </c>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row>
    <row r="441" ht="25" customHeight="1">
      <c r="A441" s="3">
        <f>"WF-"&amp;TEXT(ROW()-1,"0000")</f>
        <v/>
      </c>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c r="AD441" s="3" t="n"/>
      <c r="AE441" s="3" t="n"/>
      <c r="AF441" s="3" t="n"/>
      <c r="AG441" s="3" t="n"/>
      <c r="AH441" s="3" t="n"/>
      <c r="AI441" s="3" t="n"/>
      <c r="AJ441" s="3" t="n"/>
      <c r="AK441" s="3" t="n"/>
      <c r="AL441" s="3" t="n"/>
      <c r="AM441" s="3" t="n"/>
      <c r="AN441" s="3" t="n"/>
      <c r="AO441" s="3" t="n"/>
    </row>
    <row r="442" ht="25" customHeight="1">
      <c r="A442" s="2">
        <f>"WF-"&amp;TEXT(ROW()-1,"0000")</f>
        <v/>
      </c>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row>
    <row r="443" ht="25" customHeight="1">
      <c r="A443" s="3">
        <f>"WF-"&amp;TEXT(ROW()-1,"0000")</f>
        <v/>
      </c>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c r="AC443" s="3" t="n"/>
      <c r="AD443" s="3" t="n"/>
      <c r="AE443" s="3" t="n"/>
      <c r="AF443" s="3" t="n"/>
      <c r="AG443" s="3" t="n"/>
      <c r="AH443" s="3" t="n"/>
      <c r="AI443" s="3" t="n"/>
      <c r="AJ443" s="3" t="n"/>
      <c r="AK443" s="3" t="n"/>
      <c r="AL443" s="3" t="n"/>
      <c r="AM443" s="3" t="n"/>
      <c r="AN443" s="3" t="n"/>
      <c r="AO443" s="3" t="n"/>
    </row>
    <row r="444" ht="25" customHeight="1">
      <c r="A444" s="2">
        <f>"WF-"&amp;TEXT(ROW()-1,"0000")</f>
        <v/>
      </c>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row>
    <row r="445" ht="25" customHeight="1">
      <c r="A445" s="3">
        <f>"WF-"&amp;TEXT(ROW()-1,"0000")</f>
        <v/>
      </c>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c r="AC445" s="3" t="n"/>
      <c r="AD445" s="3" t="n"/>
      <c r="AE445" s="3" t="n"/>
      <c r="AF445" s="3" t="n"/>
      <c r="AG445" s="3" t="n"/>
      <c r="AH445" s="3" t="n"/>
      <c r="AI445" s="3" t="n"/>
      <c r="AJ445" s="3" t="n"/>
      <c r="AK445" s="3" t="n"/>
      <c r="AL445" s="3" t="n"/>
      <c r="AM445" s="3" t="n"/>
      <c r="AN445" s="3" t="n"/>
      <c r="AO445" s="3" t="n"/>
    </row>
    <row r="446" ht="25" customHeight="1">
      <c r="A446" s="2">
        <f>"WF-"&amp;TEXT(ROW()-1,"0000")</f>
        <v/>
      </c>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row>
    <row r="447" ht="25" customHeight="1">
      <c r="A447" s="3">
        <f>"WF-"&amp;TEXT(ROW()-1,"0000")</f>
        <v/>
      </c>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c r="AC447" s="3" t="n"/>
      <c r="AD447" s="3" t="n"/>
      <c r="AE447" s="3" t="n"/>
      <c r="AF447" s="3" t="n"/>
      <c r="AG447" s="3" t="n"/>
      <c r="AH447" s="3" t="n"/>
      <c r="AI447" s="3" t="n"/>
      <c r="AJ447" s="3" t="n"/>
      <c r="AK447" s="3" t="n"/>
      <c r="AL447" s="3" t="n"/>
      <c r="AM447" s="3" t="n"/>
      <c r="AN447" s="3" t="n"/>
      <c r="AO447" s="3" t="n"/>
    </row>
    <row r="448" ht="25" customHeight="1">
      <c r="A448" s="2">
        <f>"WF-"&amp;TEXT(ROW()-1,"0000")</f>
        <v/>
      </c>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row>
    <row r="449" ht="25" customHeight="1">
      <c r="A449" s="3">
        <f>"WF-"&amp;TEXT(ROW()-1,"0000")</f>
        <v/>
      </c>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c r="AD449" s="3" t="n"/>
      <c r="AE449" s="3" t="n"/>
      <c r="AF449" s="3" t="n"/>
      <c r="AG449" s="3" t="n"/>
      <c r="AH449" s="3" t="n"/>
      <c r="AI449" s="3" t="n"/>
      <c r="AJ449" s="3" t="n"/>
      <c r="AK449" s="3" t="n"/>
      <c r="AL449" s="3" t="n"/>
      <c r="AM449" s="3" t="n"/>
      <c r="AN449" s="3" t="n"/>
      <c r="AO449" s="3" t="n"/>
    </row>
    <row r="450" ht="25" customHeight="1">
      <c r="A450" s="2">
        <f>"WF-"&amp;TEXT(ROW()-1,"0000")</f>
        <v/>
      </c>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row>
    <row r="451" ht="25" customHeight="1">
      <c r="A451" s="3">
        <f>"WF-"&amp;TEXT(ROW()-1,"0000")</f>
        <v/>
      </c>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c r="AC451" s="3" t="n"/>
      <c r="AD451" s="3" t="n"/>
      <c r="AE451" s="3" t="n"/>
      <c r="AF451" s="3" t="n"/>
      <c r="AG451" s="3" t="n"/>
      <c r="AH451" s="3" t="n"/>
      <c r="AI451" s="3" t="n"/>
      <c r="AJ451" s="3" t="n"/>
      <c r="AK451" s="3" t="n"/>
      <c r="AL451" s="3" t="n"/>
      <c r="AM451" s="3" t="n"/>
      <c r="AN451" s="3" t="n"/>
      <c r="AO451" s="3" t="n"/>
    </row>
    <row r="452" ht="25" customHeight="1">
      <c r="A452" s="2">
        <f>"WF-"&amp;TEXT(ROW()-1,"0000")</f>
        <v/>
      </c>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row>
    <row r="453" ht="25" customHeight="1">
      <c r="A453" s="3">
        <f>"WF-"&amp;TEXT(ROW()-1,"0000")</f>
        <v/>
      </c>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c r="AD453" s="3" t="n"/>
      <c r="AE453" s="3" t="n"/>
      <c r="AF453" s="3" t="n"/>
      <c r="AG453" s="3" t="n"/>
      <c r="AH453" s="3" t="n"/>
      <c r="AI453" s="3" t="n"/>
      <c r="AJ453" s="3" t="n"/>
      <c r="AK453" s="3" t="n"/>
      <c r="AL453" s="3" t="n"/>
      <c r="AM453" s="3" t="n"/>
      <c r="AN453" s="3" t="n"/>
      <c r="AO453" s="3" t="n"/>
    </row>
    <row r="454" ht="25" customHeight="1">
      <c r="A454" s="2">
        <f>"WF-"&amp;TEXT(ROW()-1,"0000")</f>
        <v/>
      </c>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row>
    <row r="455" ht="25" customHeight="1">
      <c r="A455" s="3">
        <f>"WF-"&amp;TEXT(ROW()-1,"0000")</f>
        <v/>
      </c>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c r="AD455" s="3" t="n"/>
      <c r="AE455" s="3" t="n"/>
      <c r="AF455" s="3" t="n"/>
      <c r="AG455" s="3" t="n"/>
      <c r="AH455" s="3" t="n"/>
      <c r="AI455" s="3" t="n"/>
      <c r="AJ455" s="3" t="n"/>
      <c r="AK455" s="3" t="n"/>
      <c r="AL455" s="3" t="n"/>
      <c r="AM455" s="3" t="n"/>
      <c r="AN455" s="3" t="n"/>
      <c r="AO455" s="3" t="n"/>
    </row>
    <row r="456" ht="25" customHeight="1">
      <c r="A456" s="2">
        <f>"WF-"&amp;TEXT(ROW()-1,"0000")</f>
        <v/>
      </c>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row>
    <row r="457" ht="25" customHeight="1">
      <c r="A457" s="3">
        <f>"WF-"&amp;TEXT(ROW()-1,"0000")</f>
        <v/>
      </c>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c r="AD457" s="3" t="n"/>
      <c r="AE457" s="3" t="n"/>
      <c r="AF457" s="3" t="n"/>
      <c r="AG457" s="3" t="n"/>
      <c r="AH457" s="3" t="n"/>
      <c r="AI457" s="3" t="n"/>
      <c r="AJ457" s="3" t="n"/>
      <c r="AK457" s="3" t="n"/>
      <c r="AL457" s="3" t="n"/>
      <c r="AM457" s="3" t="n"/>
      <c r="AN457" s="3" t="n"/>
      <c r="AO457" s="3" t="n"/>
    </row>
    <row r="458" ht="25" customHeight="1">
      <c r="A458" s="2">
        <f>"WF-"&amp;TEXT(ROW()-1,"0000")</f>
        <v/>
      </c>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row>
    <row r="459" ht="25" customHeight="1">
      <c r="A459" s="3">
        <f>"WF-"&amp;TEXT(ROW()-1,"0000")</f>
        <v/>
      </c>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c r="AC459" s="3" t="n"/>
      <c r="AD459" s="3" t="n"/>
      <c r="AE459" s="3" t="n"/>
      <c r="AF459" s="3" t="n"/>
      <c r="AG459" s="3" t="n"/>
      <c r="AH459" s="3" t="n"/>
      <c r="AI459" s="3" t="n"/>
      <c r="AJ459" s="3" t="n"/>
      <c r="AK459" s="3" t="n"/>
      <c r="AL459" s="3" t="n"/>
      <c r="AM459" s="3" t="n"/>
      <c r="AN459" s="3" t="n"/>
      <c r="AO459" s="3" t="n"/>
    </row>
    <row r="460" ht="25" customHeight="1">
      <c r="A460" s="2">
        <f>"WF-"&amp;TEXT(ROW()-1,"0000")</f>
        <v/>
      </c>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row>
    <row r="461" ht="25" customHeight="1">
      <c r="A461" s="3">
        <f>"WF-"&amp;TEXT(ROW()-1,"0000")</f>
        <v/>
      </c>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c r="AD461" s="3" t="n"/>
      <c r="AE461" s="3" t="n"/>
      <c r="AF461" s="3" t="n"/>
      <c r="AG461" s="3" t="n"/>
      <c r="AH461" s="3" t="n"/>
      <c r="AI461" s="3" t="n"/>
      <c r="AJ461" s="3" t="n"/>
      <c r="AK461" s="3" t="n"/>
      <c r="AL461" s="3" t="n"/>
      <c r="AM461" s="3" t="n"/>
      <c r="AN461" s="3" t="n"/>
      <c r="AO461" s="3" t="n"/>
    </row>
    <row r="462" ht="25" customHeight="1">
      <c r="A462" s="2">
        <f>"WF-"&amp;TEXT(ROW()-1,"0000")</f>
        <v/>
      </c>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c r="AK462" s="2" t="n"/>
      <c r="AL462" s="2" t="n"/>
      <c r="AM462" s="2" t="n"/>
      <c r="AN462" s="2" t="n"/>
      <c r="AO462" s="2" t="n"/>
    </row>
    <row r="463" ht="25" customHeight="1">
      <c r="A463" s="3">
        <f>"WF-"&amp;TEXT(ROW()-1,"0000")</f>
        <v/>
      </c>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c r="AD463" s="3" t="n"/>
      <c r="AE463" s="3" t="n"/>
      <c r="AF463" s="3" t="n"/>
      <c r="AG463" s="3" t="n"/>
      <c r="AH463" s="3" t="n"/>
      <c r="AI463" s="3" t="n"/>
      <c r="AJ463" s="3" t="n"/>
      <c r="AK463" s="3" t="n"/>
      <c r="AL463" s="3" t="n"/>
      <c r="AM463" s="3" t="n"/>
      <c r="AN463" s="3" t="n"/>
      <c r="AO463" s="3" t="n"/>
    </row>
    <row r="464" ht="25" customHeight="1">
      <c r="A464" s="2">
        <f>"WF-"&amp;TEXT(ROW()-1,"0000")</f>
        <v/>
      </c>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row>
    <row r="465" ht="25" customHeight="1">
      <c r="A465" s="3">
        <f>"WF-"&amp;TEXT(ROW()-1,"0000")</f>
        <v/>
      </c>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c r="AC465" s="3" t="n"/>
      <c r="AD465" s="3" t="n"/>
      <c r="AE465" s="3" t="n"/>
      <c r="AF465" s="3" t="n"/>
      <c r="AG465" s="3" t="n"/>
      <c r="AH465" s="3" t="n"/>
      <c r="AI465" s="3" t="n"/>
      <c r="AJ465" s="3" t="n"/>
      <c r="AK465" s="3" t="n"/>
      <c r="AL465" s="3" t="n"/>
      <c r="AM465" s="3" t="n"/>
      <c r="AN465" s="3" t="n"/>
      <c r="AO465" s="3" t="n"/>
    </row>
    <row r="466" ht="25" customHeight="1">
      <c r="A466" s="2">
        <f>"WF-"&amp;TEXT(ROW()-1,"0000")</f>
        <v/>
      </c>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row>
    <row r="467" ht="25" customHeight="1">
      <c r="A467" s="3">
        <f>"WF-"&amp;TEXT(ROW()-1,"0000")</f>
        <v/>
      </c>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c r="AD467" s="3" t="n"/>
      <c r="AE467" s="3" t="n"/>
      <c r="AF467" s="3" t="n"/>
      <c r="AG467" s="3" t="n"/>
      <c r="AH467" s="3" t="n"/>
      <c r="AI467" s="3" t="n"/>
      <c r="AJ467" s="3" t="n"/>
      <c r="AK467" s="3" t="n"/>
      <c r="AL467" s="3" t="n"/>
      <c r="AM467" s="3" t="n"/>
      <c r="AN467" s="3" t="n"/>
      <c r="AO467" s="3" t="n"/>
    </row>
    <row r="468" ht="25" customHeight="1">
      <c r="A468" s="2">
        <f>"WF-"&amp;TEXT(ROW()-1,"0000")</f>
        <v/>
      </c>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row>
    <row r="469" ht="25" customHeight="1">
      <c r="A469" s="3">
        <f>"WF-"&amp;TEXT(ROW()-1,"0000")</f>
        <v/>
      </c>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c r="AD469" s="3" t="n"/>
      <c r="AE469" s="3" t="n"/>
      <c r="AF469" s="3" t="n"/>
      <c r="AG469" s="3" t="n"/>
      <c r="AH469" s="3" t="n"/>
      <c r="AI469" s="3" t="n"/>
      <c r="AJ469" s="3" t="n"/>
      <c r="AK469" s="3" t="n"/>
      <c r="AL469" s="3" t="n"/>
      <c r="AM469" s="3" t="n"/>
      <c r="AN469" s="3" t="n"/>
      <c r="AO469" s="3" t="n"/>
    </row>
    <row r="470" ht="25" customHeight="1">
      <c r="A470" s="2">
        <f>"WF-"&amp;TEXT(ROW()-1,"0000")</f>
        <v/>
      </c>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row>
    <row r="471" ht="25" customHeight="1">
      <c r="A471" s="3">
        <f>"WF-"&amp;TEXT(ROW()-1,"0000")</f>
        <v/>
      </c>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c r="AD471" s="3" t="n"/>
      <c r="AE471" s="3" t="n"/>
      <c r="AF471" s="3" t="n"/>
      <c r="AG471" s="3" t="n"/>
      <c r="AH471" s="3" t="n"/>
      <c r="AI471" s="3" t="n"/>
      <c r="AJ471" s="3" t="n"/>
      <c r="AK471" s="3" t="n"/>
      <c r="AL471" s="3" t="n"/>
      <c r="AM471" s="3" t="n"/>
      <c r="AN471" s="3" t="n"/>
      <c r="AO471" s="3" t="n"/>
    </row>
    <row r="472" ht="25" customHeight="1">
      <c r="A472" s="2">
        <f>"WF-"&amp;TEXT(ROW()-1,"0000")</f>
        <v/>
      </c>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row>
    <row r="473" ht="25" customHeight="1">
      <c r="A473" s="3">
        <f>"WF-"&amp;TEXT(ROW()-1,"0000")</f>
        <v/>
      </c>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c r="AC473" s="3" t="n"/>
      <c r="AD473" s="3" t="n"/>
      <c r="AE473" s="3" t="n"/>
      <c r="AF473" s="3" t="n"/>
      <c r="AG473" s="3" t="n"/>
      <c r="AH473" s="3" t="n"/>
      <c r="AI473" s="3" t="n"/>
      <c r="AJ473" s="3" t="n"/>
      <c r="AK473" s="3" t="n"/>
      <c r="AL473" s="3" t="n"/>
      <c r="AM473" s="3" t="n"/>
      <c r="AN473" s="3" t="n"/>
      <c r="AO473" s="3" t="n"/>
    </row>
    <row r="474" ht="25" customHeight="1">
      <c r="A474" s="2">
        <f>"WF-"&amp;TEXT(ROW()-1,"0000")</f>
        <v/>
      </c>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row>
    <row r="475" ht="25" customHeight="1">
      <c r="A475" s="3">
        <f>"WF-"&amp;TEXT(ROW()-1,"0000")</f>
        <v/>
      </c>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c r="AC475" s="3" t="n"/>
      <c r="AD475" s="3" t="n"/>
      <c r="AE475" s="3" t="n"/>
      <c r="AF475" s="3" t="n"/>
      <c r="AG475" s="3" t="n"/>
      <c r="AH475" s="3" t="n"/>
      <c r="AI475" s="3" t="n"/>
      <c r="AJ475" s="3" t="n"/>
      <c r="AK475" s="3" t="n"/>
      <c r="AL475" s="3" t="n"/>
      <c r="AM475" s="3" t="n"/>
      <c r="AN475" s="3" t="n"/>
      <c r="AO475" s="3" t="n"/>
    </row>
    <row r="476" ht="25" customHeight="1">
      <c r="A476" s="2">
        <f>"WF-"&amp;TEXT(ROW()-1,"0000")</f>
        <v/>
      </c>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row>
    <row r="477" ht="25" customHeight="1">
      <c r="A477" s="3">
        <f>"WF-"&amp;TEXT(ROW()-1,"0000")</f>
        <v/>
      </c>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c r="AD477" s="3" t="n"/>
      <c r="AE477" s="3" t="n"/>
      <c r="AF477" s="3" t="n"/>
      <c r="AG477" s="3" t="n"/>
      <c r="AH477" s="3" t="n"/>
      <c r="AI477" s="3" t="n"/>
      <c r="AJ477" s="3" t="n"/>
      <c r="AK477" s="3" t="n"/>
      <c r="AL477" s="3" t="n"/>
      <c r="AM477" s="3" t="n"/>
      <c r="AN477" s="3" t="n"/>
      <c r="AO477" s="3" t="n"/>
    </row>
    <row r="478" ht="25" customHeight="1">
      <c r="A478" s="2">
        <f>"WF-"&amp;TEXT(ROW()-1,"0000")</f>
        <v/>
      </c>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row>
    <row r="479" ht="25" customHeight="1">
      <c r="A479" s="3">
        <f>"WF-"&amp;TEXT(ROW()-1,"0000")</f>
        <v/>
      </c>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c r="AC479" s="3" t="n"/>
      <c r="AD479" s="3" t="n"/>
      <c r="AE479" s="3" t="n"/>
      <c r="AF479" s="3" t="n"/>
      <c r="AG479" s="3" t="n"/>
      <c r="AH479" s="3" t="n"/>
      <c r="AI479" s="3" t="n"/>
      <c r="AJ479" s="3" t="n"/>
      <c r="AK479" s="3" t="n"/>
      <c r="AL479" s="3" t="n"/>
      <c r="AM479" s="3" t="n"/>
      <c r="AN479" s="3" t="n"/>
      <c r="AO479" s="3" t="n"/>
    </row>
    <row r="480" ht="25" customHeight="1">
      <c r="A480" s="2">
        <f>"WF-"&amp;TEXT(ROW()-1,"0000")</f>
        <v/>
      </c>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row>
    <row r="481" ht="25" customHeight="1">
      <c r="A481" s="3">
        <f>"WF-"&amp;TEXT(ROW()-1,"0000")</f>
        <v/>
      </c>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c r="AC481" s="3" t="n"/>
      <c r="AD481" s="3" t="n"/>
      <c r="AE481" s="3" t="n"/>
      <c r="AF481" s="3" t="n"/>
      <c r="AG481" s="3" t="n"/>
      <c r="AH481" s="3" t="n"/>
      <c r="AI481" s="3" t="n"/>
      <c r="AJ481" s="3" t="n"/>
      <c r="AK481" s="3" t="n"/>
      <c r="AL481" s="3" t="n"/>
      <c r="AM481" s="3" t="n"/>
      <c r="AN481" s="3" t="n"/>
      <c r="AO481" s="3" t="n"/>
    </row>
    <row r="482" ht="25" customHeight="1">
      <c r="A482" s="2">
        <f>"WF-"&amp;TEXT(ROW()-1,"0000")</f>
        <v/>
      </c>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row>
    <row r="483" ht="25" customHeight="1">
      <c r="A483" s="3">
        <f>"WF-"&amp;TEXT(ROW()-1,"0000")</f>
        <v/>
      </c>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c r="AC483" s="3" t="n"/>
      <c r="AD483" s="3" t="n"/>
      <c r="AE483" s="3" t="n"/>
      <c r="AF483" s="3" t="n"/>
      <c r="AG483" s="3" t="n"/>
      <c r="AH483" s="3" t="n"/>
      <c r="AI483" s="3" t="n"/>
      <c r="AJ483" s="3" t="n"/>
      <c r="AK483" s="3" t="n"/>
      <c r="AL483" s="3" t="n"/>
      <c r="AM483" s="3" t="n"/>
      <c r="AN483" s="3" t="n"/>
      <c r="AO483" s="3" t="n"/>
    </row>
    <row r="484" ht="25" customHeight="1">
      <c r="A484" s="2">
        <f>"WF-"&amp;TEXT(ROW()-1,"0000")</f>
        <v/>
      </c>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row>
    <row r="485" ht="25" customHeight="1">
      <c r="A485" s="3">
        <f>"WF-"&amp;TEXT(ROW()-1,"0000")</f>
        <v/>
      </c>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c r="AD485" s="3" t="n"/>
      <c r="AE485" s="3" t="n"/>
      <c r="AF485" s="3" t="n"/>
      <c r="AG485" s="3" t="n"/>
      <c r="AH485" s="3" t="n"/>
      <c r="AI485" s="3" t="n"/>
      <c r="AJ485" s="3" t="n"/>
      <c r="AK485" s="3" t="n"/>
      <c r="AL485" s="3" t="n"/>
      <c r="AM485" s="3" t="n"/>
      <c r="AN485" s="3" t="n"/>
      <c r="AO485" s="3" t="n"/>
    </row>
    <row r="486" ht="25" customHeight="1">
      <c r="A486" s="2">
        <f>"WF-"&amp;TEXT(ROW()-1,"0000")</f>
        <v/>
      </c>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row>
    <row r="487" ht="25" customHeight="1">
      <c r="A487" s="3">
        <f>"WF-"&amp;TEXT(ROW()-1,"0000")</f>
        <v/>
      </c>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c r="AD487" s="3" t="n"/>
      <c r="AE487" s="3" t="n"/>
      <c r="AF487" s="3" t="n"/>
      <c r="AG487" s="3" t="n"/>
      <c r="AH487" s="3" t="n"/>
      <c r="AI487" s="3" t="n"/>
      <c r="AJ487" s="3" t="n"/>
      <c r="AK487" s="3" t="n"/>
      <c r="AL487" s="3" t="n"/>
      <c r="AM487" s="3" t="n"/>
      <c r="AN487" s="3" t="n"/>
      <c r="AO487" s="3" t="n"/>
    </row>
    <row r="488" ht="25" customHeight="1">
      <c r="A488" s="2">
        <f>"WF-"&amp;TEXT(ROW()-1,"0000")</f>
        <v/>
      </c>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c r="AK488" s="2" t="n"/>
      <c r="AL488" s="2" t="n"/>
      <c r="AM488" s="2" t="n"/>
      <c r="AN488" s="2" t="n"/>
      <c r="AO488" s="2" t="n"/>
    </row>
    <row r="489" ht="25" customHeight="1">
      <c r="A489" s="3">
        <f>"WF-"&amp;TEXT(ROW()-1,"0000")</f>
        <v/>
      </c>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c r="AD489" s="3" t="n"/>
      <c r="AE489" s="3" t="n"/>
      <c r="AF489" s="3" t="n"/>
      <c r="AG489" s="3" t="n"/>
      <c r="AH489" s="3" t="n"/>
      <c r="AI489" s="3" t="n"/>
      <c r="AJ489" s="3" t="n"/>
      <c r="AK489" s="3" t="n"/>
      <c r="AL489" s="3" t="n"/>
      <c r="AM489" s="3" t="n"/>
      <c r="AN489" s="3" t="n"/>
      <c r="AO489" s="3" t="n"/>
    </row>
    <row r="490" ht="25" customHeight="1">
      <c r="A490" s="2">
        <f>"WF-"&amp;TEXT(ROW()-1,"0000")</f>
        <v/>
      </c>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row>
    <row r="491" ht="25" customHeight="1">
      <c r="A491" s="3">
        <f>"WF-"&amp;TEXT(ROW()-1,"0000")</f>
        <v/>
      </c>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c r="AD491" s="3" t="n"/>
      <c r="AE491" s="3" t="n"/>
      <c r="AF491" s="3" t="n"/>
      <c r="AG491" s="3" t="n"/>
      <c r="AH491" s="3" t="n"/>
      <c r="AI491" s="3" t="n"/>
      <c r="AJ491" s="3" t="n"/>
      <c r="AK491" s="3" t="n"/>
      <c r="AL491" s="3" t="n"/>
      <c r="AM491" s="3" t="n"/>
      <c r="AN491" s="3" t="n"/>
      <c r="AO491" s="3" t="n"/>
    </row>
    <row r="492" ht="25" customHeight="1">
      <c r="A492" s="2">
        <f>"WF-"&amp;TEXT(ROW()-1,"0000")</f>
        <v/>
      </c>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row>
    <row r="493" ht="25" customHeight="1">
      <c r="A493" s="3">
        <f>"WF-"&amp;TEXT(ROW()-1,"0000")</f>
        <v/>
      </c>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c r="AC493" s="3" t="n"/>
      <c r="AD493" s="3" t="n"/>
      <c r="AE493" s="3" t="n"/>
      <c r="AF493" s="3" t="n"/>
      <c r="AG493" s="3" t="n"/>
      <c r="AH493" s="3" t="n"/>
      <c r="AI493" s="3" t="n"/>
      <c r="AJ493" s="3" t="n"/>
      <c r="AK493" s="3" t="n"/>
      <c r="AL493" s="3" t="n"/>
      <c r="AM493" s="3" t="n"/>
      <c r="AN493" s="3" t="n"/>
      <c r="AO493" s="3" t="n"/>
    </row>
    <row r="494" ht="25" customHeight="1">
      <c r="A494" s="2">
        <f>"WF-"&amp;TEXT(ROW()-1,"0000")</f>
        <v/>
      </c>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row>
    <row r="495" ht="25" customHeight="1">
      <c r="A495" s="3">
        <f>"WF-"&amp;TEXT(ROW()-1,"0000")</f>
        <v/>
      </c>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c r="AD495" s="3" t="n"/>
      <c r="AE495" s="3" t="n"/>
      <c r="AF495" s="3" t="n"/>
      <c r="AG495" s="3" t="n"/>
      <c r="AH495" s="3" t="n"/>
      <c r="AI495" s="3" t="n"/>
      <c r="AJ495" s="3" t="n"/>
      <c r="AK495" s="3" t="n"/>
      <c r="AL495" s="3" t="n"/>
      <c r="AM495" s="3" t="n"/>
      <c r="AN495" s="3" t="n"/>
      <c r="AO495" s="3" t="n"/>
    </row>
    <row r="496" ht="25" customHeight="1">
      <c r="A496" s="2">
        <f>"WF-"&amp;TEXT(ROW()-1,"0000")</f>
        <v/>
      </c>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row>
    <row r="497" ht="25" customHeight="1">
      <c r="A497" s="3">
        <f>"WF-"&amp;TEXT(ROW()-1,"0000")</f>
        <v/>
      </c>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c r="AC497" s="3" t="n"/>
      <c r="AD497" s="3" t="n"/>
      <c r="AE497" s="3" t="n"/>
      <c r="AF497" s="3" t="n"/>
      <c r="AG497" s="3" t="n"/>
      <c r="AH497" s="3" t="n"/>
      <c r="AI497" s="3" t="n"/>
      <c r="AJ497" s="3" t="n"/>
      <c r="AK497" s="3" t="n"/>
      <c r="AL497" s="3" t="n"/>
      <c r="AM497" s="3" t="n"/>
      <c r="AN497" s="3" t="n"/>
      <c r="AO497" s="3" t="n"/>
    </row>
    <row r="498" ht="25" customHeight="1">
      <c r="A498" s="2">
        <f>"WF-"&amp;TEXT(ROW()-1,"0000")</f>
        <v/>
      </c>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row>
    <row r="499" ht="25" customHeight="1">
      <c r="A499" s="3">
        <f>"WF-"&amp;TEXT(ROW()-1,"0000")</f>
        <v/>
      </c>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c r="AD499" s="3" t="n"/>
      <c r="AE499" s="3" t="n"/>
      <c r="AF499" s="3" t="n"/>
      <c r="AG499" s="3" t="n"/>
      <c r="AH499" s="3" t="n"/>
      <c r="AI499" s="3" t="n"/>
      <c r="AJ499" s="3" t="n"/>
      <c r="AK499" s="3" t="n"/>
      <c r="AL499" s="3" t="n"/>
      <c r="AM499" s="3" t="n"/>
      <c r="AN499" s="3" t="n"/>
      <c r="AO499" s="3" t="n"/>
    </row>
    <row r="500" ht="25" customHeight="1">
      <c r="A500" s="2">
        <f>"WF-"&amp;TEXT(ROW()-1,"0000")</f>
        <v/>
      </c>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row>
    <row r="501" ht="25" customHeight="1">
      <c r="A501" s="3">
        <f>"WF-"&amp;TEXT(ROW()-1,"0000")</f>
        <v/>
      </c>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c r="AD501" s="3" t="n"/>
      <c r="AE501" s="3" t="n"/>
      <c r="AF501" s="3" t="n"/>
      <c r="AG501" s="3" t="n"/>
      <c r="AH501" s="3" t="n"/>
      <c r="AI501" s="3" t="n"/>
      <c r="AJ501" s="3" t="n"/>
      <c r="AK501" s="3" t="n"/>
      <c r="AL501" s="3" t="n"/>
      <c r="AM501" s="3" t="n"/>
      <c r="AN501" s="3" t="n"/>
      <c r="AO501" s="3" t="n"/>
    </row>
  </sheetData>
  <autoFilter ref="A1:AO1"/>
  <dataValidations count="6">
    <dataValidation sqref="D2:D501" showDropDown="0" showInputMessage="0" showErrorMessage="0" allowBlank="1" type="list">
      <formula1>'Lists &amp; Settings'!$A$2:$A$15</formula1>
    </dataValidation>
    <dataValidation sqref="M2:M501" showDropDown="0" showInputMessage="0" showErrorMessage="0" allowBlank="1" type="list">
      <formula1>'Lists &amp; Settings'!$B$2:$B$8</formula1>
    </dataValidation>
    <dataValidation sqref="AF2:AF501" showDropDown="0" showInputMessage="0" showErrorMessage="0" allowBlank="1" type="list">
      <formula1>"Yes,No,Unsure"</formula1>
    </dataValidation>
    <dataValidation sqref="AL2:AL501" showDropDown="0" showInputMessage="0" showErrorMessage="0" allowBlank="1" type="list">
      <formula1>"Yes,No,Maybe"</formula1>
    </dataValidation>
    <dataValidation sqref="AM2:AM501" showDropDown="0" showInputMessage="0" showErrorMessage="0" allowBlank="1" type="list">
      <formula1>"Yes,No,Maybe"</formula1>
    </dataValidation>
    <dataValidation sqref="AN2:AN501" showDropDown="0" showInputMessage="0" showErrorMessage="0" allowBlank="1" type="list">
      <formula1>"This week,This month,This quarter,No specific timeline"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375623"/>
    <outlinePr summaryBelow="1" summaryRight="1"/>
    <pageSetUpPr/>
  </sheetPr>
  <dimension ref="A1:AE5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20" customWidth="1" min="3" max="3"/>
    <col width="22" customWidth="1" min="4" max="4"/>
    <col width="20" customWidth="1" min="5" max="5"/>
    <col width="18" customWidth="1" min="6" max="6"/>
    <col width="14" customWidth="1" min="7" max="7"/>
    <col width="16" customWidth="1" min="8" max="8"/>
    <col width="20" customWidth="1" min="9" max="9"/>
    <col width="20" customWidth="1" min="10" max="10"/>
    <col width="18" customWidth="1" min="11" max="11"/>
    <col width="14" customWidth="1" min="12" max="12"/>
    <col width="18" customWidth="1" min="13" max="13"/>
    <col width="16" customWidth="1" min="14" max="14"/>
    <col width="12" customWidth="1" min="15" max="15"/>
    <col width="16" customWidth="1" min="16" max="16"/>
    <col width="14" customWidth="1" min="17" max="17"/>
    <col width="28" customWidth="1" min="18" max="18"/>
    <col width="28" customWidth="1" min="19" max="19"/>
    <col width="14" customWidth="1" min="20" max="20"/>
    <col width="14" customWidth="1" min="21" max="21"/>
    <col width="14" customWidth="1" min="22" max="22"/>
    <col width="16" customWidth="1" min="23" max="23"/>
    <col width="14" customWidth="1" min="24" max="24"/>
    <col width="14" customWidth="1" min="25" max="25"/>
    <col width="14" customWidth="1" min="26" max="26"/>
    <col width="24" customWidth="1" min="27" max="27"/>
    <col width="35" customWidth="1" min="28" max="28"/>
    <col width="18" customWidth="1" min="29" max="29"/>
    <col width="16" customWidth="1" min="30" max="30"/>
    <col width="35" customWidth="1" min="31" max="31"/>
  </cols>
  <sheetData>
    <row r="1">
      <c r="A1" s="1" t="inlineStr">
        <is>
          <t>Opportunity ID</t>
        </is>
      </c>
      <c r="B1" s="1" t="inlineStr">
        <is>
          <t>Workflow / Task Name</t>
        </is>
      </c>
      <c r="C1" s="1" t="inlineStr">
        <is>
          <t>Team / Function</t>
        </is>
      </c>
      <c r="D1" s="1" t="inlineStr">
        <is>
          <t>Workflow Owner</t>
        </is>
      </c>
      <c r="E1" s="1" t="inlineStr">
        <is>
          <t>Status</t>
        </is>
      </c>
      <c r="F1" s="1" t="inlineStr">
        <is>
          <t>Frequency</t>
        </is>
      </c>
      <c r="G1" s="1" t="inlineStr">
        <is>
          <t>Minutes Per Run</t>
        </is>
      </c>
      <c r="H1" s="1" t="inlineStr">
        <is>
          <t>People Doing This Work</t>
        </is>
      </c>
      <c r="I1" s="1" t="inlineStr">
        <is>
          <t>Estimated Runs Per Month</t>
        </is>
      </c>
      <c r="J1" s="1" t="inlineStr">
        <is>
          <t>Estimated Monthly Hours</t>
        </is>
      </c>
      <c r="K1" s="1" t="inlineStr">
        <is>
          <t>Annualized Hours</t>
        </is>
      </c>
      <c r="L1" s="1" t="inlineStr">
        <is>
          <t>Pain Rating</t>
        </is>
      </c>
      <c r="M1" s="1" t="inlineStr">
        <is>
          <t>Business Criticality</t>
        </is>
      </c>
      <c r="N1" s="1" t="inlineStr">
        <is>
          <t>Error-Proneness</t>
        </is>
      </c>
      <c r="O1" s="1" t="inlineStr">
        <is>
          <t>Urgency</t>
        </is>
      </c>
      <c r="P1" s="1" t="inlineStr">
        <is>
          <t>People Affected</t>
        </is>
      </c>
      <c r="Q1" s="1" t="inlineStr">
        <is>
          <t>Sensitive Data?</t>
        </is>
      </c>
      <c r="R1" s="1" t="inlineStr">
        <is>
          <t>Friction Types</t>
        </is>
      </c>
      <c r="S1" s="1" t="inlineStr">
        <is>
          <t>Likely Solution Type</t>
        </is>
      </c>
      <c r="T1" s="1" t="inlineStr">
        <is>
          <t>Feasibility</t>
        </is>
      </c>
      <c r="U1" s="1" t="inlineStr">
        <is>
          <t>Risk Level</t>
        </is>
      </c>
      <c r="V1" s="1" t="inlineStr">
        <is>
          <t>Impact Score</t>
        </is>
      </c>
      <c r="W1" s="1" t="inlineStr">
        <is>
          <t>Frequency Score</t>
        </is>
      </c>
      <c r="X1" s="1" t="inlineStr">
        <is>
          <t>Friction Score</t>
        </is>
      </c>
      <c r="Y1" s="1" t="inlineStr">
        <is>
          <t>Risk Penalty</t>
        </is>
      </c>
      <c r="Z1" s="1" t="inlineStr">
        <is>
          <t>Priority Score</t>
        </is>
      </c>
      <c r="AA1" s="1" t="inlineStr">
        <is>
          <t>Priority Category</t>
        </is>
      </c>
      <c r="AB1" s="1" t="inlineStr">
        <is>
          <t>Recommended Next Step</t>
        </is>
      </c>
      <c r="AC1" s="1" t="inlineStr">
        <is>
          <t>Assignee</t>
        </is>
      </c>
      <c r="AD1" s="1" t="inlineStr">
        <is>
          <t>Next Review Date</t>
        </is>
      </c>
      <c r="AE1" s="1" t="inlineStr">
        <is>
          <t>Notes</t>
        </is>
      </c>
    </row>
    <row r="2" ht="25" customHeight="1">
      <c r="A2" s="2" t="n"/>
      <c r="B2" s="2">
        <f>IFERROR(XLOOKUP(A2,'Intake Responses'!$A:$A,'Intake Responses'!$E:$E),"")</f>
        <v/>
      </c>
      <c r="C2" s="2">
        <f>IFERROR(XLOOKUP(A2,'Intake Responses'!$A:$A,'Intake Responses'!$D:$D),"")</f>
        <v/>
      </c>
      <c r="D2" s="2">
        <f>IFERROR(XLOOKUP(A2,'Intake Responses'!$A:$A,'Intake Responses'!$F:$F),"")</f>
        <v/>
      </c>
      <c r="E2" s="2" t="n"/>
      <c r="F2" s="2">
        <f>IFERROR(XLOOKUP(A2,'Intake Responses'!$A:$A,'Intake Responses'!$M:$M),"")</f>
        <v/>
      </c>
      <c r="G2" s="2">
        <f>IFERROR(XLOOKUP(A2,'Intake Responses'!$A:$A,'Intake Responses'!$N:$N),"")</f>
        <v/>
      </c>
      <c r="H2" s="2">
        <f>IFERROR(XLOOKUP(A2,'Intake Responses'!$A:$A,'Intake Responses'!$O:$O),"")</f>
        <v/>
      </c>
      <c r="I2" s="2">
        <f>IFERROR(SWITCH(F2,"Multiple times per day",60,"Daily",20,"Weekly",4,"Monthly",1,"Quarterly",0.33,"Ad hoc",0.5,"Unknown",0),0)</f>
        <v/>
      </c>
      <c r="J2" s="2">
        <f>IFERROR((G2*H2*I2)/60,0)</f>
        <v/>
      </c>
      <c r="K2" s="2">
        <f>IFERROR(J2*12,0)</f>
        <v/>
      </c>
      <c r="L2" s="2">
        <f>IFERROR(XLOOKUP(A2,'Intake Responses'!$A:$A,'Intake Responses'!$T:$T),"")</f>
        <v/>
      </c>
      <c r="M2" s="2">
        <f>IFERROR(XLOOKUP(A2,'Intake Responses'!$A:$A,'Intake Responses'!$U:$U),"")</f>
        <v/>
      </c>
      <c r="N2" s="2">
        <f>IFERROR(XLOOKUP(A2,'Intake Responses'!$A:$A,'Intake Responses'!$V:$V),"")</f>
        <v/>
      </c>
      <c r="O2" s="2">
        <f>IFERROR(XLOOKUP(A2,'Intake Responses'!$A:$A,'Intake Responses'!$W:$W),"")</f>
        <v/>
      </c>
      <c r="P2" s="2">
        <f>IFERROR(XLOOKUP(A2,'Intake Responses'!$A:$A,'Intake Responses'!$X:$X),"")</f>
        <v/>
      </c>
      <c r="Q2" s="2">
        <f>IFERROR(XLOOKUP(A2,'Intake Responses'!$A:$A,'Intake Responses'!$AF:$AF),"")</f>
        <v/>
      </c>
      <c r="R2" s="2">
        <f>IFERROR(XLOOKUP(A2,'Intake Responses'!$A:$A,'Intake Responses'!$S:$S),"")</f>
        <v/>
      </c>
      <c r="S2" s="2" t="n"/>
      <c r="T2" s="2" t="n"/>
      <c r="U2" s="2" t="n"/>
      <c r="V2" s="2">
        <f>IFERROR(MIN(5,ROUND(((M2+O2)/2)+(IF(J2&gt;=20,2,IF(J2&gt;=10,1.5,IF(J2&gt;=5,1,IF(J2&gt;=1,0.5,0))))),1)),0)</f>
        <v/>
      </c>
      <c r="W2" s="2">
        <f>IFERROR(SWITCH(F2,"Multiple times per day",5,"Daily",4,"Weekly",3,"Monthly",2,"Quarterly",1,"Ad hoc",1,"Unknown",0),0)</f>
        <v/>
      </c>
      <c r="X2" s="2">
        <f>IFERROR(ROUND(AVERAGE(L2,N2),1),0)</f>
        <v/>
      </c>
      <c r="Y2" s="2">
        <f>IFERROR(SWITCH(U2,"High",3,"Medium",2,"Low",0,"Unknown",1,1)+IF(Q2="Yes",2,IF(Q2="Unsure",1,0)),0)</f>
        <v/>
      </c>
      <c r="Z2" s="2">
        <f>IFERROR(ROUND((V2*2)+(W2*1)+(X2*2)+(IF(T2="Easy",2,IF(T2="Medium",1,IF(T2="Hard",-1,0))))-(Y2*2),1),0)</f>
        <v/>
      </c>
      <c r="AA2" s="2">
        <f>IFERROR(IF(S2="Not a fit","Not a Fit",IF(Y2&gt;=5,"High Risk / Needs Review",IF(AND(Z2&gt;=18,T2="Easy"),"Quick Win",IF(AND(Z2&gt;=18,T2&lt;&gt;"Easy"),"Strategic Project",IF(Z2&gt;=10,"Discovery Needed","Process Issue"))))),"")</f>
        <v/>
      </c>
      <c r="AB2" s="2">
        <f>IFERROR(SWITCH(AA2,"Quick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 s="2" t="n"/>
      <c r="AD2" s="2" t="n"/>
      <c r="AE2" s="2" t="n"/>
    </row>
    <row r="3" ht="25" customHeight="1">
      <c r="A3" s="3" t="n"/>
      <c r="B3" s="3">
        <f>IFERROR(XLOOKUP(A3,'Intake Responses'!$A:$A,'Intake Responses'!$E:$E),"")</f>
        <v/>
      </c>
      <c r="C3" s="3">
        <f>IFERROR(XLOOKUP(A3,'Intake Responses'!$A:$A,'Intake Responses'!$D:$D),"")</f>
        <v/>
      </c>
      <c r="D3" s="3">
        <f>IFERROR(XLOOKUP(A3,'Intake Responses'!$A:$A,'Intake Responses'!$F:$F),"")</f>
        <v/>
      </c>
      <c r="E3" s="3" t="n"/>
      <c r="F3" s="3">
        <f>IFERROR(XLOOKUP(A3,'Intake Responses'!$A:$A,'Intake Responses'!$M:$M),"")</f>
        <v/>
      </c>
      <c r="G3" s="3">
        <f>IFERROR(XLOOKUP(A3,'Intake Responses'!$A:$A,'Intake Responses'!$N:$N),"")</f>
        <v/>
      </c>
      <c r="H3" s="3">
        <f>IFERROR(XLOOKUP(A3,'Intake Responses'!$A:$A,'Intake Responses'!$O:$O),"")</f>
        <v/>
      </c>
      <c r="I3" s="3">
        <f>IFERROR(SWITCH(F3,"Multiple times per day",60,"Daily",20,"Weekly",4,"Monthly",1,"Quarterly",0.33,"Ad hoc",0.5,"Unknown",0),0)</f>
        <v/>
      </c>
      <c r="J3" s="3">
        <f>IFERROR((G3*H3*I3)/60,0)</f>
        <v/>
      </c>
      <c r="K3" s="3">
        <f>IFERROR(J3*12,0)</f>
        <v/>
      </c>
      <c r="L3" s="3">
        <f>IFERROR(XLOOKUP(A3,'Intake Responses'!$A:$A,'Intake Responses'!$T:$T),"")</f>
        <v/>
      </c>
      <c r="M3" s="3">
        <f>IFERROR(XLOOKUP(A3,'Intake Responses'!$A:$A,'Intake Responses'!$U:$U),"")</f>
        <v/>
      </c>
      <c r="N3" s="3">
        <f>IFERROR(XLOOKUP(A3,'Intake Responses'!$A:$A,'Intake Responses'!$V:$V),"")</f>
        <v/>
      </c>
      <c r="O3" s="3">
        <f>IFERROR(XLOOKUP(A3,'Intake Responses'!$A:$A,'Intake Responses'!$W:$W),"")</f>
        <v/>
      </c>
      <c r="P3" s="3">
        <f>IFERROR(XLOOKUP(A3,'Intake Responses'!$A:$A,'Intake Responses'!$X:$X),"")</f>
        <v/>
      </c>
      <c r="Q3" s="3">
        <f>IFERROR(XLOOKUP(A3,'Intake Responses'!$A:$A,'Intake Responses'!$AF:$AF),"")</f>
        <v/>
      </c>
      <c r="R3" s="3">
        <f>IFERROR(XLOOKUP(A3,'Intake Responses'!$A:$A,'Intake Responses'!$S:$S),"")</f>
        <v/>
      </c>
      <c r="S3" s="3" t="n"/>
      <c r="T3" s="3" t="n"/>
      <c r="U3" s="3" t="n"/>
      <c r="V3" s="3">
        <f>IFERROR(MIN(5,ROUND(((M3+O3)/2)+(IF(J3&gt;=20,2,IF(J3&gt;=10,1.5,IF(J3&gt;=5,1,IF(J3&gt;=1,0.5,0))))),1)),0)</f>
        <v/>
      </c>
      <c r="W3" s="3">
        <f>IFERROR(SWITCH(F3,"Multiple times per day",5,"Daily",4,"Weekly",3,"Monthly",2,"Quarterly",1,"Ad hoc",1,"Unknown",0),0)</f>
        <v/>
      </c>
      <c r="X3" s="3">
        <f>IFERROR(ROUND(AVERAGE(L3,N3),1),0)</f>
        <v/>
      </c>
      <c r="Y3" s="3">
        <f>IFERROR(SWITCH(U3,"High",3,"Medium",2,"Low",0,"Unknown",1,1)+IF(Q3="Yes",2,IF(Q3="Unsure",1,0)),0)</f>
        <v/>
      </c>
      <c r="Z3" s="3">
        <f>IFERROR(ROUND((V3*2)+(W3*1)+(X3*2)+(IF(T3="Easy",2,IF(T3="Medium",1,IF(T3="Hard",-1,0))))-(Y3*2),1),0)</f>
        <v/>
      </c>
      <c r="AA3" s="3">
        <f>IFERROR(IF(S3="Not a fit","Not a Fit",IF(Y3&gt;=5,"High Risk / Needs Review",IF(AND(Z3&gt;=18,T3="Easy"),"Quick Win",IF(AND(Z3&gt;=18,T3&lt;&gt;"Easy"),"Strategic Project",IF(Z3&gt;=10,"Discovery Needed","Process Issue"))))),"")</f>
        <v/>
      </c>
      <c r="AB3" s="3">
        <f>IFERROR(SWITCH(AA3,"Quick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 s="3" t="n"/>
      <c r="AD3" s="3" t="n"/>
      <c r="AE3" s="3" t="n"/>
    </row>
    <row r="4" ht="25" customHeight="1">
      <c r="A4" s="2" t="n"/>
      <c r="B4" s="2">
        <f>IFERROR(XLOOKUP(A4,'Intake Responses'!$A:$A,'Intake Responses'!$E:$E),"")</f>
        <v/>
      </c>
      <c r="C4" s="2">
        <f>IFERROR(XLOOKUP(A4,'Intake Responses'!$A:$A,'Intake Responses'!$D:$D),"")</f>
        <v/>
      </c>
      <c r="D4" s="2">
        <f>IFERROR(XLOOKUP(A4,'Intake Responses'!$A:$A,'Intake Responses'!$F:$F),"")</f>
        <v/>
      </c>
      <c r="E4" s="2" t="n"/>
      <c r="F4" s="2">
        <f>IFERROR(XLOOKUP(A4,'Intake Responses'!$A:$A,'Intake Responses'!$M:$M),"")</f>
        <v/>
      </c>
      <c r="G4" s="2">
        <f>IFERROR(XLOOKUP(A4,'Intake Responses'!$A:$A,'Intake Responses'!$N:$N),"")</f>
        <v/>
      </c>
      <c r="H4" s="2">
        <f>IFERROR(XLOOKUP(A4,'Intake Responses'!$A:$A,'Intake Responses'!$O:$O),"")</f>
        <v/>
      </c>
      <c r="I4" s="2">
        <f>IFERROR(SWITCH(F4,"Multiple times per day",60,"Daily",20,"Weekly",4,"Monthly",1,"Quarterly",0.33,"Ad hoc",0.5,"Unknown",0),0)</f>
        <v/>
      </c>
      <c r="J4" s="2">
        <f>IFERROR((G4*H4*I4)/60,0)</f>
        <v/>
      </c>
      <c r="K4" s="2">
        <f>IFERROR(J4*12,0)</f>
        <v/>
      </c>
      <c r="L4" s="2">
        <f>IFERROR(XLOOKUP(A4,'Intake Responses'!$A:$A,'Intake Responses'!$T:$T),"")</f>
        <v/>
      </c>
      <c r="M4" s="2">
        <f>IFERROR(XLOOKUP(A4,'Intake Responses'!$A:$A,'Intake Responses'!$U:$U),"")</f>
        <v/>
      </c>
      <c r="N4" s="2">
        <f>IFERROR(XLOOKUP(A4,'Intake Responses'!$A:$A,'Intake Responses'!$V:$V),"")</f>
        <v/>
      </c>
      <c r="O4" s="2">
        <f>IFERROR(XLOOKUP(A4,'Intake Responses'!$A:$A,'Intake Responses'!$W:$W),"")</f>
        <v/>
      </c>
      <c r="P4" s="2">
        <f>IFERROR(XLOOKUP(A4,'Intake Responses'!$A:$A,'Intake Responses'!$X:$X),"")</f>
        <v/>
      </c>
      <c r="Q4" s="2">
        <f>IFERROR(XLOOKUP(A4,'Intake Responses'!$A:$A,'Intake Responses'!$AF:$AF),"")</f>
        <v/>
      </c>
      <c r="R4" s="2">
        <f>IFERROR(XLOOKUP(A4,'Intake Responses'!$A:$A,'Intake Responses'!$S:$S),"")</f>
        <v/>
      </c>
      <c r="S4" s="2" t="n"/>
      <c r="T4" s="2" t="n"/>
      <c r="U4" s="2" t="n"/>
      <c r="V4" s="2">
        <f>IFERROR(MIN(5,ROUND(((M4+O4)/2)+(IF(J4&gt;=20,2,IF(J4&gt;=10,1.5,IF(J4&gt;=5,1,IF(J4&gt;=1,0.5,0))))),1)),0)</f>
        <v/>
      </c>
      <c r="W4" s="2">
        <f>IFERROR(SWITCH(F4,"Multiple times per day",5,"Daily",4,"Weekly",3,"Monthly",2,"Quarterly",1,"Ad hoc",1,"Unknown",0),0)</f>
        <v/>
      </c>
      <c r="X4" s="2">
        <f>IFERROR(ROUND(AVERAGE(L4,N4),1),0)</f>
        <v/>
      </c>
      <c r="Y4" s="2">
        <f>IFERROR(SWITCH(U4,"High",3,"Medium",2,"Low",0,"Unknown",1,1)+IF(Q4="Yes",2,IF(Q4="Unsure",1,0)),0)</f>
        <v/>
      </c>
      <c r="Z4" s="2">
        <f>IFERROR(ROUND((V4*2)+(W4*1)+(X4*2)+(IF(T4="Easy",2,IF(T4="Medium",1,IF(T4="Hard",-1,0))))-(Y4*2),1),0)</f>
        <v/>
      </c>
      <c r="AA4" s="2">
        <f>IFERROR(IF(S4="Not a fit","Not a Fit",IF(Y4&gt;=5,"High Risk / Needs Review",IF(AND(Z4&gt;=18,T4="Easy"),"Quick Win",IF(AND(Z4&gt;=18,T4&lt;&gt;"Easy"),"Strategic Project",IF(Z4&gt;=10,"Discovery Needed","Process Issue"))))),"")</f>
        <v/>
      </c>
      <c r="AB4" s="2">
        <f>IFERROR(SWITCH(AA4,"Quick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 s="2" t="n"/>
      <c r="AD4" s="2" t="n"/>
      <c r="AE4" s="2" t="n"/>
    </row>
    <row r="5" ht="25" customHeight="1">
      <c r="A5" s="3" t="n"/>
      <c r="B5" s="3">
        <f>IFERROR(XLOOKUP(A5,'Intake Responses'!$A:$A,'Intake Responses'!$E:$E),"")</f>
        <v/>
      </c>
      <c r="C5" s="3">
        <f>IFERROR(XLOOKUP(A5,'Intake Responses'!$A:$A,'Intake Responses'!$D:$D),"")</f>
        <v/>
      </c>
      <c r="D5" s="3">
        <f>IFERROR(XLOOKUP(A5,'Intake Responses'!$A:$A,'Intake Responses'!$F:$F),"")</f>
        <v/>
      </c>
      <c r="E5" s="3" t="n"/>
      <c r="F5" s="3">
        <f>IFERROR(XLOOKUP(A5,'Intake Responses'!$A:$A,'Intake Responses'!$M:$M),"")</f>
        <v/>
      </c>
      <c r="G5" s="3">
        <f>IFERROR(XLOOKUP(A5,'Intake Responses'!$A:$A,'Intake Responses'!$N:$N),"")</f>
        <v/>
      </c>
      <c r="H5" s="3">
        <f>IFERROR(XLOOKUP(A5,'Intake Responses'!$A:$A,'Intake Responses'!$O:$O),"")</f>
        <v/>
      </c>
      <c r="I5" s="3">
        <f>IFERROR(SWITCH(F5,"Multiple times per day",60,"Daily",20,"Weekly",4,"Monthly",1,"Quarterly",0.33,"Ad hoc",0.5,"Unknown",0),0)</f>
        <v/>
      </c>
      <c r="J5" s="3">
        <f>IFERROR((G5*H5*I5)/60,0)</f>
        <v/>
      </c>
      <c r="K5" s="3">
        <f>IFERROR(J5*12,0)</f>
        <v/>
      </c>
      <c r="L5" s="3">
        <f>IFERROR(XLOOKUP(A5,'Intake Responses'!$A:$A,'Intake Responses'!$T:$T),"")</f>
        <v/>
      </c>
      <c r="M5" s="3">
        <f>IFERROR(XLOOKUP(A5,'Intake Responses'!$A:$A,'Intake Responses'!$U:$U),"")</f>
        <v/>
      </c>
      <c r="N5" s="3">
        <f>IFERROR(XLOOKUP(A5,'Intake Responses'!$A:$A,'Intake Responses'!$V:$V),"")</f>
        <v/>
      </c>
      <c r="O5" s="3">
        <f>IFERROR(XLOOKUP(A5,'Intake Responses'!$A:$A,'Intake Responses'!$W:$W),"")</f>
        <v/>
      </c>
      <c r="P5" s="3">
        <f>IFERROR(XLOOKUP(A5,'Intake Responses'!$A:$A,'Intake Responses'!$X:$X),"")</f>
        <v/>
      </c>
      <c r="Q5" s="3">
        <f>IFERROR(XLOOKUP(A5,'Intake Responses'!$A:$A,'Intake Responses'!$AF:$AF),"")</f>
        <v/>
      </c>
      <c r="R5" s="3">
        <f>IFERROR(XLOOKUP(A5,'Intake Responses'!$A:$A,'Intake Responses'!$S:$S),"")</f>
        <v/>
      </c>
      <c r="S5" s="3" t="n"/>
      <c r="T5" s="3" t="n"/>
      <c r="U5" s="3" t="n"/>
      <c r="V5" s="3">
        <f>IFERROR(MIN(5,ROUND(((M5+O5)/2)+(IF(J5&gt;=20,2,IF(J5&gt;=10,1.5,IF(J5&gt;=5,1,IF(J5&gt;=1,0.5,0))))),1)),0)</f>
        <v/>
      </c>
      <c r="W5" s="3">
        <f>IFERROR(SWITCH(F5,"Multiple times per day",5,"Daily",4,"Weekly",3,"Monthly",2,"Quarterly",1,"Ad hoc",1,"Unknown",0),0)</f>
        <v/>
      </c>
      <c r="X5" s="3">
        <f>IFERROR(ROUND(AVERAGE(L5,N5),1),0)</f>
        <v/>
      </c>
      <c r="Y5" s="3">
        <f>IFERROR(SWITCH(U5,"High",3,"Medium",2,"Low",0,"Unknown",1,1)+IF(Q5="Yes",2,IF(Q5="Unsure",1,0)),0)</f>
        <v/>
      </c>
      <c r="Z5" s="3">
        <f>IFERROR(ROUND((V5*2)+(W5*1)+(X5*2)+(IF(T5="Easy",2,IF(T5="Medium",1,IF(T5="Hard",-1,0))))-(Y5*2),1),0)</f>
        <v/>
      </c>
      <c r="AA5" s="3">
        <f>IFERROR(IF(S5="Not a fit","Not a Fit",IF(Y5&gt;=5,"High Risk / Needs Review",IF(AND(Z5&gt;=18,T5="Easy"),"Quick Win",IF(AND(Z5&gt;=18,T5&lt;&gt;"Easy"),"Strategic Project",IF(Z5&gt;=10,"Discovery Needed","Process Issue"))))),"")</f>
        <v/>
      </c>
      <c r="AB5" s="3">
        <f>IFERROR(SWITCH(AA5,"Quick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 s="3" t="n"/>
      <c r="AD5" s="3" t="n"/>
      <c r="AE5" s="3" t="n"/>
    </row>
    <row r="6" ht="25" customHeight="1">
      <c r="A6" s="2" t="n"/>
      <c r="B6" s="2">
        <f>IFERROR(XLOOKUP(A6,'Intake Responses'!$A:$A,'Intake Responses'!$E:$E),"")</f>
        <v/>
      </c>
      <c r="C6" s="2">
        <f>IFERROR(XLOOKUP(A6,'Intake Responses'!$A:$A,'Intake Responses'!$D:$D),"")</f>
        <v/>
      </c>
      <c r="D6" s="2">
        <f>IFERROR(XLOOKUP(A6,'Intake Responses'!$A:$A,'Intake Responses'!$F:$F),"")</f>
        <v/>
      </c>
      <c r="E6" s="2" t="n"/>
      <c r="F6" s="2">
        <f>IFERROR(XLOOKUP(A6,'Intake Responses'!$A:$A,'Intake Responses'!$M:$M),"")</f>
        <v/>
      </c>
      <c r="G6" s="2">
        <f>IFERROR(XLOOKUP(A6,'Intake Responses'!$A:$A,'Intake Responses'!$N:$N),"")</f>
        <v/>
      </c>
      <c r="H6" s="2">
        <f>IFERROR(XLOOKUP(A6,'Intake Responses'!$A:$A,'Intake Responses'!$O:$O),"")</f>
        <v/>
      </c>
      <c r="I6" s="2">
        <f>IFERROR(SWITCH(F6,"Multiple times per day",60,"Daily",20,"Weekly",4,"Monthly",1,"Quarterly",0.33,"Ad hoc",0.5,"Unknown",0),0)</f>
        <v/>
      </c>
      <c r="J6" s="2">
        <f>IFERROR((G6*H6*I6)/60,0)</f>
        <v/>
      </c>
      <c r="K6" s="2">
        <f>IFERROR(J6*12,0)</f>
        <v/>
      </c>
      <c r="L6" s="2">
        <f>IFERROR(XLOOKUP(A6,'Intake Responses'!$A:$A,'Intake Responses'!$T:$T),"")</f>
        <v/>
      </c>
      <c r="M6" s="2">
        <f>IFERROR(XLOOKUP(A6,'Intake Responses'!$A:$A,'Intake Responses'!$U:$U),"")</f>
        <v/>
      </c>
      <c r="N6" s="2">
        <f>IFERROR(XLOOKUP(A6,'Intake Responses'!$A:$A,'Intake Responses'!$V:$V),"")</f>
        <v/>
      </c>
      <c r="O6" s="2">
        <f>IFERROR(XLOOKUP(A6,'Intake Responses'!$A:$A,'Intake Responses'!$W:$W),"")</f>
        <v/>
      </c>
      <c r="P6" s="2">
        <f>IFERROR(XLOOKUP(A6,'Intake Responses'!$A:$A,'Intake Responses'!$X:$X),"")</f>
        <v/>
      </c>
      <c r="Q6" s="2">
        <f>IFERROR(XLOOKUP(A6,'Intake Responses'!$A:$A,'Intake Responses'!$AF:$AF),"")</f>
        <v/>
      </c>
      <c r="R6" s="2">
        <f>IFERROR(XLOOKUP(A6,'Intake Responses'!$A:$A,'Intake Responses'!$S:$S),"")</f>
        <v/>
      </c>
      <c r="S6" s="2" t="n"/>
      <c r="T6" s="2" t="n"/>
      <c r="U6" s="2" t="n"/>
      <c r="V6" s="2">
        <f>IFERROR(MIN(5,ROUND(((M6+O6)/2)+(IF(J6&gt;=20,2,IF(J6&gt;=10,1.5,IF(J6&gt;=5,1,IF(J6&gt;=1,0.5,0))))),1)),0)</f>
        <v/>
      </c>
      <c r="W6" s="2">
        <f>IFERROR(SWITCH(F6,"Multiple times per day",5,"Daily",4,"Weekly",3,"Monthly",2,"Quarterly",1,"Ad hoc",1,"Unknown",0),0)</f>
        <v/>
      </c>
      <c r="X6" s="2">
        <f>IFERROR(ROUND(AVERAGE(L6,N6),1),0)</f>
        <v/>
      </c>
      <c r="Y6" s="2">
        <f>IFERROR(SWITCH(U6,"High",3,"Medium",2,"Low",0,"Unknown",1,1)+IF(Q6="Yes",2,IF(Q6="Unsure",1,0)),0)</f>
        <v/>
      </c>
      <c r="Z6" s="2">
        <f>IFERROR(ROUND((V6*2)+(W6*1)+(X6*2)+(IF(T6="Easy",2,IF(T6="Medium",1,IF(T6="Hard",-1,0))))-(Y6*2),1),0)</f>
        <v/>
      </c>
      <c r="AA6" s="2">
        <f>IFERROR(IF(S6="Not a fit","Not a Fit",IF(Y6&gt;=5,"High Risk / Needs Review",IF(AND(Z6&gt;=18,T6="Easy"),"Quick Win",IF(AND(Z6&gt;=18,T6&lt;&gt;"Easy"),"Strategic Project",IF(Z6&gt;=10,"Discovery Needed","Process Issue"))))),"")</f>
        <v/>
      </c>
      <c r="AB6" s="2">
        <f>IFERROR(SWITCH(AA6,"Quick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 s="2" t="n"/>
      <c r="AD6" s="2" t="n"/>
      <c r="AE6" s="2" t="n"/>
    </row>
    <row r="7" ht="25" customHeight="1">
      <c r="A7" s="3" t="n"/>
      <c r="B7" s="3">
        <f>IFERROR(XLOOKUP(A7,'Intake Responses'!$A:$A,'Intake Responses'!$E:$E),"")</f>
        <v/>
      </c>
      <c r="C7" s="3">
        <f>IFERROR(XLOOKUP(A7,'Intake Responses'!$A:$A,'Intake Responses'!$D:$D),"")</f>
        <v/>
      </c>
      <c r="D7" s="3">
        <f>IFERROR(XLOOKUP(A7,'Intake Responses'!$A:$A,'Intake Responses'!$F:$F),"")</f>
        <v/>
      </c>
      <c r="E7" s="3" t="n"/>
      <c r="F7" s="3">
        <f>IFERROR(XLOOKUP(A7,'Intake Responses'!$A:$A,'Intake Responses'!$M:$M),"")</f>
        <v/>
      </c>
      <c r="G7" s="3">
        <f>IFERROR(XLOOKUP(A7,'Intake Responses'!$A:$A,'Intake Responses'!$N:$N),"")</f>
        <v/>
      </c>
      <c r="H7" s="3">
        <f>IFERROR(XLOOKUP(A7,'Intake Responses'!$A:$A,'Intake Responses'!$O:$O),"")</f>
        <v/>
      </c>
      <c r="I7" s="3">
        <f>IFERROR(SWITCH(F7,"Multiple times per day",60,"Daily",20,"Weekly",4,"Monthly",1,"Quarterly",0.33,"Ad hoc",0.5,"Unknown",0),0)</f>
        <v/>
      </c>
      <c r="J7" s="3">
        <f>IFERROR((G7*H7*I7)/60,0)</f>
        <v/>
      </c>
      <c r="K7" s="3">
        <f>IFERROR(J7*12,0)</f>
        <v/>
      </c>
      <c r="L7" s="3">
        <f>IFERROR(XLOOKUP(A7,'Intake Responses'!$A:$A,'Intake Responses'!$T:$T),"")</f>
        <v/>
      </c>
      <c r="M7" s="3">
        <f>IFERROR(XLOOKUP(A7,'Intake Responses'!$A:$A,'Intake Responses'!$U:$U),"")</f>
        <v/>
      </c>
      <c r="N7" s="3">
        <f>IFERROR(XLOOKUP(A7,'Intake Responses'!$A:$A,'Intake Responses'!$V:$V),"")</f>
        <v/>
      </c>
      <c r="O7" s="3">
        <f>IFERROR(XLOOKUP(A7,'Intake Responses'!$A:$A,'Intake Responses'!$W:$W),"")</f>
        <v/>
      </c>
      <c r="P7" s="3">
        <f>IFERROR(XLOOKUP(A7,'Intake Responses'!$A:$A,'Intake Responses'!$X:$X),"")</f>
        <v/>
      </c>
      <c r="Q7" s="3">
        <f>IFERROR(XLOOKUP(A7,'Intake Responses'!$A:$A,'Intake Responses'!$AF:$AF),"")</f>
        <v/>
      </c>
      <c r="R7" s="3">
        <f>IFERROR(XLOOKUP(A7,'Intake Responses'!$A:$A,'Intake Responses'!$S:$S),"")</f>
        <v/>
      </c>
      <c r="S7" s="3" t="n"/>
      <c r="T7" s="3" t="n"/>
      <c r="U7" s="3" t="n"/>
      <c r="V7" s="3">
        <f>IFERROR(MIN(5,ROUND(((M7+O7)/2)+(IF(J7&gt;=20,2,IF(J7&gt;=10,1.5,IF(J7&gt;=5,1,IF(J7&gt;=1,0.5,0))))),1)),0)</f>
        <v/>
      </c>
      <c r="W7" s="3">
        <f>IFERROR(SWITCH(F7,"Multiple times per day",5,"Daily",4,"Weekly",3,"Monthly",2,"Quarterly",1,"Ad hoc",1,"Unknown",0),0)</f>
        <v/>
      </c>
      <c r="X7" s="3">
        <f>IFERROR(ROUND(AVERAGE(L7,N7),1),0)</f>
        <v/>
      </c>
      <c r="Y7" s="3">
        <f>IFERROR(SWITCH(U7,"High",3,"Medium",2,"Low",0,"Unknown",1,1)+IF(Q7="Yes",2,IF(Q7="Unsure",1,0)),0)</f>
        <v/>
      </c>
      <c r="Z7" s="3">
        <f>IFERROR(ROUND((V7*2)+(W7*1)+(X7*2)+(IF(T7="Easy",2,IF(T7="Medium",1,IF(T7="Hard",-1,0))))-(Y7*2),1),0)</f>
        <v/>
      </c>
      <c r="AA7" s="3">
        <f>IFERROR(IF(S7="Not a fit","Not a Fit",IF(Y7&gt;=5,"High Risk / Needs Review",IF(AND(Z7&gt;=18,T7="Easy"),"Quick Win",IF(AND(Z7&gt;=18,T7&lt;&gt;"Easy"),"Strategic Project",IF(Z7&gt;=10,"Discovery Needed","Process Issue"))))),"")</f>
        <v/>
      </c>
      <c r="AB7" s="3">
        <f>IFERROR(SWITCH(AA7,"Quick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 s="3" t="n"/>
      <c r="AD7" s="3" t="n"/>
      <c r="AE7" s="3" t="n"/>
    </row>
    <row r="8" ht="25" customHeight="1">
      <c r="A8" s="2" t="n"/>
      <c r="B8" s="2">
        <f>IFERROR(XLOOKUP(A8,'Intake Responses'!$A:$A,'Intake Responses'!$E:$E),"")</f>
        <v/>
      </c>
      <c r="C8" s="2">
        <f>IFERROR(XLOOKUP(A8,'Intake Responses'!$A:$A,'Intake Responses'!$D:$D),"")</f>
        <v/>
      </c>
      <c r="D8" s="2">
        <f>IFERROR(XLOOKUP(A8,'Intake Responses'!$A:$A,'Intake Responses'!$F:$F),"")</f>
        <v/>
      </c>
      <c r="E8" s="2" t="n"/>
      <c r="F8" s="2">
        <f>IFERROR(XLOOKUP(A8,'Intake Responses'!$A:$A,'Intake Responses'!$M:$M),"")</f>
        <v/>
      </c>
      <c r="G8" s="2">
        <f>IFERROR(XLOOKUP(A8,'Intake Responses'!$A:$A,'Intake Responses'!$N:$N),"")</f>
        <v/>
      </c>
      <c r="H8" s="2">
        <f>IFERROR(XLOOKUP(A8,'Intake Responses'!$A:$A,'Intake Responses'!$O:$O),"")</f>
        <v/>
      </c>
      <c r="I8" s="2">
        <f>IFERROR(SWITCH(F8,"Multiple times per day",60,"Daily",20,"Weekly",4,"Monthly",1,"Quarterly",0.33,"Ad hoc",0.5,"Unknown",0),0)</f>
        <v/>
      </c>
      <c r="J8" s="2">
        <f>IFERROR((G8*H8*I8)/60,0)</f>
        <v/>
      </c>
      <c r="K8" s="2">
        <f>IFERROR(J8*12,0)</f>
        <v/>
      </c>
      <c r="L8" s="2">
        <f>IFERROR(XLOOKUP(A8,'Intake Responses'!$A:$A,'Intake Responses'!$T:$T),"")</f>
        <v/>
      </c>
      <c r="M8" s="2">
        <f>IFERROR(XLOOKUP(A8,'Intake Responses'!$A:$A,'Intake Responses'!$U:$U),"")</f>
        <v/>
      </c>
      <c r="N8" s="2">
        <f>IFERROR(XLOOKUP(A8,'Intake Responses'!$A:$A,'Intake Responses'!$V:$V),"")</f>
        <v/>
      </c>
      <c r="O8" s="2">
        <f>IFERROR(XLOOKUP(A8,'Intake Responses'!$A:$A,'Intake Responses'!$W:$W),"")</f>
        <v/>
      </c>
      <c r="P8" s="2">
        <f>IFERROR(XLOOKUP(A8,'Intake Responses'!$A:$A,'Intake Responses'!$X:$X),"")</f>
        <v/>
      </c>
      <c r="Q8" s="2">
        <f>IFERROR(XLOOKUP(A8,'Intake Responses'!$A:$A,'Intake Responses'!$AF:$AF),"")</f>
        <v/>
      </c>
      <c r="R8" s="2">
        <f>IFERROR(XLOOKUP(A8,'Intake Responses'!$A:$A,'Intake Responses'!$S:$S),"")</f>
        <v/>
      </c>
      <c r="S8" s="2" t="n"/>
      <c r="T8" s="2" t="n"/>
      <c r="U8" s="2" t="n"/>
      <c r="V8" s="2">
        <f>IFERROR(MIN(5,ROUND(((M8+O8)/2)+(IF(J8&gt;=20,2,IF(J8&gt;=10,1.5,IF(J8&gt;=5,1,IF(J8&gt;=1,0.5,0))))),1)),0)</f>
        <v/>
      </c>
      <c r="W8" s="2">
        <f>IFERROR(SWITCH(F8,"Multiple times per day",5,"Daily",4,"Weekly",3,"Monthly",2,"Quarterly",1,"Ad hoc",1,"Unknown",0),0)</f>
        <v/>
      </c>
      <c r="X8" s="2">
        <f>IFERROR(ROUND(AVERAGE(L8,N8),1),0)</f>
        <v/>
      </c>
      <c r="Y8" s="2">
        <f>IFERROR(SWITCH(U8,"High",3,"Medium",2,"Low",0,"Unknown",1,1)+IF(Q8="Yes",2,IF(Q8="Unsure",1,0)),0)</f>
        <v/>
      </c>
      <c r="Z8" s="2">
        <f>IFERROR(ROUND((V8*2)+(W8*1)+(X8*2)+(IF(T8="Easy",2,IF(T8="Medium",1,IF(T8="Hard",-1,0))))-(Y8*2),1),0)</f>
        <v/>
      </c>
      <c r="AA8" s="2">
        <f>IFERROR(IF(S8="Not a fit","Not a Fit",IF(Y8&gt;=5,"High Risk / Needs Review",IF(AND(Z8&gt;=18,T8="Easy"),"Quick Win",IF(AND(Z8&gt;=18,T8&lt;&gt;"Easy"),"Strategic Project",IF(Z8&gt;=10,"Discovery Needed","Process Issue"))))),"")</f>
        <v/>
      </c>
      <c r="AB8" s="2">
        <f>IFERROR(SWITCH(AA8,"Quick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 s="2" t="n"/>
      <c r="AD8" s="2" t="n"/>
      <c r="AE8" s="2" t="n"/>
    </row>
    <row r="9" ht="25" customHeight="1">
      <c r="A9" s="3" t="n"/>
      <c r="B9" s="3">
        <f>IFERROR(XLOOKUP(A9,'Intake Responses'!$A:$A,'Intake Responses'!$E:$E),"")</f>
        <v/>
      </c>
      <c r="C9" s="3">
        <f>IFERROR(XLOOKUP(A9,'Intake Responses'!$A:$A,'Intake Responses'!$D:$D),"")</f>
        <v/>
      </c>
      <c r="D9" s="3">
        <f>IFERROR(XLOOKUP(A9,'Intake Responses'!$A:$A,'Intake Responses'!$F:$F),"")</f>
        <v/>
      </c>
      <c r="E9" s="3" t="n"/>
      <c r="F9" s="3">
        <f>IFERROR(XLOOKUP(A9,'Intake Responses'!$A:$A,'Intake Responses'!$M:$M),"")</f>
        <v/>
      </c>
      <c r="G9" s="3">
        <f>IFERROR(XLOOKUP(A9,'Intake Responses'!$A:$A,'Intake Responses'!$N:$N),"")</f>
        <v/>
      </c>
      <c r="H9" s="3">
        <f>IFERROR(XLOOKUP(A9,'Intake Responses'!$A:$A,'Intake Responses'!$O:$O),"")</f>
        <v/>
      </c>
      <c r="I9" s="3">
        <f>IFERROR(SWITCH(F9,"Multiple times per day",60,"Daily",20,"Weekly",4,"Monthly",1,"Quarterly",0.33,"Ad hoc",0.5,"Unknown",0),0)</f>
        <v/>
      </c>
      <c r="J9" s="3">
        <f>IFERROR((G9*H9*I9)/60,0)</f>
        <v/>
      </c>
      <c r="K9" s="3">
        <f>IFERROR(J9*12,0)</f>
        <v/>
      </c>
      <c r="L9" s="3">
        <f>IFERROR(XLOOKUP(A9,'Intake Responses'!$A:$A,'Intake Responses'!$T:$T),"")</f>
        <v/>
      </c>
      <c r="M9" s="3">
        <f>IFERROR(XLOOKUP(A9,'Intake Responses'!$A:$A,'Intake Responses'!$U:$U),"")</f>
        <v/>
      </c>
      <c r="N9" s="3">
        <f>IFERROR(XLOOKUP(A9,'Intake Responses'!$A:$A,'Intake Responses'!$V:$V),"")</f>
        <v/>
      </c>
      <c r="O9" s="3">
        <f>IFERROR(XLOOKUP(A9,'Intake Responses'!$A:$A,'Intake Responses'!$W:$W),"")</f>
        <v/>
      </c>
      <c r="P9" s="3">
        <f>IFERROR(XLOOKUP(A9,'Intake Responses'!$A:$A,'Intake Responses'!$X:$X),"")</f>
        <v/>
      </c>
      <c r="Q9" s="3">
        <f>IFERROR(XLOOKUP(A9,'Intake Responses'!$A:$A,'Intake Responses'!$AF:$AF),"")</f>
        <v/>
      </c>
      <c r="R9" s="3">
        <f>IFERROR(XLOOKUP(A9,'Intake Responses'!$A:$A,'Intake Responses'!$S:$S),"")</f>
        <v/>
      </c>
      <c r="S9" s="3" t="n"/>
      <c r="T9" s="3" t="n"/>
      <c r="U9" s="3" t="n"/>
      <c r="V9" s="3">
        <f>IFERROR(MIN(5,ROUND(((M9+O9)/2)+(IF(J9&gt;=20,2,IF(J9&gt;=10,1.5,IF(J9&gt;=5,1,IF(J9&gt;=1,0.5,0))))),1)),0)</f>
        <v/>
      </c>
      <c r="W9" s="3">
        <f>IFERROR(SWITCH(F9,"Multiple times per day",5,"Daily",4,"Weekly",3,"Monthly",2,"Quarterly",1,"Ad hoc",1,"Unknown",0),0)</f>
        <v/>
      </c>
      <c r="X9" s="3">
        <f>IFERROR(ROUND(AVERAGE(L9,N9),1),0)</f>
        <v/>
      </c>
      <c r="Y9" s="3">
        <f>IFERROR(SWITCH(U9,"High",3,"Medium",2,"Low",0,"Unknown",1,1)+IF(Q9="Yes",2,IF(Q9="Unsure",1,0)),0)</f>
        <v/>
      </c>
      <c r="Z9" s="3">
        <f>IFERROR(ROUND((V9*2)+(W9*1)+(X9*2)+(IF(T9="Easy",2,IF(T9="Medium",1,IF(T9="Hard",-1,0))))-(Y9*2),1),0)</f>
        <v/>
      </c>
      <c r="AA9" s="3">
        <f>IFERROR(IF(S9="Not a fit","Not a Fit",IF(Y9&gt;=5,"High Risk / Needs Review",IF(AND(Z9&gt;=18,T9="Easy"),"Quick Win",IF(AND(Z9&gt;=18,T9&lt;&gt;"Easy"),"Strategic Project",IF(Z9&gt;=10,"Discovery Needed","Process Issue"))))),"")</f>
        <v/>
      </c>
      <c r="AB9" s="3">
        <f>IFERROR(SWITCH(AA9,"Quick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 s="3" t="n"/>
      <c r="AD9" s="3" t="n"/>
      <c r="AE9" s="3" t="n"/>
    </row>
    <row r="10" ht="25" customHeight="1">
      <c r="A10" s="2" t="n"/>
      <c r="B10" s="2">
        <f>IFERROR(XLOOKUP(A10,'Intake Responses'!$A:$A,'Intake Responses'!$E:$E),"")</f>
        <v/>
      </c>
      <c r="C10" s="2">
        <f>IFERROR(XLOOKUP(A10,'Intake Responses'!$A:$A,'Intake Responses'!$D:$D),"")</f>
        <v/>
      </c>
      <c r="D10" s="2">
        <f>IFERROR(XLOOKUP(A10,'Intake Responses'!$A:$A,'Intake Responses'!$F:$F),"")</f>
        <v/>
      </c>
      <c r="E10" s="2" t="n"/>
      <c r="F10" s="2">
        <f>IFERROR(XLOOKUP(A10,'Intake Responses'!$A:$A,'Intake Responses'!$M:$M),"")</f>
        <v/>
      </c>
      <c r="G10" s="2">
        <f>IFERROR(XLOOKUP(A10,'Intake Responses'!$A:$A,'Intake Responses'!$N:$N),"")</f>
        <v/>
      </c>
      <c r="H10" s="2">
        <f>IFERROR(XLOOKUP(A10,'Intake Responses'!$A:$A,'Intake Responses'!$O:$O),"")</f>
        <v/>
      </c>
      <c r="I10" s="2">
        <f>IFERROR(SWITCH(F10,"Multiple times per day",60,"Daily",20,"Weekly",4,"Monthly",1,"Quarterly",0.33,"Ad hoc",0.5,"Unknown",0),0)</f>
        <v/>
      </c>
      <c r="J10" s="2">
        <f>IFERROR((G10*H10*I10)/60,0)</f>
        <v/>
      </c>
      <c r="K10" s="2">
        <f>IFERROR(J10*12,0)</f>
        <v/>
      </c>
      <c r="L10" s="2">
        <f>IFERROR(XLOOKUP(A10,'Intake Responses'!$A:$A,'Intake Responses'!$T:$T),"")</f>
        <v/>
      </c>
      <c r="M10" s="2">
        <f>IFERROR(XLOOKUP(A10,'Intake Responses'!$A:$A,'Intake Responses'!$U:$U),"")</f>
        <v/>
      </c>
      <c r="N10" s="2">
        <f>IFERROR(XLOOKUP(A10,'Intake Responses'!$A:$A,'Intake Responses'!$V:$V),"")</f>
        <v/>
      </c>
      <c r="O10" s="2">
        <f>IFERROR(XLOOKUP(A10,'Intake Responses'!$A:$A,'Intake Responses'!$W:$W),"")</f>
        <v/>
      </c>
      <c r="P10" s="2">
        <f>IFERROR(XLOOKUP(A10,'Intake Responses'!$A:$A,'Intake Responses'!$X:$X),"")</f>
        <v/>
      </c>
      <c r="Q10" s="2">
        <f>IFERROR(XLOOKUP(A10,'Intake Responses'!$A:$A,'Intake Responses'!$AF:$AF),"")</f>
        <v/>
      </c>
      <c r="R10" s="2">
        <f>IFERROR(XLOOKUP(A10,'Intake Responses'!$A:$A,'Intake Responses'!$S:$S),"")</f>
        <v/>
      </c>
      <c r="S10" s="2" t="n"/>
      <c r="T10" s="2" t="n"/>
      <c r="U10" s="2" t="n"/>
      <c r="V10" s="2">
        <f>IFERROR(MIN(5,ROUND(((M10+O10)/2)+(IF(J10&gt;=20,2,IF(J10&gt;=10,1.5,IF(J10&gt;=5,1,IF(J10&gt;=1,0.5,0))))),1)),0)</f>
        <v/>
      </c>
      <c r="W10" s="2">
        <f>IFERROR(SWITCH(F10,"Multiple times per day",5,"Daily",4,"Weekly",3,"Monthly",2,"Quarterly",1,"Ad hoc",1,"Unknown",0),0)</f>
        <v/>
      </c>
      <c r="X10" s="2">
        <f>IFERROR(ROUND(AVERAGE(L10,N10),1),0)</f>
        <v/>
      </c>
      <c r="Y10" s="2">
        <f>IFERROR(SWITCH(U10,"High",3,"Medium",2,"Low",0,"Unknown",1,1)+IF(Q10="Yes",2,IF(Q10="Unsure",1,0)),0)</f>
        <v/>
      </c>
      <c r="Z10" s="2">
        <f>IFERROR(ROUND((V10*2)+(W10*1)+(X10*2)+(IF(T10="Easy",2,IF(T10="Medium",1,IF(T10="Hard",-1,0))))-(Y10*2),1),0)</f>
        <v/>
      </c>
      <c r="AA10" s="2">
        <f>IFERROR(IF(S10="Not a fit","Not a Fit",IF(Y10&gt;=5,"High Risk / Needs Review",IF(AND(Z10&gt;=18,T10="Easy"),"Quick Win",IF(AND(Z10&gt;=18,T10&lt;&gt;"Easy"),"Strategic Project",IF(Z10&gt;=10,"Discovery Needed","Process Issue"))))),"")</f>
        <v/>
      </c>
      <c r="AB10" s="2">
        <f>IFERROR(SWITCH(AA10,"Quick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 s="2" t="n"/>
      <c r="AD10" s="2" t="n"/>
      <c r="AE10" s="2" t="n"/>
    </row>
    <row r="11" ht="25" customHeight="1">
      <c r="A11" s="3" t="n"/>
      <c r="B11" s="3">
        <f>IFERROR(XLOOKUP(A11,'Intake Responses'!$A:$A,'Intake Responses'!$E:$E),"")</f>
        <v/>
      </c>
      <c r="C11" s="3">
        <f>IFERROR(XLOOKUP(A11,'Intake Responses'!$A:$A,'Intake Responses'!$D:$D),"")</f>
        <v/>
      </c>
      <c r="D11" s="3">
        <f>IFERROR(XLOOKUP(A11,'Intake Responses'!$A:$A,'Intake Responses'!$F:$F),"")</f>
        <v/>
      </c>
      <c r="E11" s="3" t="n"/>
      <c r="F11" s="3">
        <f>IFERROR(XLOOKUP(A11,'Intake Responses'!$A:$A,'Intake Responses'!$M:$M),"")</f>
        <v/>
      </c>
      <c r="G11" s="3">
        <f>IFERROR(XLOOKUP(A11,'Intake Responses'!$A:$A,'Intake Responses'!$N:$N),"")</f>
        <v/>
      </c>
      <c r="H11" s="3">
        <f>IFERROR(XLOOKUP(A11,'Intake Responses'!$A:$A,'Intake Responses'!$O:$O),"")</f>
        <v/>
      </c>
      <c r="I11" s="3">
        <f>IFERROR(SWITCH(F11,"Multiple times per day",60,"Daily",20,"Weekly",4,"Monthly",1,"Quarterly",0.33,"Ad hoc",0.5,"Unknown",0),0)</f>
        <v/>
      </c>
      <c r="J11" s="3">
        <f>IFERROR((G11*H11*I11)/60,0)</f>
        <v/>
      </c>
      <c r="K11" s="3">
        <f>IFERROR(J11*12,0)</f>
        <v/>
      </c>
      <c r="L11" s="3">
        <f>IFERROR(XLOOKUP(A11,'Intake Responses'!$A:$A,'Intake Responses'!$T:$T),"")</f>
        <v/>
      </c>
      <c r="M11" s="3">
        <f>IFERROR(XLOOKUP(A11,'Intake Responses'!$A:$A,'Intake Responses'!$U:$U),"")</f>
        <v/>
      </c>
      <c r="N11" s="3">
        <f>IFERROR(XLOOKUP(A11,'Intake Responses'!$A:$A,'Intake Responses'!$V:$V),"")</f>
        <v/>
      </c>
      <c r="O11" s="3">
        <f>IFERROR(XLOOKUP(A11,'Intake Responses'!$A:$A,'Intake Responses'!$W:$W),"")</f>
        <v/>
      </c>
      <c r="P11" s="3">
        <f>IFERROR(XLOOKUP(A11,'Intake Responses'!$A:$A,'Intake Responses'!$X:$X),"")</f>
        <v/>
      </c>
      <c r="Q11" s="3">
        <f>IFERROR(XLOOKUP(A11,'Intake Responses'!$A:$A,'Intake Responses'!$AF:$AF),"")</f>
        <v/>
      </c>
      <c r="R11" s="3">
        <f>IFERROR(XLOOKUP(A11,'Intake Responses'!$A:$A,'Intake Responses'!$S:$S),"")</f>
        <v/>
      </c>
      <c r="S11" s="3" t="n"/>
      <c r="T11" s="3" t="n"/>
      <c r="U11" s="3" t="n"/>
      <c r="V11" s="3">
        <f>IFERROR(MIN(5,ROUND(((M11+O11)/2)+(IF(J11&gt;=20,2,IF(J11&gt;=10,1.5,IF(J11&gt;=5,1,IF(J11&gt;=1,0.5,0))))),1)),0)</f>
        <v/>
      </c>
      <c r="W11" s="3">
        <f>IFERROR(SWITCH(F11,"Multiple times per day",5,"Daily",4,"Weekly",3,"Monthly",2,"Quarterly",1,"Ad hoc",1,"Unknown",0),0)</f>
        <v/>
      </c>
      <c r="X11" s="3">
        <f>IFERROR(ROUND(AVERAGE(L11,N11),1),0)</f>
        <v/>
      </c>
      <c r="Y11" s="3">
        <f>IFERROR(SWITCH(U11,"High",3,"Medium",2,"Low",0,"Unknown",1,1)+IF(Q11="Yes",2,IF(Q11="Unsure",1,0)),0)</f>
        <v/>
      </c>
      <c r="Z11" s="3">
        <f>IFERROR(ROUND((V11*2)+(W11*1)+(X11*2)+(IF(T11="Easy",2,IF(T11="Medium",1,IF(T11="Hard",-1,0))))-(Y11*2),1),0)</f>
        <v/>
      </c>
      <c r="AA11" s="3">
        <f>IFERROR(IF(S11="Not a fit","Not a Fit",IF(Y11&gt;=5,"High Risk / Needs Review",IF(AND(Z11&gt;=18,T11="Easy"),"Quick Win",IF(AND(Z11&gt;=18,T11&lt;&gt;"Easy"),"Strategic Project",IF(Z11&gt;=10,"Discovery Needed","Process Issue"))))),"")</f>
        <v/>
      </c>
      <c r="AB11" s="3">
        <f>IFERROR(SWITCH(AA11,"Quick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 s="3" t="n"/>
      <c r="AD11" s="3" t="n"/>
      <c r="AE11" s="3" t="n"/>
    </row>
    <row r="12" ht="25" customHeight="1">
      <c r="A12" s="2" t="n"/>
      <c r="B12" s="2">
        <f>IFERROR(XLOOKUP(A12,'Intake Responses'!$A:$A,'Intake Responses'!$E:$E),"")</f>
        <v/>
      </c>
      <c r="C12" s="2">
        <f>IFERROR(XLOOKUP(A12,'Intake Responses'!$A:$A,'Intake Responses'!$D:$D),"")</f>
        <v/>
      </c>
      <c r="D12" s="2">
        <f>IFERROR(XLOOKUP(A12,'Intake Responses'!$A:$A,'Intake Responses'!$F:$F),"")</f>
        <v/>
      </c>
      <c r="E12" s="2" t="n"/>
      <c r="F12" s="2">
        <f>IFERROR(XLOOKUP(A12,'Intake Responses'!$A:$A,'Intake Responses'!$M:$M),"")</f>
        <v/>
      </c>
      <c r="G12" s="2">
        <f>IFERROR(XLOOKUP(A12,'Intake Responses'!$A:$A,'Intake Responses'!$N:$N),"")</f>
        <v/>
      </c>
      <c r="H12" s="2">
        <f>IFERROR(XLOOKUP(A12,'Intake Responses'!$A:$A,'Intake Responses'!$O:$O),"")</f>
        <v/>
      </c>
      <c r="I12" s="2">
        <f>IFERROR(SWITCH(F12,"Multiple times per day",60,"Daily",20,"Weekly",4,"Monthly",1,"Quarterly",0.33,"Ad hoc",0.5,"Unknown",0),0)</f>
        <v/>
      </c>
      <c r="J12" s="2">
        <f>IFERROR((G12*H12*I12)/60,0)</f>
        <v/>
      </c>
      <c r="K12" s="2">
        <f>IFERROR(J12*12,0)</f>
        <v/>
      </c>
      <c r="L12" s="2">
        <f>IFERROR(XLOOKUP(A12,'Intake Responses'!$A:$A,'Intake Responses'!$T:$T),"")</f>
        <v/>
      </c>
      <c r="M12" s="2">
        <f>IFERROR(XLOOKUP(A12,'Intake Responses'!$A:$A,'Intake Responses'!$U:$U),"")</f>
        <v/>
      </c>
      <c r="N12" s="2">
        <f>IFERROR(XLOOKUP(A12,'Intake Responses'!$A:$A,'Intake Responses'!$V:$V),"")</f>
        <v/>
      </c>
      <c r="O12" s="2">
        <f>IFERROR(XLOOKUP(A12,'Intake Responses'!$A:$A,'Intake Responses'!$W:$W),"")</f>
        <v/>
      </c>
      <c r="P12" s="2">
        <f>IFERROR(XLOOKUP(A12,'Intake Responses'!$A:$A,'Intake Responses'!$X:$X),"")</f>
        <v/>
      </c>
      <c r="Q12" s="2">
        <f>IFERROR(XLOOKUP(A12,'Intake Responses'!$A:$A,'Intake Responses'!$AF:$AF),"")</f>
        <v/>
      </c>
      <c r="R12" s="2">
        <f>IFERROR(XLOOKUP(A12,'Intake Responses'!$A:$A,'Intake Responses'!$S:$S),"")</f>
        <v/>
      </c>
      <c r="S12" s="2" t="n"/>
      <c r="T12" s="2" t="n"/>
      <c r="U12" s="2" t="n"/>
      <c r="V12" s="2">
        <f>IFERROR(MIN(5,ROUND(((M12+O12)/2)+(IF(J12&gt;=20,2,IF(J12&gt;=10,1.5,IF(J12&gt;=5,1,IF(J12&gt;=1,0.5,0))))),1)),0)</f>
        <v/>
      </c>
      <c r="W12" s="2">
        <f>IFERROR(SWITCH(F12,"Multiple times per day",5,"Daily",4,"Weekly",3,"Monthly",2,"Quarterly",1,"Ad hoc",1,"Unknown",0),0)</f>
        <v/>
      </c>
      <c r="X12" s="2">
        <f>IFERROR(ROUND(AVERAGE(L12,N12),1),0)</f>
        <v/>
      </c>
      <c r="Y12" s="2">
        <f>IFERROR(SWITCH(U12,"High",3,"Medium",2,"Low",0,"Unknown",1,1)+IF(Q12="Yes",2,IF(Q12="Unsure",1,0)),0)</f>
        <v/>
      </c>
      <c r="Z12" s="2">
        <f>IFERROR(ROUND((V12*2)+(W12*1)+(X12*2)+(IF(T12="Easy",2,IF(T12="Medium",1,IF(T12="Hard",-1,0))))-(Y12*2),1),0)</f>
        <v/>
      </c>
      <c r="AA12" s="2">
        <f>IFERROR(IF(S12="Not a fit","Not a Fit",IF(Y12&gt;=5,"High Risk / Needs Review",IF(AND(Z12&gt;=18,T12="Easy"),"Quick Win",IF(AND(Z12&gt;=18,T12&lt;&gt;"Easy"),"Strategic Project",IF(Z12&gt;=10,"Discovery Needed","Process Issue"))))),"")</f>
        <v/>
      </c>
      <c r="AB12" s="2">
        <f>IFERROR(SWITCH(AA12,"Quick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 s="2" t="n"/>
      <c r="AD12" s="2" t="n"/>
      <c r="AE12" s="2" t="n"/>
    </row>
    <row r="13" ht="25" customHeight="1">
      <c r="A13" s="3" t="n"/>
      <c r="B13" s="3">
        <f>IFERROR(XLOOKUP(A13,'Intake Responses'!$A:$A,'Intake Responses'!$E:$E),"")</f>
        <v/>
      </c>
      <c r="C13" s="3">
        <f>IFERROR(XLOOKUP(A13,'Intake Responses'!$A:$A,'Intake Responses'!$D:$D),"")</f>
        <v/>
      </c>
      <c r="D13" s="3">
        <f>IFERROR(XLOOKUP(A13,'Intake Responses'!$A:$A,'Intake Responses'!$F:$F),"")</f>
        <v/>
      </c>
      <c r="E13" s="3" t="n"/>
      <c r="F13" s="3">
        <f>IFERROR(XLOOKUP(A13,'Intake Responses'!$A:$A,'Intake Responses'!$M:$M),"")</f>
        <v/>
      </c>
      <c r="G13" s="3">
        <f>IFERROR(XLOOKUP(A13,'Intake Responses'!$A:$A,'Intake Responses'!$N:$N),"")</f>
        <v/>
      </c>
      <c r="H13" s="3">
        <f>IFERROR(XLOOKUP(A13,'Intake Responses'!$A:$A,'Intake Responses'!$O:$O),"")</f>
        <v/>
      </c>
      <c r="I13" s="3">
        <f>IFERROR(SWITCH(F13,"Multiple times per day",60,"Daily",20,"Weekly",4,"Monthly",1,"Quarterly",0.33,"Ad hoc",0.5,"Unknown",0),0)</f>
        <v/>
      </c>
      <c r="J13" s="3">
        <f>IFERROR((G13*H13*I13)/60,0)</f>
        <v/>
      </c>
      <c r="K13" s="3">
        <f>IFERROR(J13*12,0)</f>
        <v/>
      </c>
      <c r="L13" s="3">
        <f>IFERROR(XLOOKUP(A13,'Intake Responses'!$A:$A,'Intake Responses'!$T:$T),"")</f>
        <v/>
      </c>
      <c r="M13" s="3">
        <f>IFERROR(XLOOKUP(A13,'Intake Responses'!$A:$A,'Intake Responses'!$U:$U),"")</f>
        <v/>
      </c>
      <c r="N13" s="3">
        <f>IFERROR(XLOOKUP(A13,'Intake Responses'!$A:$A,'Intake Responses'!$V:$V),"")</f>
        <v/>
      </c>
      <c r="O13" s="3">
        <f>IFERROR(XLOOKUP(A13,'Intake Responses'!$A:$A,'Intake Responses'!$W:$W),"")</f>
        <v/>
      </c>
      <c r="P13" s="3">
        <f>IFERROR(XLOOKUP(A13,'Intake Responses'!$A:$A,'Intake Responses'!$X:$X),"")</f>
        <v/>
      </c>
      <c r="Q13" s="3">
        <f>IFERROR(XLOOKUP(A13,'Intake Responses'!$A:$A,'Intake Responses'!$AF:$AF),"")</f>
        <v/>
      </c>
      <c r="R13" s="3">
        <f>IFERROR(XLOOKUP(A13,'Intake Responses'!$A:$A,'Intake Responses'!$S:$S),"")</f>
        <v/>
      </c>
      <c r="S13" s="3" t="n"/>
      <c r="T13" s="3" t="n"/>
      <c r="U13" s="3" t="n"/>
      <c r="V13" s="3">
        <f>IFERROR(MIN(5,ROUND(((M13+O13)/2)+(IF(J13&gt;=20,2,IF(J13&gt;=10,1.5,IF(J13&gt;=5,1,IF(J13&gt;=1,0.5,0))))),1)),0)</f>
        <v/>
      </c>
      <c r="W13" s="3">
        <f>IFERROR(SWITCH(F13,"Multiple times per day",5,"Daily",4,"Weekly",3,"Monthly",2,"Quarterly",1,"Ad hoc",1,"Unknown",0),0)</f>
        <v/>
      </c>
      <c r="X13" s="3">
        <f>IFERROR(ROUND(AVERAGE(L13,N13),1),0)</f>
        <v/>
      </c>
      <c r="Y13" s="3">
        <f>IFERROR(SWITCH(U13,"High",3,"Medium",2,"Low",0,"Unknown",1,1)+IF(Q13="Yes",2,IF(Q13="Unsure",1,0)),0)</f>
        <v/>
      </c>
      <c r="Z13" s="3">
        <f>IFERROR(ROUND((V13*2)+(W13*1)+(X13*2)+(IF(T13="Easy",2,IF(T13="Medium",1,IF(T13="Hard",-1,0))))-(Y13*2),1),0)</f>
        <v/>
      </c>
      <c r="AA13" s="3">
        <f>IFERROR(IF(S13="Not a fit","Not a Fit",IF(Y13&gt;=5,"High Risk / Needs Review",IF(AND(Z13&gt;=18,T13="Easy"),"Quick Win",IF(AND(Z13&gt;=18,T13&lt;&gt;"Easy"),"Strategic Project",IF(Z13&gt;=10,"Discovery Needed","Process Issue"))))),"")</f>
        <v/>
      </c>
      <c r="AB13" s="3">
        <f>IFERROR(SWITCH(AA13,"Quick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 s="3" t="n"/>
      <c r="AD13" s="3" t="n"/>
      <c r="AE13" s="3" t="n"/>
    </row>
    <row r="14" ht="25" customHeight="1">
      <c r="A14" s="2" t="n"/>
      <c r="B14" s="2">
        <f>IFERROR(XLOOKUP(A14,'Intake Responses'!$A:$A,'Intake Responses'!$E:$E),"")</f>
        <v/>
      </c>
      <c r="C14" s="2">
        <f>IFERROR(XLOOKUP(A14,'Intake Responses'!$A:$A,'Intake Responses'!$D:$D),"")</f>
        <v/>
      </c>
      <c r="D14" s="2">
        <f>IFERROR(XLOOKUP(A14,'Intake Responses'!$A:$A,'Intake Responses'!$F:$F),"")</f>
        <v/>
      </c>
      <c r="E14" s="2" t="n"/>
      <c r="F14" s="2">
        <f>IFERROR(XLOOKUP(A14,'Intake Responses'!$A:$A,'Intake Responses'!$M:$M),"")</f>
        <v/>
      </c>
      <c r="G14" s="2">
        <f>IFERROR(XLOOKUP(A14,'Intake Responses'!$A:$A,'Intake Responses'!$N:$N),"")</f>
        <v/>
      </c>
      <c r="H14" s="2">
        <f>IFERROR(XLOOKUP(A14,'Intake Responses'!$A:$A,'Intake Responses'!$O:$O),"")</f>
        <v/>
      </c>
      <c r="I14" s="2">
        <f>IFERROR(SWITCH(F14,"Multiple times per day",60,"Daily",20,"Weekly",4,"Monthly",1,"Quarterly",0.33,"Ad hoc",0.5,"Unknown",0),0)</f>
        <v/>
      </c>
      <c r="J14" s="2">
        <f>IFERROR((G14*H14*I14)/60,0)</f>
        <v/>
      </c>
      <c r="K14" s="2">
        <f>IFERROR(J14*12,0)</f>
        <v/>
      </c>
      <c r="L14" s="2">
        <f>IFERROR(XLOOKUP(A14,'Intake Responses'!$A:$A,'Intake Responses'!$T:$T),"")</f>
        <v/>
      </c>
      <c r="M14" s="2">
        <f>IFERROR(XLOOKUP(A14,'Intake Responses'!$A:$A,'Intake Responses'!$U:$U),"")</f>
        <v/>
      </c>
      <c r="N14" s="2">
        <f>IFERROR(XLOOKUP(A14,'Intake Responses'!$A:$A,'Intake Responses'!$V:$V),"")</f>
        <v/>
      </c>
      <c r="O14" s="2">
        <f>IFERROR(XLOOKUP(A14,'Intake Responses'!$A:$A,'Intake Responses'!$W:$W),"")</f>
        <v/>
      </c>
      <c r="P14" s="2">
        <f>IFERROR(XLOOKUP(A14,'Intake Responses'!$A:$A,'Intake Responses'!$X:$X),"")</f>
        <v/>
      </c>
      <c r="Q14" s="2">
        <f>IFERROR(XLOOKUP(A14,'Intake Responses'!$A:$A,'Intake Responses'!$AF:$AF),"")</f>
        <v/>
      </c>
      <c r="R14" s="2">
        <f>IFERROR(XLOOKUP(A14,'Intake Responses'!$A:$A,'Intake Responses'!$S:$S),"")</f>
        <v/>
      </c>
      <c r="S14" s="2" t="n"/>
      <c r="T14" s="2" t="n"/>
      <c r="U14" s="2" t="n"/>
      <c r="V14" s="2">
        <f>IFERROR(MIN(5,ROUND(((M14+O14)/2)+(IF(J14&gt;=20,2,IF(J14&gt;=10,1.5,IF(J14&gt;=5,1,IF(J14&gt;=1,0.5,0))))),1)),0)</f>
        <v/>
      </c>
      <c r="W14" s="2">
        <f>IFERROR(SWITCH(F14,"Multiple times per day",5,"Daily",4,"Weekly",3,"Monthly",2,"Quarterly",1,"Ad hoc",1,"Unknown",0),0)</f>
        <v/>
      </c>
      <c r="X14" s="2">
        <f>IFERROR(ROUND(AVERAGE(L14,N14),1),0)</f>
        <v/>
      </c>
      <c r="Y14" s="2">
        <f>IFERROR(SWITCH(U14,"High",3,"Medium",2,"Low",0,"Unknown",1,1)+IF(Q14="Yes",2,IF(Q14="Unsure",1,0)),0)</f>
        <v/>
      </c>
      <c r="Z14" s="2">
        <f>IFERROR(ROUND((V14*2)+(W14*1)+(X14*2)+(IF(T14="Easy",2,IF(T14="Medium",1,IF(T14="Hard",-1,0))))-(Y14*2),1),0)</f>
        <v/>
      </c>
      <c r="AA14" s="2">
        <f>IFERROR(IF(S14="Not a fit","Not a Fit",IF(Y14&gt;=5,"High Risk / Needs Review",IF(AND(Z14&gt;=18,T14="Easy"),"Quick Win",IF(AND(Z14&gt;=18,T14&lt;&gt;"Easy"),"Strategic Project",IF(Z14&gt;=10,"Discovery Needed","Process Issue"))))),"")</f>
        <v/>
      </c>
      <c r="AB14" s="2">
        <f>IFERROR(SWITCH(AA14,"Quick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 s="2" t="n"/>
      <c r="AD14" s="2" t="n"/>
      <c r="AE14" s="2" t="n"/>
    </row>
    <row r="15" ht="25" customHeight="1">
      <c r="A15" s="3" t="n"/>
      <c r="B15" s="3">
        <f>IFERROR(XLOOKUP(A15,'Intake Responses'!$A:$A,'Intake Responses'!$E:$E),"")</f>
        <v/>
      </c>
      <c r="C15" s="3">
        <f>IFERROR(XLOOKUP(A15,'Intake Responses'!$A:$A,'Intake Responses'!$D:$D),"")</f>
        <v/>
      </c>
      <c r="D15" s="3">
        <f>IFERROR(XLOOKUP(A15,'Intake Responses'!$A:$A,'Intake Responses'!$F:$F),"")</f>
        <v/>
      </c>
      <c r="E15" s="3" t="n"/>
      <c r="F15" s="3">
        <f>IFERROR(XLOOKUP(A15,'Intake Responses'!$A:$A,'Intake Responses'!$M:$M),"")</f>
        <v/>
      </c>
      <c r="G15" s="3">
        <f>IFERROR(XLOOKUP(A15,'Intake Responses'!$A:$A,'Intake Responses'!$N:$N),"")</f>
        <v/>
      </c>
      <c r="H15" s="3">
        <f>IFERROR(XLOOKUP(A15,'Intake Responses'!$A:$A,'Intake Responses'!$O:$O),"")</f>
        <v/>
      </c>
      <c r="I15" s="3">
        <f>IFERROR(SWITCH(F15,"Multiple times per day",60,"Daily",20,"Weekly",4,"Monthly",1,"Quarterly",0.33,"Ad hoc",0.5,"Unknown",0),0)</f>
        <v/>
      </c>
      <c r="J15" s="3">
        <f>IFERROR((G15*H15*I15)/60,0)</f>
        <v/>
      </c>
      <c r="K15" s="3">
        <f>IFERROR(J15*12,0)</f>
        <v/>
      </c>
      <c r="L15" s="3">
        <f>IFERROR(XLOOKUP(A15,'Intake Responses'!$A:$A,'Intake Responses'!$T:$T),"")</f>
        <v/>
      </c>
      <c r="M15" s="3">
        <f>IFERROR(XLOOKUP(A15,'Intake Responses'!$A:$A,'Intake Responses'!$U:$U),"")</f>
        <v/>
      </c>
      <c r="N15" s="3">
        <f>IFERROR(XLOOKUP(A15,'Intake Responses'!$A:$A,'Intake Responses'!$V:$V),"")</f>
        <v/>
      </c>
      <c r="O15" s="3">
        <f>IFERROR(XLOOKUP(A15,'Intake Responses'!$A:$A,'Intake Responses'!$W:$W),"")</f>
        <v/>
      </c>
      <c r="P15" s="3">
        <f>IFERROR(XLOOKUP(A15,'Intake Responses'!$A:$A,'Intake Responses'!$X:$X),"")</f>
        <v/>
      </c>
      <c r="Q15" s="3">
        <f>IFERROR(XLOOKUP(A15,'Intake Responses'!$A:$A,'Intake Responses'!$AF:$AF),"")</f>
        <v/>
      </c>
      <c r="R15" s="3">
        <f>IFERROR(XLOOKUP(A15,'Intake Responses'!$A:$A,'Intake Responses'!$S:$S),"")</f>
        <v/>
      </c>
      <c r="S15" s="3" t="n"/>
      <c r="T15" s="3" t="n"/>
      <c r="U15" s="3" t="n"/>
      <c r="V15" s="3">
        <f>IFERROR(MIN(5,ROUND(((M15+O15)/2)+(IF(J15&gt;=20,2,IF(J15&gt;=10,1.5,IF(J15&gt;=5,1,IF(J15&gt;=1,0.5,0))))),1)),0)</f>
        <v/>
      </c>
      <c r="W15" s="3">
        <f>IFERROR(SWITCH(F15,"Multiple times per day",5,"Daily",4,"Weekly",3,"Monthly",2,"Quarterly",1,"Ad hoc",1,"Unknown",0),0)</f>
        <v/>
      </c>
      <c r="X15" s="3">
        <f>IFERROR(ROUND(AVERAGE(L15,N15),1),0)</f>
        <v/>
      </c>
      <c r="Y15" s="3">
        <f>IFERROR(SWITCH(U15,"High",3,"Medium",2,"Low",0,"Unknown",1,1)+IF(Q15="Yes",2,IF(Q15="Unsure",1,0)),0)</f>
        <v/>
      </c>
      <c r="Z15" s="3">
        <f>IFERROR(ROUND((V15*2)+(W15*1)+(X15*2)+(IF(T15="Easy",2,IF(T15="Medium",1,IF(T15="Hard",-1,0))))-(Y15*2),1),0)</f>
        <v/>
      </c>
      <c r="AA15" s="3">
        <f>IFERROR(IF(S15="Not a fit","Not a Fit",IF(Y15&gt;=5,"High Risk / Needs Review",IF(AND(Z15&gt;=18,T15="Easy"),"Quick Win",IF(AND(Z15&gt;=18,T15&lt;&gt;"Easy"),"Strategic Project",IF(Z15&gt;=10,"Discovery Needed","Process Issue"))))),"")</f>
        <v/>
      </c>
      <c r="AB15" s="3">
        <f>IFERROR(SWITCH(AA15,"Quick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 s="3" t="n"/>
      <c r="AD15" s="3" t="n"/>
      <c r="AE15" s="3" t="n"/>
    </row>
    <row r="16" ht="25" customHeight="1">
      <c r="A16" s="2" t="n"/>
      <c r="B16" s="2">
        <f>IFERROR(XLOOKUP(A16,'Intake Responses'!$A:$A,'Intake Responses'!$E:$E),"")</f>
        <v/>
      </c>
      <c r="C16" s="2">
        <f>IFERROR(XLOOKUP(A16,'Intake Responses'!$A:$A,'Intake Responses'!$D:$D),"")</f>
        <v/>
      </c>
      <c r="D16" s="2">
        <f>IFERROR(XLOOKUP(A16,'Intake Responses'!$A:$A,'Intake Responses'!$F:$F),"")</f>
        <v/>
      </c>
      <c r="E16" s="2" t="n"/>
      <c r="F16" s="2">
        <f>IFERROR(XLOOKUP(A16,'Intake Responses'!$A:$A,'Intake Responses'!$M:$M),"")</f>
        <v/>
      </c>
      <c r="G16" s="2">
        <f>IFERROR(XLOOKUP(A16,'Intake Responses'!$A:$A,'Intake Responses'!$N:$N),"")</f>
        <v/>
      </c>
      <c r="H16" s="2">
        <f>IFERROR(XLOOKUP(A16,'Intake Responses'!$A:$A,'Intake Responses'!$O:$O),"")</f>
        <v/>
      </c>
      <c r="I16" s="2">
        <f>IFERROR(SWITCH(F16,"Multiple times per day",60,"Daily",20,"Weekly",4,"Monthly",1,"Quarterly",0.33,"Ad hoc",0.5,"Unknown",0),0)</f>
        <v/>
      </c>
      <c r="J16" s="2">
        <f>IFERROR((G16*H16*I16)/60,0)</f>
        <v/>
      </c>
      <c r="K16" s="2">
        <f>IFERROR(J16*12,0)</f>
        <v/>
      </c>
      <c r="L16" s="2">
        <f>IFERROR(XLOOKUP(A16,'Intake Responses'!$A:$A,'Intake Responses'!$T:$T),"")</f>
        <v/>
      </c>
      <c r="M16" s="2">
        <f>IFERROR(XLOOKUP(A16,'Intake Responses'!$A:$A,'Intake Responses'!$U:$U),"")</f>
        <v/>
      </c>
      <c r="N16" s="2">
        <f>IFERROR(XLOOKUP(A16,'Intake Responses'!$A:$A,'Intake Responses'!$V:$V),"")</f>
        <v/>
      </c>
      <c r="O16" s="2">
        <f>IFERROR(XLOOKUP(A16,'Intake Responses'!$A:$A,'Intake Responses'!$W:$W),"")</f>
        <v/>
      </c>
      <c r="P16" s="2">
        <f>IFERROR(XLOOKUP(A16,'Intake Responses'!$A:$A,'Intake Responses'!$X:$X),"")</f>
        <v/>
      </c>
      <c r="Q16" s="2">
        <f>IFERROR(XLOOKUP(A16,'Intake Responses'!$A:$A,'Intake Responses'!$AF:$AF),"")</f>
        <v/>
      </c>
      <c r="R16" s="2">
        <f>IFERROR(XLOOKUP(A16,'Intake Responses'!$A:$A,'Intake Responses'!$S:$S),"")</f>
        <v/>
      </c>
      <c r="S16" s="2" t="n"/>
      <c r="T16" s="2" t="n"/>
      <c r="U16" s="2" t="n"/>
      <c r="V16" s="2">
        <f>IFERROR(MIN(5,ROUND(((M16+O16)/2)+(IF(J16&gt;=20,2,IF(J16&gt;=10,1.5,IF(J16&gt;=5,1,IF(J16&gt;=1,0.5,0))))),1)),0)</f>
        <v/>
      </c>
      <c r="W16" s="2">
        <f>IFERROR(SWITCH(F16,"Multiple times per day",5,"Daily",4,"Weekly",3,"Monthly",2,"Quarterly",1,"Ad hoc",1,"Unknown",0),0)</f>
        <v/>
      </c>
      <c r="X16" s="2">
        <f>IFERROR(ROUND(AVERAGE(L16,N16),1),0)</f>
        <v/>
      </c>
      <c r="Y16" s="2">
        <f>IFERROR(SWITCH(U16,"High",3,"Medium",2,"Low",0,"Unknown",1,1)+IF(Q16="Yes",2,IF(Q16="Unsure",1,0)),0)</f>
        <v/>
      </c>
      <c r="Z16" s="2">
        <f>IFERROR(ROUND((V16*2)+(W16*1)+(X16*2)+(IF(T16="Easy",2,IF(T16="Medium",1,IF(T16="Hard",-1,0))))-(Y16*2),1),0)</f>
        <v/>
      </c>
      <c r="AA16" s="2">
        <f>IFERROR(IF(S16="Not a fit","Not a Fit",IF(Y16&gt;=5,"High Risk / Needs Review",IF(AND(Z16&gt;=18,T16="Easy"),"Quick Win",IF(AND(Z16&gt;=18,T16&lt;&gt;"Easy"),"Strategic Project",IF(Z16&gt;=10,"Discovery Needed","Process Issue"))))),"")</f>
        <v/>
      </c>
      <c r="AB16" s="2">
        <f>IFERROR(SWITCH(AA16,"Quick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 s="2" t="n"/>
      <c r="AD16" s="2" t="n"/>
      <c r="AE16" s="2" t="n"/>
    </row>
    <row r="17" ht="25" customHeight="1">
      <c r="A17" s="3" t="n"/>
      <c r="B17" s="3">
        <f>IFERROR(XLOOKUP(A17,'Intake Responses'!$A:$A,'Intake Responses'!$E:$E),"")</f>
        <v/>
      </c>
      <c r="C17" s="3">
        <f>IFERROR(XLOOKUP(A17,'Intake Responses'!$A:$A,'Intake Responses'!$D:$D),"")</f>
        <v/>
      </c>
      <c r="D17" s="3">
        <f>IFERROR(XLOOKUP(A17,'Intake Responses'!$A:$A,'Intake Responses'!$F:$F),"")</f>
        <v/>
      </c>
      <c r="E17" s="3" t="n"/>
      <c r="F17" s="3">
        <f>IFERROR(XLOOKUP(A17,'Intake Responses'!$A:$A,'Intake Responses'!$M:$M),"")</f>
        <v/>
      </c>
      <c r="G17" s="3">
        <f>IFERROR(XLOOKUP(A17,'Intake Responses'!$A:$A,'Intake Responses'!$N:$N),"")</f>
        <v/>
      </c>
      <c r="H17" s="3">
        <f>IFERROR(XLOOKUP(A17,'Intake Responses'!$A:$A,'Intake Responses'!$O:$O),"")</f>
        <v/>
      </c>
      <c r="I17" s="3">
        <f>IFERROR(SWITCH(F17,"Multiple times per day",60,"Daily",20,"Weekly",4,"Monthly",1,"Quarterly",0.33,"Ad hoc",0.5,"Unknown",0),0)</f>
        <v/>
      </c>
      <c r="J17" s="3">
        <f>IFERROR((G17*H17*I17)/60,0)</f>
        <v/>
      </c>
      <c r="K17" s="3">
        <f>IFERROR(J17*12,0)</f>
        <v/>
      </c>
      <c r="L17" s="3">
        <f>IFERROR(XLOOKUP(A17,'Intake Responses'!$A:$A,'Intake Responses'!$T:$T),"")</f>
        <v/>
      </c>
      <c r="M17" s="3">
        <f>IFERROR(XLOOKUP(A17,'Intake Responses'!$A:$A,'Intake Responses'!$U:$U),"")</f>
        <v/>
      </c>
      <c r="N17" s="3">
        <f>IFERROR(XLOOKUP(A17,'Intake Responses'!$A:$A,'Intake Responses'!$V:$V),"")</f>
        <v/>
      </c>
      <c r="O17" s="3">
        <f>IFERROR(XLOOKUP(A17,'Intake Responses'!$A:$A,'Intake Responses'!$W:$W),"")</f>
        <v/>
      </c>
      <c r="P17" s="3">
        <f>IFERROR(XLOOKUP(A17,'Intake Responses'!$A:$A,'Intake Responses'!$X:$X),"")</f>
        <v/>
      </c>
      <c r="Q17" s="3">
        <f>IFERROR(XLOOKUP(A17,'Intake Responses'!$A:$A,'Intake Responses'!$AF:$AF),"")</f>
        <v/>
      </c>
      <c r="R17" s="3">
        <f>IFERROR(XLOOKUP(A17,'Intake Responses'!$A:$A,'Intake Responses'!$S:$S),"")</f>
        <v/>
      </c>
      <c r="S17" s="3" t="n"/>
      <c r="T17" s="3" t="n"/>
      <c r="U17" s="3" t="n"/>
      <c r="V17" s="3">
        <f>IFERROR(MIN(5,ROUND(((M17+O17)/2)+(IF(J17&gt;=20,2,IF(J17&gt;=10,1.5,IF(J17&gt;=5,1,IF(J17&gt;=1,0.5,0))))),1)),0)</f>
        <v/>
      </c>
      <c r="W17" s="3">
        <f>IFERROR(SWITCH(F17,"Multiple times per day",5,"Daily",4,"Weekly",3,"Monthly",2,"Quarterly",1,"Ad hoc",1,"Unknown",0),0)</f>
        <v/>
      </c>
      <c r="X17" s="3">
        <f>IFERROR(ROUND(AVERAGE(L17,N17),1),0)</f>
        <v/>
      </c>
      <c r="Y17" s="3">
        <f>IFERROR(SWITCH(U17,"High",3,"Medium",2,"Low",0,"Unknown",1,1)+IF(Q17="Yes",2,IF(Q17="Unsure",1,0)),0)</f>
        <v/>
      </c>
      <c r="Z17" s="3">
        <f>IFERROR(ROUND((V17*2)+(W17*1)+(X17*2)+(IF(T17="Easy",2,IF(T17="Medium",1,IF(T17="Hard",-1,0))))-(Y17*2),1),0)</f>
        <v/>
      </c>
      <c r="AA17" s="3">
        <f>IFERROR(IF(S17="Not a fit","Not a Fit",IF(Y17&gt;=5,"High Risk / Needs Review",IF(AND(Z17&gt;=18,T17="Easy"),"Quick Win",IF(AND(Z17&gt;=18,T17&lt;&gt;"Easy"),"Strategic Project",IF(Z17&gt;=10,"Discovery Needed","Process Issue"))))),"")</f>
        <v/>
      </c>
      <c r="AB17" s="3">
        <f>IFERROR(SWITCH(AA17,"Quick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 s="3" t="n"/>
      <c r="AD17" s="3" t="n"/>
      <c r="AE17" s="3" t="n"/>
    </row>
    <row r="18" ht="25" customHeight="1">
      <c r="A18" s="2" t="n"/>
      <c r="B18" s="2">
        <f>IFERROR(XLOOKUP(A18,'Intake Responses'!$A:$A,'Intake Responses'!$E:$E),"")</f>
        <v/>
      </c>
      <c r="C18" s="2">
        <f>IFERROR(XLOOKUP(A18,'Intake Responses'!$A:$A,'Intake Responses'!$D:$D),"")</f>
        <v/>
      </c>
      <c r="D18" s="2">
        <f>IFERROR(XLOOKUP(A18,'Intake Responses'!$A:$A,'Intake Responses'!$F:$F),"")</f>
        <v/>
      </c>
      <c r="E18" s="2" t="n"/>
      <c r="F18" s="2">
        <f>IFERROR(XLOOKUP(A18,'Intake Responses'!$A:$A,'Intake Responses'!$M:$M),"")</f>
        <v/>
      </c>
      <c r="G18" s="2">
        <f>IFERROR(XLOOKUP(A18,'Intake Responses'!$A:$A,'Intake Responses'!$N:$N),"")</f>
        <v/>
      </c>
      <c r="H18" s="2">
        <f>IFERROR(XLOOKUP(A18,'Intake Responses'!$A:$A,'Intake Responses'!$O:$O),"")</f>
        <v/>
      </c>
      <c r="I18" s="2">
        <f>IFERROR(SWITCH(F18,"Multiple times per day",60,"Daily",20,"Weekly",4,"Monthly",1,"Quarterly",0.33,"Ad hoc",0.5,"Unknown",0),0)</f>
        <v/>
      </c>
      <c r="J18" s="2">
        <f>IFERROR((G18*H18*I18)/60,0)</f>
        <v/>
      </c>
      <c r="K18" s="2">
        <f>IFERROR(J18*12,0)</f>
        <v/>
      </c>
      <c r="L18" s="2">
        <f>IFERROR(XLOOKUP(A18,'Intake Responses'!$A:$A,'Intake Responses'!$T:$T),"")</f>
        <v/>
      </c>
      <c r="M18" s="2">
        <f>IFERROR(XLOOKUP(A18,'Intake Responses'!$A:$A,'Intake Responses'!$U:$U),"")</f>
        <v/>
      </c>
      <c r="N18" s="2">
        <f>IFERROR(XLOOKUP(A18,'Intake Responses'!$A:$A,'Intake Responses'!$V:$V),"")</f>
        <v/>
      </c>
      <c r="O18" s="2">
        <f>IFERROR(XLOOKUP(A18,'Intake Responses'!$A:$A,'Intake Responses'!$W:$W),"")</f>
        <v/>
      </c>
      <c r="P18" s="2">
        <f>IFERROR(XLOOKUP(A18,'Intake Responses'!$A:$A,'Intake Responses'!$X:$X),"")</f>
        <v/>
      </c>
      <c r="Q18" s="2">
        <f>IFERROR(XLOOKUP(A18,'Intake Responses'!$A:$A,'Intake Responses'!$AF:$AF),"")</f>
        <v/>
      </c>
      <c r="R18" s="2">
        <f>IFERROR(XLOOKUP(A18,'Intake Responses'!$A:$A,'Intake Responses'!$S:$S),"")</f>
        <v/>
      </c>
      <c r="S18" s="2" t="n"/>
      <c r="T18" s="2" t="n"/>
      <c r="U18" s="2" t="n"/>
      <c r="V18" s="2">
        <f>IFERROR(MIN(5,ROUND(((M18+O18)/2)+(IF(J18&gt;=20,2,IF(J18&gt;=10,1.5,IF(J18&gt;=5,1,IF(J18&gt;=1,0.5,0))))),1)),0)</f>
        <v/>
      </c>
      <c r="W18" s="2">
        <f>IFERROR(SWITCH(F18,"Multiple times per day",5,"Daily",4,"Weekly",3,"Monthly",2,"Quarterly",1,"Ad hoc",1,"Unknown",0),0)</f>
        <v/>
      </c>
      <c r="X18" s="2">
        <f>IFERROR(ROUND(AVERAGE(L18,N18),1),0)</f>
        <v/>
      </c>
      <c r="Y18" s="2">
        <f>IFERROR(SWITCH(U18,"High",3,"Medium",2,"Low",0,"Unknown",1,1)+IF(Q18="Yes",2,IF(Q18="Unsure",1,0)),0)</f>
        <v/>
      </c>
      <c r="Z18" s="2">
        <f>IFERROR(ROUND((V18*2)+(W18*1)+(X18*2)+(IF(T18="Easy",2,IF(T18="Medium",1,IF(T18="Hard",-1,0))))-(Y18*2),1),0)</f>
        <v/>
      </c>
      <c r="AA18" s="2">
        <f>IFERROR(IF(S18="Not a fit","Not a Fit",IF(Y18&gt;=5,"High Risk / Needs Review",IF(AND(Z18&gt;=18,T18="Easy"),"Quick Win",IF(AND(Z18&gt;=18,T18&lt;&gt;"Easy"),"Strategic Project",IF(Z18&gt;=10,"Discovery Needed","Process Issue"))))),"")</f>
        <v/>
      </c>
      <c r="AB18" s="2">
        <f>IFERROR(SWITCH(AA18,"Quick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 s="2" t="n"/>
      <c r="AD18" s="2" t="n"/>
      <c r="AE18" s="2" t="n"/>
    </row>
    <row r="19" ht="25" customHeight="1">
      <c r="A19" s="3" t="n"/>
      <c r="B19" s="3">
        <f>IFERROR(XLOOKUP(A19,'Intake Responses'!$A:$A,'Intake Responses'!$E:$E),"")</f>
        <v/>
      </c>
      <c r="C19" s="3">
        <f>IFERROR(XLOOKUP(A19,'Intake Responses'!$A:$A,'Intake Responses'!$D:$D),"")</f>
        <v/>
      </c>
      <c r="D19" s="3">
        <f>IFERROR(XLOOKUP(A19,'Intake Responses'!$A:$A,'Intake Responses'!$F:$F),"")</f>
        <v/>
      </c>
      <c r="E19" s="3" t="n"/>
      <c r="F19" s="3">
        <f>IFERROR(XLOOKUP(A19,'Intake Responses'!$A:$A,'Intake Responses'!$M:$M),"")</f>
        <v/>
      </c>
      <c r="G19" s="3">
        <f>IFERROR(XLOOKUP(A19,'Intake Responses'!$A:$A,'Intake Responses'!$N:$N),"")</f>
        <v/>
      </c>
      <c r="H19" s="3">
        <f>IFERROR(XLOOKUP(A19,'Intake Responses'!$A:$A,'Intake Responses'!$O:$O),"")</f>
        <v/>
      </c>
      <c r="I19" s="3">
        <f>IFERROR(SWITCH(F19,"Multiple times per day",60,"Daily",20,"Weekly",4,"Monthly",1,"Quarterly",0.33,"Ad hoc",0.5,"Unknown",0),0)</f>
        <v/>
      </c>
      <c r="J19" s="3">
        <f>IFERROR((G19*H19*I19)/60,0)</f>
        <v/>
      </c>
      <c r="K19" s="3">
        <f>IFERROR(J19*12,0)</f>
        <v/>
      </c>
      <c r="L19" s="3">
        <f>IFERROR(XLOOKUP(A19,'Intake Responses'!$A:$A,'Intake Responses'!$T:$T),"")</f>
        <v/>
      </c>
      <c r="M19" s="3">
        <f>IFERROR(XLOOKUP(A19,'Intake Responses'!$A:$A,'Intake Responses'!$U:$U),"")</f>
        <v/>
      </c>
      <c r="N19" s="3">
        <f>IFERROR(XLOOKUP(A19,'Intake Responses'!$A:$A,'Intake Responses'!$V:$V),"")</f>
        <v/>
      </c>
      <c r="O19" s="3">
        <f>IFERROR(XLOOKUP(A19,'Intake Responses'!$A:$A,'Intake Responses'!$W:$W),"")</f>
        <v/>
      </c>
      <c r="P19" s="3">
        <f>IFERROR(XLOOKUP(A19,'Intake Responses'!$A:$A,'Intake Responses'!$X:$X),"")</f>
        <v/>
      </c>
      <c r="Q19" s="3">
        <f>IFERROR(XLOOKUP(A19,'Intake Responses'!$A:$A,'Intake Responses'!$AF:$AF),"")</f>
        <v/>
      </c>
      <c r="R19" s="3">
        <f>IFERROR(XLOOKUP(A19,'Intake Responses'!$A:$A,'Intake Responses'!$S:$S),"")</f>
        <v/>
      </c>
      <c r="S19" s="3" t="n"/>
      <c r="T19" s="3" t="n"/>
      <c r="U19" s="3" t="n"/>
      <c r="V19" s="3">
        <f>IFERROR(MIN(5,ROUND(((M19+O19)/2)+(IF(J19&gt;=20,2,IF(J19&gt;=10,1.5,IF(J19&gt;=5,1,IF(J19&gt;=1,0.5,0))))),1)),0)</f>
        <v/>
      </c>
      <c r="W19" s="3">
        <f>IFERROR(SWITCH(F19,"Multiple times per day",5,"Daily",4,"Weekly",3,"Monthly",2,"Quarterly",1,"Ad hoc",1,"Unknown",0),0)</f>
        <v/>
      </c>
      <c r="X19" s="3">
        <f>IFERROR(ROUND(AVERAGE(L19,N19),1),0)</f>
        <v/>
      </c>
      <c r="Y19" s="3">
        <f>IFERROR(SWITCH(U19,"High",3,"Medium",2,"Low",0,"Unknown",1,1)+IF(Q19="Yes",2,IF(Q19="Unsure",1,0)),0)</f>
        <v/>
      </c>
      <c r="Z19" s="3">
        <f>IFERROR(ROUND((V19*2)+(W19*1)+(X19*2)+(IF(T19="Easy",2,IF(T19="Medium",1,IF(T19="Hard",-1,0))))-(Y19*2),1),0)</f>
        <v/>
      </c>
      <c r="AA19" s="3">
        <f>IFERROR(IF(S19="Not a fit","Not a Fit",IF(Y19&gt;=5,"High Risk / Needs Review",IF(AND(Z19&gt;=18,T19="Easy"),"Quick Win",IF(AND(Z19&gt;=18,T19&lt;&gt;"Easy"),"Strategic Project",IF(Z19&gt;=10,"Discovery Needed","Process Issue"))))),"")</f>
        <v/>
      </c>
      <c r="AB19" s="3">
        <f>IFERROR(SWITCH(AA19,"Quick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 s="3" t="n"/>
      <c r="AD19" s="3" t="n"/>
      <c r="AE19" s="3" t="n"/>
    </row>
    <row r="20" ht="25" customHeight="1">
      <c r="A20" s="2" t="n"/>
      <c r="B20" s="2">
        <f>IFERROR(XLOOKUP(A20,'Intake Responses'!$A:$A,'Intake Responses'!$E:$E),"")</f>
        <v/>
      </c>
      <c r="C20" s="2">
        <f>IFERROR(XLOOKUP(A20,'Intake Responses'!$A:$A,'Intake Responses'!$D:$D),"")</f>
        <v/>
      </c>
      <c r="D20" s="2">
        <f>IFERROR(XLOOKUP(A20,'Intake Responses'!$A:$A,'Intake Responses'!$F:$F),"")</f>
        <v/>
      </c>
      <c r="E20" s="2" t="n"/>
      <c r="F20" s="2">
        <f>IFERROR(XLOOKUP(A20,'Intake Responses'!$A:$A,'Intake Responses'!$M:$M),"")</f>
        <v/>
      </c>
      <c r="G20" s="2">
        <f>IFERROR(XLOOKUP(A20,'Intake Responses'!$A:$A,'Intake Responses'!$N:$N),"")</f>
        <v/>
      </c>
      <c r="H20" s="2">
        <f>IFERROR(XLOOKUP(A20,'Intake Responses'!$A:$A,'Intake Responses'!$O:$O),"")</f>
        <v/>
      </c>
      <c r="I20" s="2">
        <f>IFERROR(SWITCH(F20,"Multiple times per day",60,"Daily",20,"Weekly",4,"Monthly",1,"Quarterly",0.33,"Ad hoc",0.5,"Unknown",0),0)</f>
        <v/>
      </c>
      <c r="J20" s="2">
        <f>IFERROR((G20*H20*I20)/60,0)</f>
        <v/>
      </c>
      <c r="K20" s="2">
        <f>IFERROR(J20*12,0)</f>
        <v/>
      </c>
      <c r="L20" s="2">
        <f>IFERROR(XLOOKUP(A20,'Intake Responses'!$A:$A,'Intake Responses'!$T:$T),"")</f>
        <v/>
      </c>
      <c r="M20" s="2">
        <f>IFERROR(XLOOKUP(A20,'Intake Responses'!$A:$A,'Intake Responses'!$U:$U),"")</f>
        <v/>
      </c>
      <c r="N20" s="2">
        <f>IFERROR(XLOOKUP(A20,'Intake Responses'!$A:$A,'Intake Responses'!$V:$V),"")</f>
        <v/>
      </c>
      <c r="O20" s="2">
        <f>IFERROR(XLOOKUP(A20,'Intake Responses'!$A:$A,'Intake Responses'!$W:$W),"")</f>
        <v/>
      </c>
      <c r="P20" s="2">
        <f>IFERROR(XLOOKUP(A20,'Intake Responses'!$A:$A,'Intake Responses'!$X:$X),"")</f>
        <v/>
      </c>
      <c r="Q20" s="2">
        <f>IFERROR(XLOOKUP(A20,'Intake Responses'!$A:$A,'Intake Responses'!$AF:$AF),"")</f>
        <v/>
      </c>
      <c r="R20" s="2">
        <f>IFERROR(XLOOKUP(A20,'Intake Responses'!$A:$A,'Intake Responses'!$S:$S),"")</f>
        <v/>
      </c>
      <c r="S20" s="2" t="n"/>
      <c r="T20" s="2" t="n"/>
      <c r="U20" s="2" t="n"/>
      <c r="V20" s="2">
        <f>IFERROR(MIN(5,ROUND(((M20+O20)/2)+(IF(J20&gt;=20,2,IF(J20&gt;=10,1.5,IF(J20&gt;=5,1,IF(J20&gt;=1,0.5,0))))),1)),0)</f>
        <v/>
      </c>
      <c r="W20" s="2">
        <f>IFERROR(SWITCH(F20,"Multiple times per day",5,"Daily",4,"Weekly",3,"Monthly",2,"Quarterly",1,"Ad hoc",1,"Unknown",0),0)</f>
        <v/>
      </c>
      <c r="X20" s="2">
        <f>IFERROR(ROUND(AVERAGE(L20,N20),1),0)</f>
        <v/>
      </c>
      <c r="Y20" s="2">
        <f>IFERROR(SWITCH(U20,"High",3,"Medium",2,"Low",0,"Unknown",1,1)+IF(Q20="Yes",2,IF(Q20="Unsure",1,0)),0)</f>
        <v/>
      </c>
      <c r="Z20" s="2">
        <f>IFERROR(ROUND((V20*2)+(W20*1)+(X20*2)+(IF(T20="Easy",2,IF(T20="Medium",1,IF(T20="Hard",-1,0))))-(Y20*2),1),0)</f>
        <v/>
      </c>
      <c r="AA20" s="2">
        <f>IFERROR(IF(S20="Not a fit","Not a Fit",IF(Y20&gt;=5,"High Risk / Needs Review",IF(AND(Z20&gt;=18,T20="Easy"),"Quick Win",IF(AND(Z20&gt;=18,T20&lt;&gt;"Easy"),"Strategic Project",IF(Z20&gt;=10,"Discovery Needed","Process Issue"))))),"")</f>
        <v/>
      </c>
      <c r="AB20" s="2">
        <f>IFERROR(SWITCH(AA20,"Quick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 s="2" t="n"/>
      <c r="AD20" s="2" t="n"/>
      <c r="AE20" s="2" t="n"/>
    </row>
    <row r="21" ht="25" customHeight="1">
      <c r="A21" s="3" t="n"/>
      <c r="B21" s="3">
        <f>IFERROR(XLOOKUP(A21,'Intake Responses'!$A:$A,'Intake Responses'!$E:$E),"")</f>
        <v/>
      </c>
      <c r="C21" s="3">
        <f>IFERROR(XLOOKUP(A21,'Intake Responses'!$A:$A,'Intake Responses'!$D:$D),"")</f>
        <v/>
      </c>
      <c r="D21" s="3">
        <f>IFERROR(XLOOKUP(A21,'Intake Responses'!$A:$A,'Intake Responses'!$F:$F),"")</f>
        <v/>
      </c>
      <c r="E21" s="3" t="n"/>
      <c r="F21" s="3">
        <f>IFERROR(XLOOKUP(A21,'Intake Responses'!$A:$A,'Intake Responses'!$M:$M),"")</f>
        <v/>
      </c>
      <c r="G21" s="3">
        <f>IFERROR(XLOOKUP(A21,'Intake Responses'!$A:$A,'Intake Responses'!$N:$N),"")</f>
        <v/>
      </c>
      <c r="H21" s="3">
        <f>IFERROR(XLOOKUP(A21,'Intake Responses'!$A:$A,'Intake Responses'!$O:$O),"")</f>
        <v/>
      </c>
      <c r="I21" s="3">
        <f>IFERROR(SWITCH(F21,"Multiple times per day",60,"Daily",20,"Weekly",4,"Monthly",1,"Quarterly",0.33,"Ad hoc",0.5,"Unknown",0),0)</f>
        <v/>
      </c>
      <c r="J21" s="3">
        <f>IFERROR((G21*H21*I21)/60,0)</f>
        <v/>
      </c>
      <c r="K21" s="3">
        <f>IFERROR(J21*12,0)</f>
        <v/>
      </c>
      <c r="L21" s="3">
        <f>IFERROR(XLOOKUP(A21,'Intake Responses'!$A:$A,'Intake Responses'!$T:$T),"")</f>
        <v/>
      </c>
      <c r="M21" s="3">
        <f>IFERROR(XLOOKUP(A21,'Intake Responses'!$A:$A,'Intake Responses'!$U:$U),"")</f>
        <v/>
      </c>
      <c r="N21" s="3">
        <f>IFERROR(XLOOKUP(A21,'Intake Responses'!$A:$A,'Intake Responses'!$V:$V),"")</f>
        <v/>
      </c>
      <c r="O21" s="3">
        <f>IFERROR(XLOOKUP(A21,'Intake Responses'!$A:$A,'Intake Responses'!$W:$W),"")</f>
        <v/>
      </c>
      <c r="P21" s="3">
        <f>IFERROR(XLOOKUP(A21,'Intake Responses'!$A:$A,'Intake Responses'!$X:$X),"")</f>
        <v/>
      </c>
      <c r="Q21" s="3">
        <f>IFERROR(XLOOKUP(A21,'Intake Responses'!$A:$A,'Intake Responses'!$AF:$AF),"")</f>
        <v/>
      </c>
      <c r="R21" s="3">
        <f>IFERROR(XLOOKUP(A21,'Intake Responses'!$A:$A,'Intake Responses'!$S:$S),"")</f>
        <v/>
      </c>
      <c r="S21" s="3" t="n"/>
      <c r="T21" s="3" t="n"/>
      <c r="U21" s="3" t="n"/>
      <c r="V21" s="3">
        <f>IFERROR(MIN(5,ROUND(((M21+O21)/2)+(IF(J21&gt;=20,2,IF(J21&gt;=10,1.5,IF(J21&gt;=5,1,IF(J21&gt;=1,0.5,0))))),1)),0)</f>
        <v/>
      </c>
      <c r="W21" s="3">
        <f>IFERROR(SWITCH(F21,"Multiple times per day",5,"Daily",4,"Weekly",3,"Monthly",2,"Quarterly",1,"Ad hoc",1,"Unknown",0),0)</f>
        <v/>
      </c>
      <c r="X21" s="3">
        <f>IFERROR(ROUND(AVERAGE(L21,N21),1),0)</f>
        <v/>
      </c>
      <c r="Y21" s="3">
        <f>IFERROR(SWITCH(U21,"High",3,"Medium",2,"Low",0,"Unknown",1,1)+IF(Q21="Yes",2,IF(Q21="Unsure",1,0)),0)</f>
        <v/>
      </c>
      <c r="Z21" s="3">
        <f>IFERROR(ROUND((V21*2)+(W21*1)+(X21*2)+(IF(T21="Easy",2,IF(T21="Medium",1,IF(T21="Hard",-1,0))))-(Y21*2),1),0)</f>
        <v/>
      </c>
      <c r="AA21" s="3">
        <f>IFERROR(IF(S21="Not a fit","Not a Fit",IF(Y21&gt;=5,"High Risk / Needs Review",IF(AND(Z21&gt;=18,T21="Easy"),"Quick Win",IF(AND(Z21&gt;=18,T21&lt;&gt;"Easy"),"Strategic Project",IF(Z21&gt;=10,"Discovery Needed","Process Issue"))))),"")</f>
        <v/>
      </c>
      <c r="AB21" s="3">
        <f>IFERROR(SWITCH(AA21,"Quick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 s="3" t="n"/>
      <c r="AD21" s="3" t="n"/>
      <c r="AE21" s="3" t="n"/>
    </row>
    <row r="22" ht="25" customHeight="1">
      <c r="A22" s="2" t="n"/>
      <c r="B22" s="2">
        <f>IFERROR(XLOOKUP(A22,'Intake Responses'!$A:$A,'Intake Responses'!$E:$E),"")</f>
        <v/>
      </c>
      <c r="C22" s="2">
        <f>IFERROR(XLOOKUP(A22,'Intake Responses'!$A:$A,'Intake Responses'!$D:$D),"")</f>
        <v/>
      </c>
      <c r="D22" s="2">
        <f>IFERROR(XLOOKUP(A22,'Intake Responses'!$A:$A,'Intake Responses'!$F:$F),"")</f>
        <v/>
      </c>
      <c r="E22" s="2" t="n"/>
      <c r="F22" s="2">
        <f>IFERROR(XLOOKUP(A22,'Intake Responses'!$A:$A,'Intake Responses'!$M:$M),"")</f>
        <v/>
      </c>
      <c r="G22" s="2">
        <f>IFERROR(XLOOKUP(A22,'Intake Responses'!$A:$A,'Intake Responses'!$N:$N),"")</f>
        <v/>
      </c>
      <c r="H22" s="2">
        <f>IFERROR(XLOOKUP(A22,'Intake Responses'!$A:$A,'Intake Responses'!$O:$O),"")</f>
        <v/>
      </c>
      <c r="I22" s="2">
        <f>IFERROR(SWITCH(F22,"Multiple times per day",60,"Daily",20,"Weekly",4,"Monthly",1,"Quarterly",0.33,"Ad hoc",0.5,"Unknown",0),0)</f>
        <v/>
      </c>
      <c r="J22" s="2">
        <f>IFERROR((G22*H22*I22)/60,0)</f>
        <v/>
      </c>
      <c r="K22" s="2">
        <f>IFERROR(J22*12,0)</f>
        <v/>
      </c>
      <c r="L22" s="2">
        <f>IFERROR(XLOOKUP(A22,'Intake Responses'!$A:$A,'Intake Responses'!$T:$T),"")</f>
        <v/>
      </c>
      <c r="M22" s="2">
        <f>IFERROR(XLOOKUP(A22,'Intake Responses'!$A:$A,'Intake Responses'!$U:$U),"")</f>
        <v/>
      </c>
      <c r="N22" s="2">
        <f>IFERROR(XLOOKUP(A22,'Intake Responses'!$A:$A,'Intake Responses'!$V:$V),"")</f>
        <v/>
      </c>
      <c r="O22" s="2">
        <f>IFERROR(XLOOKUP(A22,'Intake Responses'!$A:$A,'Intake Responses'!$W:$W),"")</f>
        <v/>
      </c>
      <c r="P22" s="2">
        <f>IFERROR(XLOOKUP(A22,'Intake Responses'!$A:$A,'Intake Responses'!$X:$X),"")</f>
        <v/>
      </c>
      <c r="Q22" s="2">
        <f>IFERROR(XLOOKUP(A22,'Intake Responses'!$A:$A,'Intake Responses'!$AF:$AF),"")</f>
        <v/>
      </c>
      <c r="R22" s="2">
        <f>IFERROR(XLOOKUP(A22,'Intake Responses'!$A:$A,'Intake Responses'!$S:$S),"")</f>
        <v/>
      </c>
      <c r="S22" s="2" t="n"/>
      <c r="T22" s="2" t="n"/>
      <c r="U22" s="2" t="n"/>
      <c r="V22" s="2">
        <f>IFERROR(MIN(5,ROUND(((M22+O22)/2)+(IF(J22&gt;=20,2,IF(J22&gt;=10,1.5,IF(J22&gt;=5,1,IF(J22&gt;=1,0.5,0))))),1)),0)</f>
        <v/>
      </c>
      <c r="W22" s="2">
        <f>IFERROR(SWITCH(F22,"Multiple times per day",5,"Daily",4,"Weekly",3,"Monthly",2,"Quarterly",1,"Ad hoc",1,"Unknown",0),0)</f>
        <v/>
      </c>
      <c r="X22" s="2">
        <f>IFERROR(ROUND(AVERAGE(L22,N22),1),0)</f>
        <v/>
      </c>
      <c r="Y22" s="2">
        <f>IFERROR(SWITCH(U22,"High",3,"Medium",2,"Low",0,"Unknown",1,1)+IF(Q22="Yes",2,IF(Q22="Unsure",1,0)),0)</f>
        <v/>
      </c>
      <c r="Z22" s="2">
        <f>IFERROR(ROUND((V22*2)+(W22*1)+(X22*2)+(IF(T22="Easy",2,IF(T22="Medium",1,IF(T22="Hard",-1,0))))-(Y22*2),1),0)</f>
        <v/>
      </c>
      <c r="AA22" s="2">
        <f>IFERROR(IF(S22="Not a fit","Not a Fit",IF(Y22&gt;=5,"High Risk / Needs Review",IF(AND(Z22&gt;=18,T22="Easy"),"Quick Win",IF(AND(Z22&gt;=18,T22&lt;&gt;"Easy"),"Strategic Project",IF(Z22&gt;=10,"Discovery Needed","Process Issue"))))),"")</f>
        <v/>
      </c>
      <c r="AB22" s="2">
        <f>IFERROR(SWITCH(AA22,"Quick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 s="2" t="n"/>
      <c r="AD22" s="2" t="n"/>
      <c r="AE22" s="2" t="n"/>
    </row>
    <row r="23" ht="25" customHeight="1">
      <c r="A23" s="3" t="n"/>
      <c r="B23" s="3">
        <f>IFERROR(XLOOKUP(A23,'Intake Responses'!$A:$A,'Intake Responses'!$E:$E),"")</f>
        <v/>
      </c>
      <c r="C23" s="3">
        <f>IFERROR(XLOOKUP(A23,'Intake Responses'!$A:$A,'Intake Responses'!$D:$D),"")</f>
        <v/>
      </c>
      <c r="D23" s="3">
        <f>IFERROR(XLOOKUP(A23,'Intake Responses'!$A:$A,'Intake Responses'!$F:$F),"")</f>
        <v/>
      </c>
      <c r="E23" s="3" t="n"/>
      <c r="F23" s="3">
        <f>IFERROR(XLOOKUP(A23,'Intake Responses'!$A:$A,'Intake Responses'!$M:$M),"")</f>
        <v/>
      </c>
      <c r="G23" s="3">
        <f>IFERROR(XLOOKUP(A23,'Intake Responses'!$A:$A,'Intake Responses'!$N:$N),"")</f>
        <v/>
      </c>
      <c r="H23" s="3">
        <f>IFERROR(XLOOKUP(A23,'Intake Responses'!$A:$A,'Intake Responses'!$O:$O),"")</f>
        <v/>
      </c>
      <c r="I23" s="3">
        <f>IFERROR(SWITCH(F23,"Multiple times per day",60,"Daily",20,"Weekly",4,"Monthly",1,"Quarterly",0.33,"Ad hoc",0.5,"Unknown",0),0)</f>
        <v/>
      </c>
      <c r="J23" s="3">
        <f>IFERROR((G23*H23*I23)/60,0)</f>
        <v/>
      </c>
      <c r="K23" s="3">
        <f>IFERROR(J23*12,0)</f>
        <v/>
      </c>
      <c r="L23" s="3">
        <f>IFERROR(XLOOKUP(A23,'Intake Responses'!$A:$A,'Intake Responses'!$T:$T),"")</f>
        <v/>
      </c>
      <c r="M23" s="3">
        <f>IFERROR(XLOOKUP(A23,'Intake Responses'!$A:$A,'Intake Responses'!$U:$U),"")</f>
        <v/>
      </c>
      <c r="N23" s="3">
        <f>IFERROR(XLOOKUP(A23,'Intake Responses'!$A:$A,'Intake Responses'!$V:$V),"")</f>
        <v/>
      </c>
      <c r="O23" s="3">
        <f>IFERROR(XLOOKUP(A23,'Intake Responses'!$A:$A,'Intake Responses'!$W:$W),"")</f>
        <v/>
      </c>
      <c r="P23" s="3">
        <f>IFERROR(XLOOKUP(A23,'Intake Responses'!$A:$A,'Intake Responses'!$X:$X),"")</f>
        <v/>
      </c>
      <c r="Q23" s="3">
        <f>IFERROR(XLOOKUP(A23,'Intake Responses'!$A:$A,'Intake Responses'!$AF:$AF),"")</f>
        <v/>
      </c>
      <c r="R23" s="3">
        <f>IFERROR(XLOOKUP(A23,'Intake Responses'!$A:$A,'Intake Responses'!$S:$S),"")</f>
        <v/>
      </c>
      <c r="S23" s="3" t="n"/>
      <c r="T23" s="3" t="n"/>
      <c r="U23" s="3" t="n"/>
      <c r="V23" s="3">
        <f>IFERROR(MIN(5,ROUND(((M23+O23)/2)+(IF(J23&gt;=20,2,IF(J23&gt;=10,1.5,IF(J23&gt;=5,1,IF(J23&gt;=1,0.5,0))))),1)),0)</f>
        <v/>
      </c>
      <c r="W23" s="3">
        <f>IFERROR(SWITCH(F23,"Multiple times per day",5,"Daily",4,"Weekly",3,"Monthly",2,"Quarterly",1,"Ad hoc",1,"Unknown",0),0)</f>
        <v/>
      </c>
      <c r="X23" s="3">
        <f>IFERROR(ROUND(AVERAGE(L23,N23),1),0)</f>
        <v/>
      </c>
      <c r="Y23" s="3">
        <f>IFERROR(SWITCH(U23,"High",3,"Medium",2,"Low",0,"Unknown",1,1)+IF(Q23="Yes",2,IF(Q23="Unsure",1,0)),0)</f>
        <v/>
      </c>
      <c r="Z23" s="3">
        <f>IFERROR(ROUND((V23*2)+(W23*1)+(X23*2)+(IF(T23="Easy",2,IF(T23="Medium",1,IF(T23="Hard",-1,0))))-(Y23*2),1),0)</f>
        <v/>
      </c>
      <c r="AA23" s="3">
        <f>IFERROR(IF(S23="Not a fit","Not a Fit",IF(Y23&gt;=5,"High Risk / Needs Review",IF(AND(Z23&gt;=18,T23="Easy"),"Quick Win",IF(AND(Z23&gt;=18,T23&lt;&gt;"Easy"),"Strategic Project",IF(Z23&gt;=10,"Discovery Needed","Process Issue"))))),"")</f>
        <v/>
      </c>
      <c r="AB23" s="3">
        <f>IFERROR(SWITCH(AA23,"Quick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 s="3" t="n"/>
      <c r="AD23" s="3" t="n"/>
      <c r="AE23" s="3" t="n"/>
    </row>
    <row r="24" ht="25" customHeight="1">
      <c r="A24" s="2" t="n"/>
      <c r="B24" s="2">
        <f>IFERROR(XLOOKUP(A24,'Intake Responses'!$A:$A,'Intake Responses'!$E:$E),"")</f>
        <v/>
      </c>
      <c r="C24" s="2">
        <f>IFERROR(XLOOKUP(A24,'Intake Responses'!$A:$A,'Intake Responses'!$D:$D),"")</f>
        <v/>
      </c>
      <c r="D24" s="2">
        <f>IFERROR(XLOOKUP(A24,'Intake Responses'!$A:$A,'Intake Responses'!$F:$F),"")</f>
        <v/>
      </c>
      <c r="E24" s="2" t="n"/>
      <c r="F24" s="2">
        <f>IFERROR(XLOOKUP(A24,'Intake Responses'!$A:$A,'Intake Responses'!$M:$M),"")</f>
        <v/>
      </c>
      <c r="G24" s="2">
        <f>IFERROR(XLOOKUP(A24,'Intake Responses'!$A:$A,'Intake Responses'!$N:$N),"")</f>
        <v/>
      </c>
      <c r="H24" s="2">
        <f>IFERROR(XLOOKUP(A24,'Intake Responses'!$A:$A,'Intake Responses'!$O:$O),"")</f>
        <v/>
      </c>
      <c r="I24" s="2">
        <f>IFERROR(SWITCH(F24,"Multiple times per day",60,"Daily",20,"Weekly",4,"Monthly",1,"Quarterly",0.33,"Ad hoc",0.5,"Unknown",0),0)</f>
        <v/>
      </c>
      <c r="J24" s="2">
        <f>IFERROR((G24*H24*I24)/60,0)</f>
        <v/>
      </c>
      <c r="K24" s="2">
        <f>IFERROR(J24*12,0)</f>
        <v/>
      </c>
      <c r="L24" s="2">
        <f>IFERROR(XLOOKUP(A24,'Intake Responses'!$A:$A,'Intake Responses'!$T:$T),"")</f>
        <v/>
      </c>
      <c r="M24" s="2">
        <f>IFERROR(XLOOKUP(A24,'Intake Responses'!$A:$A,'Intake Responses'!$U:$U),"")</f>
        <v/>
      </c>
      <c r="N24" s="2">
        <f>IFERROR(XLOOKUP(A24,'Intake Responses'!$A:$A,'Intake Responses'!$V:$V),"")</f>
        <v/>
      </c>
      <c r="O24" s="2">
        <f>IFERROR(XLOOKUP(A24,'Intake Responses'!$A:$A,'Intake Responses'!$W:$W),"")</f>
        <v/>
      </c>
      <c r="P24" s="2">
        <f>IFERROR(XLOOKUP(A24,'Intake Responses'!$A:$A,'Intake Responses'!$X:$X),"")</f>
        <v/>
      </c>
      <c r="Q24" s="2">
        <f>IFERROR(XLOOKUP(A24,'Intake Responses'!$A:$A,'Intake Responses'!$AF:$AF),"")</f>
        <v/>
      </c>
      <c r="R24" s="2">
        <f>IFERROR(XLOOKUP(A24,'Intake Responses'!$A:$A,'Intake Responses'!$S:$S),"")</f>
        <v/>
      </c>
      <c r="S24" s="2" t="n"/>
      <c r="T24" s="2" t="n"/>
      <c r="U24" s="2" t="n"/>
      <c r="V24" s="2">
        <f>IFERROR(MIN(5,ROUND(((M24+O24)/2)+(IF(J24&gt;=20,2,IF(J24&gt;=10,1.5,IF(J24&gt;=5,1,IF(J24&gt;=1,0.5,0))))),1)),0)</f>
        <v/>
      </c>
      <c r="W24" s="2">
        <f>IFERROR(SWITCH(F24,"Multiple times per day",5,"Daily",4,"Weekly",3,"Monthly",2,"Quarterly",1,"Ad hoc",1,"Unknown",0),0)</f>
        <v/>
      </c>
      <c r="X24" s="2">
        <f>IFERROR(ROUND(AVERAGE(L24,N24),1),0)</f>
        <v/>
      </c>
      <c r="Y24" s="2">
        <f>IFERROR(SWITCH(U24,"High",3,"Medium",2,"Low",0,"Unknown",1,1)+IF(Q24="Yes",2,IF(Q24="Unsure",1,0)),0)</f>
        <v/>
      </c>
      <c r="Z24" s="2">
        <f>IFERROR(ROUND((V24*2)+(W24*1)+(X24*2)+(IF(T24="Easy",2,IF(T24="Medium",1,IF(T24="Hard",-1,0))))-(Y24*2),1),0)</f>
        <v/>
      </c>
      <c r="AA24" s="2">
        <f>IFERROR(IF(S24="Not a fit","Not a Fit",IF(Y24&gt;=5,"High Risk / Needs Review",IF(AND(Z24&gt;=18,T24="Easy"),"Quick Win",IF(AND(Z24&gt;=18,T24&lt;&gt;"Easy"),"Strategic Project",IF(Z24&gt;=10,"Discovery Needed","Process Issue"))))),"")</f>
        <v/>
      </c>
      <c r="AB24" s="2">
        <f>IFERROR(SWITCH(AA24,"Quick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 s="2" t="n"/>
      <c r="AD24" s="2" t="n"/>
      <c r="AE24" s="2" t="n"/>
    </row>
    <row r="25" ht="25" customHeight="1">
      <c r="A25" s="3" t="n"/>
      <c r="B25" s="3">
        <f>IFERROR(XLOOKUP(A25,'Intake Responses'!$A:$A,'Intake Responses'!$E:$E),"")</f>
        <v/>
      </c>
      <c r="C25" s="3">
        <f>IFERROR(XLOOKUP(A25,'Intake Responses'!$A:$A,'Intake Responses'!$D:$D),"")</f>
        <v/>
      </c>
      <c r="D25" s="3">
        <f>IFERROR(XLOOKUP(A25,'Intake Responses'!$A:$A,'Intake Responses'!$F:$F),"")</f>
        <v/>
      </c>
      <c r="E25" s="3" t="n"/>
      <c r="F25" s="3">
        <f>IFERROR(XLOOKUP(A25,'Intake Responses'!$A:$A,'Intake Responses'!$M:$M),"")</f>
        <v/>
      </c>
      <c r="G25" s="3">
        <f>IFERROR(XLOOKUP(A25,'Intake Responses'!$A:$A,'Intake Responses'!$N:$N),"")</f>
        <v/>
      </c>
      <c r="H25" s="3">
        <f>IFERROR(XLOOKUP(A25,'Intake Responses'!$A:$A,'Intake Responses'!$O:$O),"")</f>
        <v/>
      </c>
      <c r="I25" s="3">
        <f>IFERROR(SWITCH(F25,"Multiple times per day",60,"Daily",20,"Weekly",4,"Monthly",1,"Quarterly",0.33,"Ad hoc",0.5,"Unknown",0),0)</f>
        <v/>
      </c>
      <c r="J25" s="3">
        <f>IFERROR((G25*H25*I25)/60,0)</f>
        <v/>
      </c>
      <c r="K25" s="3">
        <f>IFERROR(J25*12,0)</f>
        <v/>
      </c>
      <c r="L25" s="3">
        <f>IFERROR(XLOOKUP(A25,'Intake Responses'!$A:$A,'Intake Responses'!$T:$T),"")</f>
        <v/>
      </c>
      <c r="M25" s="3">
        <f>IFERROR(XLOOKUP(A25,'Intake Responses'!$A:$A,'Intake Responses'!$U:$U),"")</f>
        <v/>
      </c>
      <c r="N25" s="3">
        <f>IFERROR(XLOOKUP(A25,'Intake Responses'!$A:$A,'Intake Responses'!$V:$V),"")</f>
        <v/>
      </c>
      <c r="O25" s="3">
        <f>IFERROR(XLOOKUP(A25,'Intake Responses'!$A:$A,'Intake Responses'!$W:$W),"")</f>
        <v/>
      </c>
      <c r="P25" s="3">
        <f>IFERROR(XLOOKUP(A25,'Intake Responses'!$A:$A,'Intake Responses'!$X:$X),"")</f>
        <v/>
      </c>
      <c r="Q25" s="3">
        <f>IFERROR(XLOOKUP(A25,'Intake Responses'!$A:$A,'Intake Responses'!$AF:$AF),"")</f>
        <v/>
      </c>
      <c r="R25" s="3">
        <f>IFERROR(XLOOKUP(A25,'Intake Responses'!$A:$A,'Intake Responses'!$S:$S),"")</f>
        <v/>
      </c>
      <c r="S25" s="3" t="n"/>
      <c r="T25" s="3" t="n"/>
      <c r="U25" s="3" t="n"/>
      <c r="V25" s="3">
        <f>IFERROR(MIN(5,ROUND(((M25+O25)/2)+(IF(J25&gt;=20,2,IF(J25&gt;=10,1.5,IF(J25&gt;=5,1,IF(J25&gt;=1,0.5,0))))),1)),0)</f>
        <v/>
      </c>
      <c r="W25" s="3">
        <f>IFERROR(SWITCH(F25,"Multiple times per day",5,"Daily",4,"Weekly",3,"Monthly",2,"Quarterly",1,"Ad hoc",1,"Unknown",0),0)</f>
        <v/>
      </c>
      <c r="X25" s="3">
        <f>IFERROR(ROUND(AVERAGE(L25,N25),1),0)</f>
        <v/>
      </c>
      <c r="Y25" s="3">
        <f>IFERROR(SWITCH(U25,"High",3,"Medium",2,"Low",0,"Unknown",1,1)+IF(Q25="Yes",2,IF(Q25="Unsure",1,0)),0)</f>
        <v/>
      </c>
      <c r="Z25" s="3">
        <f>IFERROR(ROUND((V25*2)+(W25*1)+(X25*2)+(IF(T25="Easy",2,IF(T25="Medium",1,IF(T25="Hard",-1,0))))-(Y25*2),1),0)</f>
        <v/>
      </c>
      <c r="AA25" s="3">
        <f>IFERROR(IF(S25="Not a fit","Not a Fit",IF(Y25&gt;=5,"High Risk / Needs Review",IF(AND(Z25&gt;=18,T25="Easy"),"Quick Win",IF(AND(Z25&gt;=18,T25&lt;&gt;"Easy"),"Strategic Project",IF(Z25&gt;=10,"Discovery Needed","Process Issue"))))),"")</f>
        <v/>
      </c>
      <c r="AB25" s="3">
        <f>IFERROR(SWITCH(AA25,"Quick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 s="3" t="n"/>
      <c r="AD25" s="3" t="n"/>
      <c r="AE25" s="3" t="n"/>
    </row>
    <row r="26" ht="25" customHeight="1">
      <c r="A26" s="2" t="n"/>
      <c r="B26" s="2">
        <f>IFERROR(XLOOKUP(A26,'Intake Responses'!$A:$A,'Intake Responses'!$E:$E),"")</f>
        <v/>
      </c>
      <c r="C26" s="2">
        <f>IFERROR(XLOOKUP(A26,'Intake Responses'!$A:$A,'Intake Responses'!$D:$D),"")</f>
        <v/>
      </c>
      <c r="D26" s="2">
        <f>IFERROR(XLOOKUP(A26,'Intake Responses'!$A:$A,'Intake Responses'!$F:$F),"")</f>
        <v/>
      </c>
      <c r="E26" s="2" t="n"/>
      <c r="F26" s="2">
        <f>IFERROR(XLOOKUP(A26,'Intake Responses'!$A:$A,'Intake Responses'!$M:$M),"")</f>
        <v/>
      </c>
      <c r="G26" s="2">
        <f>IFERROR(XLOOKUP(A26,'Intake Responses'!$A:$A,'Intake Responses'!$N:$N),"")</f>
        <v/>
      </c>
      <c r="H26" s="2">
        <f>IFERROR(XLOOKUP(A26,'Intake Responses'!$A:$A,'Intake Responses'!$O:$O),"")</f>
        <v/>
      </c>
      <c r="I26" s="2">
        <f>IFERROR(SWITCH(F26,"Multiple times per day",60,"Daily",20,"Weekly",4,"Monthly",1,"Quarterly",0.33,"Ad hoc",0.5,"Unknown",0),0)</f>
        <v/>
      </c>
      <c r="J26" s="2">
        <f>IFERROR((G26*H26*I26)/60,0)</f>
        <v/>
      </c>
      <c r="K26" s="2">
        <f>IFERROR(J26*12,0)</f>
        <v/>
      </c>
      <c r="L26" s="2">
        <f>IFERROR(XLOOKUP(A26,'Intake Responses'!$A:$A,'Intake Responses'!$T:$T),"")</f>
        <v/>
      </c>
      <c r="M26" s="2">
        <f>IFERROR(XLOOKUP(A26,'Intake Responses'!$A:$A,'Intake Responses'!$U:$U),"")</f>
        <v/>
      </c>
      <c r="N26" s="2">
        <f>IFERROR(XLOOKUP(A26,'Intake Responses'!$A:$A,'Intake Responses'!$V:$V),"")</f>
        <v/>
      </c>
      <c r="O26" s="2">
        <f>IFERROR(XLOOKUP(A26,'Intake Responses'!$A:$A,'Intake Responses'!$W:$W),"")</f>
        <v/>
      </c>
      <c r="P26" s="2">
        <f>IFERROR(XLOOKUP(A26,'Intake Responses'!$A:$A,'Intake Responses'!$X:$X),"")</f>
        <v/>
      </c>
      <c r="Q26" s="2">
        <f>IFERROR(XLOOKUP(A26,'Intake Responses'!$A:$A,'Intake Responses'!$AF:$AF),"")</f>
        <v/>
      </c>
      <c r="R26" s="2">
        <f>IFERROR(XLOOKUP(A26,'Intake Responses'!$A:$A,'Intake Responses'!$S:$S),"")</f>
        <v/>
      </c>
      <c r="S26" s="2" t="n"/>
      <c r="T26" s="2" t="n"/>
      <c r="U26" s="2" t="n"/>
      <c r="V26" s="2">
        <f>IFERROR(MIN(5,ROUND(((M26+O26)/2)+(IF(J26&gt;=20,2,IF(J26&gt;=10,1.5,IF(J26&gt;=5,1,IF(J26&gt;=1,0.5,0))))),1)),0)</f>
        <v/>
      </c>
      <c r="W26" s="2">
        <f>IFERROR(SWITCH(F26,"Multiple times per day",5,"Daily",4,"Weekly",3,"Monthly",2,"Quarterly",1,"Ad hoc",1,"Unknown",0),0)</f>
        <v/>
      </c>
      <c r="X26" s="2">
        <f>IFERROR(ROUND(AVERAGE(L26,N26),1),0)</f>
        <v/>
      </c>
      <c r="Y26" s="2">
        <f>IFERROR(SWITCH(U26,"High",3,"Medium",2,"Low",0,"Unknown",1,1)+IF(Q26="Yes",2,IF(Q26="Unsure",1,0)),0)</f>
        <v/>
      </c>
      <c r="Z26" s="2">
        <f>IFERROR(ROUND((V26*2)+(W26*1)+(X26*2)+(IF(T26="Easy",2,IF(T26="Medium",1,IF(T26="Hard",-1,0))))-(Y26*2),1),0)</f>
        <v/>
      </c>
      <c r="AA26" s="2">
        <f>IFERROR(IF(S26="Not a fit","Not a Fit",IF(Y26&gt;=5,"High Risk / Needs Review",IF(AND(Z26&gt;=18,T26="Easy"),"Quick Win",IF(AND(Z26&gt;=18,T26&lt;&gt;"Easy"),"Strategic Project",IF(Z26&gt;=10,"Discovery Needed","Process Issue"))))),"")</f>
        <v/>
      </c>
      <c r="AB26" s="2">
        <f>IFERROR(SWITCH(AA26,"Quick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 s="2" t="n"/>
      <c r="AD26" s="2" t="n"/>
      <c r="AE26" s="2" t="n"/>
    </row>
    <row r="27" ht="25" customHeight="1">
      <c r="A27" s="3" t="n"/>
      <c r="B27" s="3">
        <f>IFERROR(XLOOKUP(A27,'Intake Responses'!$A:$A,'Intake Responses'!$E:$E),"")</f>
        <v/>
      </c>
      <c r="C27" s="3">
        <f>IFERROR(XLOOKUP(A27,'Intake Responses'!$A:$A,'Intake Responses'!$D:$D),"")</f>
        <v/>
      </c>
      <c r="D27" s="3">
        <f>IFERROR(XLOOKUP(A27,'Intake Responses'!$A:$A,'Intake Responses'!$F:$F),"")</f>
        <v/>
      </c>
      <c r="E27" s="3" t="n"/>
      <c r="F27" s="3">
        <f>IFERROR(XLOOKUP(A27,'Intake Responses'!$A:$A,'Intake Responses'!$M:$M),"")</f>
        <v/>
      </c>
      <c r="G27" s="3">
        <f>IFERROR(XLOOKUP(A27,'Intake Responses'!$A:$A,'Intake Responses'!$N:$N),"")</f>
        <v/>
      </c>
      <c r="H27" s="3">
        <f>IFERROR(XLOOKUP(A27,'Intake Responses'!$A:$A,'Intake Responses'!$O:$O),"")</f>
        <v/>
      </c>
      <c r="I27" s="3">
        <f>IFERROR(SWITCH(F27,"Multiple times per day",60,"Daily",20,"Weekly",4,"Monthly",1,"Quarterly",0.33,"Ad hoc",0.5,"Unknown",0),0)</f>
        <v/>
      </c>
      <c r="J27" s="3">
        <f>IFERROR((G27*H27*I27)/60,0)</f>
        <v/>
      </c>
      <c r="K27" s="3">
        <f>IFERROR(J27*12,0)</f>
        <v/>
      </c>
      <c r="L27" s="3">
        <f>IFERROR(XLOOKUP(A27,'Intake Responses'!$A:$A,'Intake Responses'!$T:$T),"")</f>
        <v/>
      </c>
      <c r="M27" s="3">
        <f>IFERROR(XLOOKUP(A27,'Intake Responses'!$A:$A,'Intake Responses'!$U:$U),"")</f>
        <v/>
      </c>
      <c r="N27" s="3">
        <f>IFERROR(XLOOKUP(A27,'Intake Responses'!$A:$A,'Intake Responses'!$V:$V),"")</f>
        <v/>
      </c>
      <c r="O27" s="3">
        <f>IFERROR(XLOOKUP(A27,'Intake Responses'!$A:$A,'Intake Responses'!$W:$W),"")</f>
        <v/>
      </c>
      <c r="P27" s="3">
        <f>IFERROR(XLOOKUP(A27,'Intake Responses'!$A:$A,'Intake Responses'!$X:$X),"")</f>
        <v/>
      </c>
      <c r="Q27" s="3">
        <f>IFERROR(XLOOKUP(A27,'Intake Responses'!$A:$A,'Intake Responses'!$AF:$AF),"")</f>
        <v/>
      </c>
      <c r="R27" s="3">
        <f>IFERROR(XLOOKUP(A27,'Intake Responses'!$A:$A,'Intake Responses'!$S:$S),"")</f>
        <v/>
      </c>
      <c r="S27" s="3" t="n"/>
      <c r="T27" s="3" t="n"/>
      <c r="U27" s="3" t="n"/>
      <c r="V27" s="3">
        <f>IFERROR(MIN(5,ROUND(((M27+O27)/2)+(IF(J27&gt;=20,2,IF(J27&gt;=10,1.5,IF(J27&gt;=5,1,IF(J27&gt;=1,0.5,0))))),1)),0)</f>
        <v/>
      </c>
      <c r="W27" s="3">
        <f>IFERROR(SWITCH(F27,"Multiple times per day",5,"Daily",4,"Weekly",3,"Monthly",2,"Quarterly",1,"Ad hoc",1,"Unknown",0),0)</f>
        <v/>
      </c>
      <c r="X27" s="3">
        <f>IFERROR(ROUND(AVERAGE(L27,N27),1),0)</f>
        <v/>
      </c>
      <c r="Y27" s="3">
        <f>IFERROR(SWITCH(U27,"High",3,"Medium",2,"Low",0,"Unknown",1,1)+IF(Q27="Yes",2,IF(Q27="Unsure",1,0)),0)</f>
        <v/>
      </c>
      <c r="Z27" s="3">
        <f>IFERROR(ROUND((V27*2)+(W27*1)+(X27*2)+(IF(T27="Easy",2,IF(T27="Medium",1,IF(T27="Hard",-1,0))))-(Y27*2),1),0)</f>
        <v/>
      </c>
      <c r="AA27" s="3">
        <f>IFERROR(IF(S27="Not a fit","Not a Fit",IF(Y27&gt;=5,"High Risk / Needs Review",IF(AND(Z27&gt;=18,T27="Easy"),"Quick Win",IF(AND(Z27&gt;=18,T27&lt;&gt;"Easy"),"Strategic Project",IF(Z27&gt;=10,"Discovery Needed","Process Issue"))))),"")</f>
        <v/>
      </c>
      <c r="AB27" s="3">
        <f>IFERROR(SWITCH(AA27,"Quick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 s="3" t="n"/>
      <c r="AD27" s="3" t="n"/>
      <c r="AE27" s="3" t="n"/>
    </row>
    <row r="28" ht="25" customHeight="1">
      <c r="A28" s="2" t="n"/>
      <c r="B28" s="2">
        <f>IFERROR(XLOOKUP(A28,'Intake Responses'!$A:$A,'Intake Responses'!$E:$E),"")</f>
        <v/>
      </c>
      <c r="C28" s="2">
        <f>IFERROR(XLOOKUP(A28,'Intake Responses'!$A:$A,'Intake Responses'!$D:$D),"")</f>
        <v/>
      </c>
      <c r="D28" s="2">
        <f>IFERROR(XLOOKUP(A28,'Intake Responses'!$A:$A,'Intake Responses'!$F:$F),"")</f>
        <v/>
      </c>
      <c r="E28" s="2" t="n"/>
      <c r="F28" s="2">
        <f>IFERROR(XLOOKUP(A28,'Intake Responses'!$A:$A,'Intake Responses'!$M:$M),"")</f>
        <v/>
      </c>
      <c r="G28" s="2">
        <f>IFERROR(XLOOKUP(A28,'Intake Responses'!$A:$A,'Intake Responses'!$N:$N),"")</f>
        <v/>
      </c>
      <c r="H28" s="2">
        <f>IFERROR(XLOOKUP(A28,'Intake Responses'!$A:$A,'Intake Responses'!$O:$O),"")</f>
        <v/>
      </c>
      <c r="I28" s="2">
        <f>IFERROR(SWITCH(F28,"Multiple times per day",60,"Daily",20,"Weekly",4,"Monthly",1,"Quarterly",0.33,"Ad hoc",0.5,"Unknown",0),0)</f>
        <v/>
      </c>
      <c r="J28" s="2">
        <f>IFERROR((G28*H28*I28)/60,0)</f>
        <v/>
      </c>
      <c r="K28" s="2">
        <f>IFERROR(J28*12,0)</f>
        <v/>
      </c>
      <c r="L28" s="2">
        <f>IFERROR(XLOOKUP(A28,'Intake Responses'!$A:$A,'Intake Responses'!$T:$T),"")</f>
        <v/>
      </c>
      <c r="M28" s="2">
        <f>IFERROR(XLOOKUP(A28,'Intake Responses'!$A:$A,'Intake Responses'!$U:$U),"")</f>
        <v/>
      </c>
      <c r="N28" s="2">
        <f>IFERROR(XLOOKUP(A28,'Intake Responses'!$A:$A,'Intake Responses'!$V:$V),"")</f>
        <v/>
      </c>
      <c r="O28" s="2">
        <f>IFERROR(XLOOKUP(A28,'Intake Responses'!$A:$A,'Intake Responses'!$W:$W),"")</f>
        <v/>
      </c>
      <c r="P28" s="2">
        <f>IFERROR(XLOOKUP(A28,'Intake Responses'!$A:$A,'Intake Responses'!$X:$X),"")</f>
        <v/>
      </c>
      <c r="Q28" s="2">
        <f>IFERROR(XLOOKUP(A28,'Intake Responses'!$A:$A,'Intake Responses'!$AF:$AF),"")</f>
        <v/>
      </c>
      <c r="R28" s="2">
        <f>IFERROR(XLOOKUP(A28,'Intake Responses'!$A:$A,'Intake Responses'!$S:$S),"")</f>
        <v/>
      </c>
      <c r="S28" s="2" t="n"/>
      <c r="T28" s="2" t="n"/>
      <c r="U28" s="2" t="n"/>
      <c r="V28" s="2">
        <f>IFERROR(MIN(5,ROUND(((M28+O28)/2)+(IF(J28&gt;=20,2,IF(J28&gt;=10,1.5,IF(J28&gt;=5,1,IF(J28&gt;=1,0.5,0))))),1)),0)</f>
        <v/>
      </c>
      <c r="W28" s="2">
        <f>IFERROR(SWITCH(F28,"Multiple times per day",5,"Daily",4,"Weekly",3,"Monthly",2,"Quarterly",1,"Ad hoc",1,"Unknown",0),0)</f>
        <v/>
      </c>
      <c r="X28" s="2">
        <f>IFERROR(ROUND(AVERAGE(L28,N28),1),0)</f>
        <v/>
      </c>
      <c r="Y28" s="2">
        <f>IFERROR(SWITCH(U28,"High",3,"Medium",2,"Low",0,"Unknown",1,1)+IF(Q28="Yes",2,IF(Q28="Unsure",1,0)),0)</f>
        <v/>
      </c>
      <c r="Z28" s="2">
        <f>IFERROR(ROUND((V28*2)+(W28*1)+(X28*2)+(IF(T28="Easy",2,IF(T28="Medium",1,IF(T28="Hard",-1,0))))-(Y28*2),1),0)</f>
        <v/>
      </c>
      <c r="AA28" s="2">
        <f>IFERROR(IF(S28="Not a fit","Not a Fit",IF(Y28&gt;=5,"High Risk / Needs Review",IF(AND(Z28&gt;=18,T28="Easy"),"Quick Win",IF(AND(Z28&gt;=18,T28&lt;&gt;"Easy"),"Strategic Project",IF(Z28&gt;=10,"Discovery Needed","Process Issue"))))),"")</f>
        <v/>
      </c>
      <c r="AB28" s="2">
        <f>IFERROR(SWITCH(AA28,"Quick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 s="2" t="n"/>
      <c r="AD28" s="2" t="n"/>
      <c r="AE28" s="2" t="n"/>
    </row>
    <row r="29" ht="25" customHeight="1">
      <c r="A29" s="3" t="n"/>
      <c r="B29" s="3">
        <f>IFERROR(XLOOKUP(A29,'Intake Responses'!$A:$A,'Intake Responses'!$E:$E),"")</f>
        <v/>
      </c>
      <c r="C29" s="3">
        <f>IFERROR(XLOOKUP(A29,'Intake Responses'!$A:$A,'Intake Responses'!$D:$D),"")</f>
        <v/>
      </c>
      <c r="D29" s="3">
        <f>IFERROR(XLOOKUP(A29,'Intake Responses'!$A:$A,'Intake Responses'!$F:$F),"")</f>
        <v/>
      </c>
      <c r="E29" s="3" t="n"/>
      <c r="F29" s="3">
        <f>IFERROR(XLOOKUP(A29,'Intake Responses'!$A:$A,'Intake Responses'!$M:$M),"")</f>
        <v/>
      </c>
      <c r="G29" s="3">
        <f>IFERROR(XLOOKUP(A29,'Intake Responses'!$A:$A,'Intake Responses'!$N:$N),"")</f>
        <v/>
      </c>
      <c r="H29" s="3">
        <f>IFERROR(XLOOKUP(A29,'Intake Responses'!$A:$A,'Intake Responses'!$O:$O),"")</f>
        <v/>
      </c>
      <c r="I29" s="3">
        <f>IFERROR(SWITCH(F29,"Multiple times per day",60,"Daily",20,"Weekly",4,"Monthly",1,"Quarterly",0.33,"Ad hoc",0.5,"Unknown",0),0)</f>
        <v/>
      </c>
      <c r="J29" s="3">
        <f>IFERROR((G29*H29*I29)/60,0)</f>
        <v/>
      </c>
      <c r="K29" s="3">
        <f>IFERROR(J29*12,0)</f>
        <v/>
      </c>
      <c r="L29" s="3">
        <f>IFERROR(XLOOKUP(A29,'Intake Responses'!$A:$A,'Intake Responses'!$T:$T),"")</f>
        <v/>
      </c>
      <c r="M29" s="3">
        <f>IFERROR(XLOOKUP(A29,'Intake Responses'!$A:$A,'Intake Responses'!$U:$U),"")</f>
        <v/>
      </c>
      <c r="N29" s="3">
        <f>IFERROR(XLOOKUP(A29,'Intake Responses'!$A:$A,'Intake Responses'!$V:$V),"")</f>
        <v/>
      </c>
      <c r="O29" s="3">
        <f>IFERROR(XLOOKUP(A29,'Intake Responses'!$A:$A,'Intake Responses'!$W:$W),"")</f>
        <v/>
      </c>
      <c r="P29" s="3">
        <f>IFERROR(XLOOKUP(A29,'Intake Responses'!$A:$A,'Intake Responses'!$X:$X),"")</f>
        <v/>
      </c>
      <c r="Q29" s="3">
        <f>IFERROR(XLOOKUP(A29,'Intake Responses'!$A:$A,'Intake Responses'!$AF:$AF),"")</f>
        <v/>
      </c>
      <c r="R29" s="3">
        <f>IFERROR(XLOOKUP(A29,'Intake Responses'!$A:$A,'Intake Responses'!$S:$S),"")</f>
        <v/>
      </c>
      <c r="S29" s="3" t="n"/>
      <c r="T29" s="3" t="n"/>
      <c r="U29" s="3" t="n"/>
      <c r="V29" s="3">
        <f>IFERROR(MIN(5,ROUND(((M29+O29)/2)+(IF(J29&gt;=20,2,IF(J29&gt;=10,1.5,IF(J29&gt;=5,1,IF(J29&gt;=1,0.5,0))))),1)),0)</f>
        <v/>
      </c>
      <c r="W29" s="3">
        <f>IFERROR(SWITCH(F29,"Multiple times per day",5,"Daily",4,"Weekly",3,"Monthly",2,"Quarterly",1,"Ad hoc",1,"Unknown",0),0)</f>
        <v/>
      </c>
      <c r="X29" s="3">
        <f>IFERROR(ROUND(AVERAGE(L29,N29),1),0)</f>
        <v/>
      </c>
      <c r="Y29" s="3">
        <f>IFERROR(SWITCH(U29,"High",3,"Medium",2,"Low",0,"Unknown",1,1)+IF(Q29="Yes",2,IF(Q29="Unsure",1,0)),0)</f>
        <v/>
      </c>
      <c r="Z29" s="3">
        <f>IFERROR(ROUND((V29*2)+(W29*1)+(X29*2)+(IF(T29="Easy",2,IF(T29="Medium",1,IF(T29="Hard",-1,0))))-(Y29*2),1),0)</f>
        <v/>
      </c>
      <c r="AA29" s="3">
        <f>IFERROR(IF(S29="Not a fit","Not a Fit",IF(Y29&gt;=5,"High Risk / Needs Review",IF(AND(Z29&gt;=18,T29="Easy"),"Quick Win",IF(AND(Z29&gt;=18,T29&lt;&gt;"Easy"),"Strategic Project",IF(Z29&gt;=10,"Discovery Needed","Process Issue"))))),"")</f>
        <v/>
      </c>
      <c r="AB29" s="3">
        <f>IFERROR(SWITCH(AA29,"Quick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 s="3" t="n"/>
      <c r="AD29" s="3" t="n"/>
      <c r="AE29" s="3" t="n"/>
    </row>
    <row r="30" ht="25" customHeight="1">
      <c r="A30" s="2" t="n"/>
      <c r="B30" s="2">
        <f>IFERROR(XLOOKUP(A30,'Intake Responses'!$A:$A,'Intake Responses'!$E:$E),"")</f>
        <v/>
      </c>
      <c r="C30" s="2">
        <f>IFERROR(XLOOKUP(A30,'Intake Responses'!$A:$A,'Intake Responses'!$D:$D),"")</f>
        <v/>
      </c>
      <c r="D30" s="2">
        <f>IFERROR(XLOOKUP(A30,'Intake Responses'!$A:$A,'Intake Responses'!$F:$F),"")</f>
        <v/>
      </c>
      <c r="E30" s="2" t="n"/>
      <c r="F30" s="2">
        <f>IFERROR(XLOOKUP(A30,'Intake Responses'!$A:$A,'Intake Responses'!$M:$M),"")</f>
        <v/>
      </c>
      <c r="G30" s="2">
        <f>IFERROR(XLOOKUP(A30,'Intake Responses'!$A:$A,'Intake Responses'!$N:$N),"")</f>
        <v/>
      </c>
      <c r="H30" s="2">
        <f>IFERROR(XLOOKUP(A30,'Intake Responses'!$A:$A,'Intake Responses'!$O:$O),"")</f>
        <v/>
      </c>
      <c r="I30" s="2">
        <f>IFERROR(SWITCH(F30,"Multiple times per day",60,"Daily",20,"Weekly",4,"Monthly",1,"Quarterly",0.33,"Ad hoc",0.5,"Unknown",0),0)</f>
        <v/>
      </c>
      <c r="J30" s="2">
        <f>IFERROR((G30*H30*I30)/60,0)</f>
        <v/>
      </c>
      <c r="K30" s="2">
        <f>IFERROR(J30*12,0)</f>
        <v/>
      </c>
      <c r="L30" s="2">
        <f>IFERROR(XLOOKUP(A30,'Intake Responses'!$A:$A,'Intake Responses'!$T:$T),"")</f>
        <v/>
      </c>
      <c r="M30" s="2">
        <f>IFERROR(XLOOKUP(A30,'Intake Responses'!$A:$A,'Intake Responses'!$U:$U),"")</f>
        <v/>
      </c>
      <c r="N30" s="2">
        <f>IFERROR(XLOOKUP(A30,'Intake Responses'!$A:$A,'Intake Responses'!$V:$V),"")</f>
        <v/>
      </c>
      <c r="O30" s="2">
        <f>IFERROR(XLOOKUP(A30,'Intake Responses'!$A:$A,'Intake Responses'!$W:$W),"")</f>
        <v/>
      </c>
      <c r="P30" s="2">
        <f>IFERROR(XLOOKUP(A30,'Intake Responses'!$A:$A,'Intake Responses'!$X:$X),"")</f>
        <v/>
      </c>
      <c r="Q30" s="2">
        <f>IFERROR(XLOOKUP(A30,'Intake Responses'!$A:$A,'Intake Responses'!$AF:$AF),"")</f>
        <v/>
      </c>
      <c r="R30" s="2">
        <f>IFERROR(XLOOKUP(A30,'Intake Responses'!$A:$A,'Intake Responses'!$S:$S),"")</f>
        <v/>
      </c>
      <c r="S30" s="2" t="n"/>
      <c r="T30" s="2" t="n"/>
      <c r="U30" s="2" t="n"/>
      <c r="V30" s="2">
        <f>IFERROR(MIN(5,ROUND(((M30+O30)/2)+(IF(J30&gt;=20,2,IF(J30&gt;=10,1.5,IF(J30&gt;=5,1,IF(J30&gt;=1,0.5,0))))),1)),0)</f>
        <v/>
      </c>
      <c r="W30" s="2">
        <f>IFERROR(SWITCH(F30,"Multiple times per day",5,"Daily",4,"Weekly",3,"Monthly",2,"Quarterly",1,"Ad hoc",1,"Unknown",0),0)</f>
        <v/>
      </c>
      <c r="X30" s="2">
        <f>IFERROR(ROUND(AVERAGE(L30,N30),1),0)</f>
        <v/>
      </c>
      <c r="Y30" s="2">
        <f>IFERROR(SWITCH(U30,"High",3,"Medium",2,"Low",0,"Unknown",1,1)+IF(Q30="Yes",2,IF(Q30="Unsure",1,0)),0)</f>
        <v/>
      </c>
      <c r="Z30" s="2">
        <f>IFERROR(ROUND((V30*2)+(W30*1)+(X30*2)+(IF(T30="Easy",2,IF(T30="Medium",1,IF(T30="Hard",-1,0))))-(Y30*2),1),0)</f>
        <v/>
      </c>
      <c r="AA30" s="2">
        <f>IFERROR(IF(S30="Not a fit","Not a Fit",IF(Y30&gt;=5,"High Risk / Needs Review",IF(AND(Z30&gt;=18,T30="Easy"),"Quick Win",IF(AND(Z30&gt;=18,T30&lt;&gt;"Easy"),"Strategic Project",IF(Z30&gt;=10,"Discovery Needed","Process Issue"))))),"")</f>
        <v/>
      </c>
      <c r="AB30" s="2">
        <f>IFERROR(SWITCH(AA30,"Quick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 s="2" t="n"/>
      <c r="AD30" s="2" t="n"/>
      <c r="AE30" s="2" t="n"/>
    </row>
    <row r="31" ht="25" customHeight="1">
      <c r="A31" s="3" t="n"/>
      <c r="B31" s="3">
        <f>IFERROR(XLOOKUP(A31,'Intake Responses'!$A:$A,'Intake Responses'!$E:$E),"")</f>
        <v/>
      </c>
      <c r="C31" s="3">
        <f>IFERROR(XLOOKUP(A31,'Intake Responses'!$A:$A,'Intake Responses'!$D:$D),"")</f>
        <v/>
      </c>
      <c r="D31" s="3">
        <f>IFERROR(XLOOKUP(A31,'Intake Responses'!$A:$A,'Intake Responses'!$F:$F),"")</f>
        <v/>
      </c>
      <c r="E31" s="3" t="n"/>
      <c r="F31" s="3">
        <f>IFERROR(XLOOKUP(A31,'Intake Responses'!$A:$A,'Intake Responses'!$M:$M),"")</f>
        <v/>
      </c>
      <c r="G31" s="3">
        <f>IFERROR(XLOOKUP(A31,'Intake Responses'!$A:$A,'Intake Responses'!$N:$N),"")</f>
        <v/>
      </c>
      <c r="H31" s="3">
        <f>IFERROR(XLOOKUP(A31,'Intake Responses'!$A:$A,'Intake Responses'!$O:$O),"")</f>
        <v/>
      </c>
      <c r="I31" s="3">
        <f>IFERROR(SWITCH(F31,"Multiple times per day",60,"Daily",20,"Weekly",4,"Monthly",1,"Quarterly",0.33,"Ad hoc",0.5,"Unknown",0),0)</f>
        <v/>
      </c>
      <c r="J31" s="3">
        <f>IFERROR((G31*H31*I31)/60,0)</f>
        <v/>
      </c>
      <c r="K31" s="3">
        <f>IFERROR(J31*12,0)</f>
        <v/>
      </c>
      <c r="L31" s="3">
        <f>IFERROR(XLOOKUP(A31,'Intake Responses'!$A:$A,'Intake Responses'!$T:$T),"")</f>
        <v/>
      </c>
      <c r="M31" s="3">
        <f>IFERROR(XLOOKUP(A31,'Intake Responses'!$A:$A,'Intake Responses'!$U:$U),"")</f>
        <v/>
      </c>
      <c r="N31" s="3">
        <f>IFERROR(XLOOKUP(A31,'Intake Responses'!$A:$A,'Intake Responses'!$V:$V),"")</f>
        <v/>
      </c>
      <c r="O31" s="3">
        <f>IFERROR(XLOOKUP(A31,'Intake Responses'!$A:$A,'Intake Responses'!$W:$W),"")</f>
        <v/>
      </c>
      <c r="P31" s="3">
        <f>IFERROR(XLOOKUP(A31,'Intake Responses'!$A:$A,'Intake Responses'!$X:$X),"")</f>
        <v/>
      </c>
      <c r="Q31" s="3">
        <f>IFERROR(XLOOKUP(A31,'Intake Responses'!$A:$A,'Intake Responses'!$AF:$AF),"")</f>
        <v/>
      </c>
      <c r="R31" s="3">
        <f>IFERROR(XLOOKUP(A31,'Intake Responses'!$A:$A,'Intake Responses'!$S:$S),"")</f>
        <v/>
      </c>
      <c r="S31" s="3" t="n"/>
      <c r="T31" s="3" t="n"/>
      <c r="U31" s="3" t="n"/>
      <c r="V31" s="3">
        <f>IFERROR(MIN(5,ROUND(((M31+O31)/2)+(IF(J31&gt;=20,2,IF(J31&gt;=10,1.5,IF(J31&gt;=5,1,IF(J31&gt;=1,0.5,0))))),1)),0)</f>
        <v/>
      </c>
      <c r="W31" s="3">
        <f>IFERROR(SWITCH(F31,"Multiple times per day",5,"Daily",4,"Weekly",3,"Monthly",2,"Quarterly",1,"Ad hoc",1,"Unknown",0),0)</f>
        <v/>
      </c>
      <c r="X31" s="3">
        <f>IFERROR(ROUND(AVERAGE(L31,N31),1),0)</f>
        <v/>
      </c>
      <c r="Y31" s="3">
        <f>IFERROR(SWITCH(U31,"High",3,"Medium",2,"Low",0,"Unknown",1,1)+IF(Q31="Yes",2,IF(Q31="Unsure",1,0)),0)</f>
        <v/>
      </c>
      <c r="Z31" s="3">
        <f>IFERROR(ROUND((V31*2)+(W31*1)+(X31*2)+(IF(T31="Easy",2,IF(T31="Medium",1,IF(T31="Hard",-1,0))))-(Y31*2),1),0)</f>
        <v/>
      </c>
      <c r="AA31" s="3">
        <f>IFERROR(IF(S31="Not a fit","Not a Fit",IF(Y31&gt;=5,"High Risk / Needs Review",IF(AND(Z31&gt;=18,T31="Easy"),"Quick Win",IF(AND(Z31&gt;=18,T31&lt;&gt;"Easy"),"Strategic Project",IF(Z31&gt;=10,"Discovery Needed","Process Issue"))))),"")</f>
        <v/>
      </c>
      <c r="AB31" s="3">
        <f>IFERROR(SWITCH(AA31,"Quick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 s="3" t="n"/>
      <c r="AD31" s="3" t="n"/>
      <c r="AE31" s="3" t="n"/>
    </row>
    <row r="32" ht="25" customHeight="1">
      <c r="A32" s="2" t="n"/>
      <c r="B32" s="2">
        <f>IFERROR(XLOOKUP(A32,'Intake Responses'!$A:$A,'Intake Responses'!$E:$E),"")</f>
        <v/>
      </c>
      <c r="C32" s="2">
        <f>IFERROR(XLOOKUP(A32,'Intake Responses'!$A:$A,'Intake Responses'!$D:$D),"")</f>
        <v/>
      </c>
      <c r="D32" s="2">
        <f>IFERROR(XLOOKUP(A32,'Intake Responses'!$A:$A,'Intake Responses'!$F:$F),"")</f>
        <v/>
      </c>
      <c r="E32" s="2" t="n"/>
      <c r="F32" s="2">
        <f>IFERROR(XLOOKUP(A32,'Intake Responses'!$A:$A,'Intake Responses'!$M:$M),"")</f>
        <v/>
      </c>
      <c r="G32" s="2">
        <f>IFERROR(XLOOKUP(A32,'Intake Responses'!$A:$A,'Intake Responses'!$N:$N),"")</f>
        <v/>
      </c>
      <c r="H32" s="2">
        <f>IFERROR(XLOOKUP(A32,'Intake Responses'!$A:$A,'Intake Responses'!$O:$O),"")</f>
        <v/>
      </c>
      <c r="I32" s="2">
        <f>IFERROR(SWITCH(F32,"Multiple times per day",60,"Daily",20,"Weekly",4,"Monthly",1,"Quarterly",0.33,"Ad hoc",0.5,"Unknown",0),0)</f>
        <v/>
      </c>
      <c r="J32" s="2">
        <f>IFERROR((G32*H32*I32)/60,0)</f>
        <v/>
      </c>
      <c r="K32" s="2">
        <f>IFERROR(J32*12,0)</f>
        <v/>
      </c>
      <c r="L32" s="2">
        <f>IFERROR(XLOOKUP(A32,'Intake Responses'!$A:$A,'Intake Responses'!$T:$T),"")</f>
        <v/>
      </c>
      <c r="M32" s="2">
        <f>IFERROR(XLOOKUP(A32,'Intake Responses'!$A:$A,'Intake Responses'!$U:$U),"")</f>
        <v/>
      </c>
      <c r="N32" s="2">
        <f>IFERROR(XLOOKUP(A32,'Intake Responses'!$A:$A,'Intake Responses'!$V:$V),"")</f>
        <v/>
      </c>
      <c r="O32" s="2">
        <f>IFERROR(XLOOKUP(A32,'Intake Responses'!$A:$A,'Intake Responses'!$W:$W),"")</f>
        <v/>
      </c>
      <c r="P32" s="2">
        <f>IFERROR(XLOOKUP(A32,'Intake Responses'!$A:$A,'Intake Responses'!$X:$X),"")</f>
        <v/>
      </c>
      <c r="Q32" s="2">
        <f>IFERROR(XLOOKUP(A32,'Intake Responses'!$A:$A,'Intake Responses'!$AF:$AF),"")</f>
        <v/>
      </c>
      <c r="R32" s="2">
        <f>IFERROR(XLOOKUP(A32,'Intake Responses'!$A:$A,'Intake Responses'!$S:$S),"")</f>
        <v/>
      </c>
      <c r="S32" s="2" t="n"/>
      <c r="T32" s="2" t="n"/>
      <c r="U32" s="2" t="n"/>
      <c r="V32" s="2">
        <f>IFERROR(MIN(5,ROUND(((M32+O32)/2)+(IF(J32&gt;=20,2,IF(J32&gt;=10,1.5,IF(J32&gt;=5,1,IF(J32&gt;=1,0.5,0))))),1)),0)</f>
        <v/>
      </c>
      <c r="W32" s="2">
        <f>IFERROR(SWITCH(F32,"Multiple times per day",5,"Daily",4,"Weekly",3,"Monthly",2,"Quarterly",1,"Ad hoc",1,"Unknown",0),0)</f>
        <v/>
      </c>
      <c r="X32" s="2">
        <f>IFERROR(ROUND(AVERAGE(L32,N32),1),0)</f>
        <v/>
      </c>
      <c r="Y32" s="2">
        <f>IFERROR(SWITCH(U32,"High",3,"Medium",2,"Low",0,"Unknown",1,1)+IF(Q32="Yes",2,IF(Q32="Unsure",1,0)),0)</f>
        <v/>
      </c>
      <c r="Z32" s="2">
        <f>IFERROR(ROUND((V32*2)+(W32*1)+(X32*2)+(IF(T32="Easy",2,IF(T32="Medium",1,IF(T32="Hard",-1,0))))-(Y32*2),1),0)</f>
        <v/>
      </c>
      <c r="AA32" s="2">
        <f>IFERROR(IF(S32="Not a fit","Not a Fit",IF(Y32&gt;=5,"High Risk / Needs Review",IF(AND(Z32&gt;=18,T32="Easy"),"Quick Win",IF(AND(Z32&gt;=18,T32&lt;&gt;"Easy"),"Strategic Project",IF(Z32&gt;=10,"Discovery Needed","Process Issue"))))),"")</f>
        <v/>
      </c>
      <c r="AB32" s="2">
        <f>IFERROR(SWITCH(AA32,"Quick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 s="2" t="n"/>
      <c r="AD32" s="2" t="n"/>
      <c r="AE32" s="2" t="n"/>
    </row>
    <row r="33" ht="25" customHeight="1">
      <c r="A33" s="3" t="n"/>
      <c r="B33" s="3">
        <f>IFERROR(XLOOKUP(A33,'Intake Responses'!$A:$A,'Intake Responses'!$E:$E),"")</f>
        <v/>
      </c>
      <c r="C33" s="3">
        <f>IFERROR(XLOOKUP(A33,'Intake Responses'!$A:$A,'Intake Responses'!$D:$D),"")</f>
        <v/>
      </c>
      <c r="D33" s="3">
        <f>IFERROR(XLOOKUP(A33,'Intake Responses'!$A:$A,'Intake Responses'!$F:$F),"")</f>
        <v/>
      </c>
      <c r="E33" s="3" t="n"/>
      <c r="F33" s="3">
        <f>IFERROR(XLOOKUP(A33,'Intake Responses'!$A:$A,'Intake Responses'!$M:$M),"")</f>
        <v/>
      </c>
      <c r="G33" s="3">
        <f>IFERROR(XLOOKUP(A33,'Intake Responses'!$A:$A,'Intake Responses'!$N:$N),"")</f>
        <v/>
      </c>
      <c r="H33" s="3">
        <f>IFERROR(XLOOKUP(A33,'Intake Responses'!$A:$A,'Intake Responses'!$O:$O),"")</f>
        <v/>
      </c>
      <c r="I33" s="3">
        <f>IFERROR(SWITCH(F33,"Multiple times per day",60,"Daily",20,"Weekly",4,"Monthly",1,"Quarterly",0.33,"Ad hoc",0.5,"Unknown",0),0)</f>
        <v/>
      </c>
      <c r="J33" s="3">
        <f>IFERROR((G33*H33*I33)/60,0)</f>
        <v/>
      </c>
      <c r="K33" s="3">
        <f>IFERROR(J33*12,0)</f>
        <v/>
      </c>
      <c r="L33" s="3">
        <f>IFERROR(XLOOKUP(A33,'Intake Responses'!$A:$A,'Intake Responses'!$T:$T),"")</f>
        <v/>
      </c>
      <c r="M33" s="3">
        <f>IFERROR(XLOOKUP(A33,'Intake Responses'!$A:$A,'Intake Responses'!$U:$U),"")</f>
        <v/>
      </c>
      <c r="N33" s="3">
        <f>IFERROR(XLOOKUP(A33,'Intake Responses'!$A:$A,'Intake Responses'!$V:$V),"")</f>
        <v/>
      </c>
      <c r="O33" s="3">
        <f>IFERROR(XLOOKUP(A33,'Intake Responses'!$A:$A,'Intake Responses'!$W:$W),"")</f>
        <v/>
      </c>
      <c r="P33" s="3">
        <f>IFERROR(XLOOKUP(A33,'Intake Responses'!$A:$A,'Intake Responses'!$X:$X),"")</f>
        <v/>
      </c>
      <c r="Q33" s="3">
        <f>IFERROR(XLOOKUP(A33,'Intake Responses'!$A:$A,'Intake Responses'!$AF:$AF),"")</f>
        <v/>
      </c>
      <c r="R33" s="3">
        <f>IFERROR(XLOOKUP(A33,'Intake Responses'!$A:$A,'Intake Responses'!$S:$S),"")</f>
        <v/>
      </c>
      <c r="S33" s="3" t="n"/>
      <c r="T33" s="3" t="n"/>
      <c r="U33" s="3" t="n"/>
      <c r="V33" s="3">
        <f>IFERROR(MIN(5,ROUND(((M33+O33)/2)+(IF(J33&gt;=20,2,IF(J33&gt;=10,1.5,IF(J33&gt;=5,1,IF(J33&gt;=1,0.5,0))))),1)),0)</f>
        <v/>
      </c>
      <c r="W33" s="3">
        <f>IFERROR(SWITCH(F33,"Multiple times per day",5,"Daily",4,"Weekly",3,"Monthly",2,"Quarterly",1,"Ad hoc",1,"Unknown",0),0)</f>
        <v/>
      </c>
      <c r="X33" s="3">
        <f>IFERROR(ROUND(AVERAGE(L33,N33),1),0)</f>
        <v/>
      </c>
      <c r="Y33" s="3">
        <f>IFERROR(SWITCH(U33,"High",3,"Medium",2,"Low",0,"Unknown",1,1)+IF(Q33="Yes",2,IF(Q33="Unsure",1,0)),0)</f>
        <v/>
      </c>
      <c r="Z33" s="3">
        <f>IFERROR(ROUND((V33*2)+(W33*1)+(X33*2)+(IF(T33="Easy",2,IF(T33="Medium",1,IF(T33="Hard",-1,0))))-(Y33*2),1),0)</f>
        <v/>
      </c>
      <c r="AA33" s="3">
        <f>IFERROR(IF(S33="Not a fit","Not a Fit",IF(Y33&gt;=5,"High Risk / Needs Review",IF(AND(Z33&gt;=18,T33="Easy"),"Quick Win",IF(AND(Z33&gt;=18,T33&lt;&gt;"Easy"),"Strategic Project",IF(Z33&gt;=10,"Discovery Needed","Process Issue"))))),"")</f>
        <v/>
      </c>
      <c r="AB33" s="3">
        <f>IFERROR(SWITCH(AA33,"Quick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 s="3" t="n"/>
      <c r="AD33" s="3" t="n"/>
      <c r="AE33" s="3" t="n"/>
    </row>
    <row r="34" ht="25" customHeight="1">
      <c r="A34" s="2" t="n"/>
      <c r="B34" s="2">
        <f>IFERROR(XLOOKUP(A34,'Intake Responses'!$A:$A,'Intake Responses'!$E:$E),"")</f>
        <v/>
      </c>
      <c r="C34" s="2">
        <f>IFERROR(XLOOKUP(A34,'Intake Responses'!$A:$A,'Intake Responses'!$D:$D),"")</f>
        <v/>
      </c>
      <c r="D34" s="2">
        <f>IFERROR(XLOOKUP(A34,'Intake Responses'!$A:$A,'Intake Responses'!$F:$F),"")</f>
        <v/>
      </c>
      <c r="E34" s="2" t="n"/>
      <c r="F34" s="2">
        <f>IFERROR(XLOOKUP(A34,'Intake Responses'!$A:$A,'Intake Responses'!$M:$M),"")</f>
        <v/>
      </c>
      <c r="G34" s="2">
        <f>IFERROR(XLOOKUP(A34,'Intake Responses'!$A:$A,'Intake Responses'!$N:$N),"")</f>
        <v/>
      </c>
      <c r="H34" s="2">
        <f>IFERROR(XLOOKUP(A34,'Intake Responses'!$A:$A,'Intake Responses'!$O:$O),"")</f>
        <v/>
      </c>
      <c r="I34" s="2">
        <f>IFERROR(SWITCH(F34,"Multiple times per day",60,"Daily",20,"Weekly",4,"Monthly",1,"Quarterly",0.33,"Ad hoc",0.5,"Unknown",0),0)</f>
        <v/>
      </c>
      <c r="J34" s="2">
        <f>IFERROR((G34*H34*I34)/60,0)</f>
        <v/>
      </c>
      <c r="K34" s="2">
        <f>IFERROR(J34*12,0)</f>
        <v/>
      </c>
      <c r="L34" s="2">
        <f>IFERROR(XLOOKUP(A34,'Intake Responses'!$A:$A,'Intake Responses'!$T:$T),"")</f>
        <v/>
      </c>
      <c r="M34" s="2">
        <f>IFERROR(XLOOKUP(A34,'Intake Responses'!$A:$A,'Intake Responses'!$U:$U),"")</f>
        <v/>
      </c>
      <c r="N34" s="2">
        <f>IFERROR(XLOOKUP(A34,'Intake Responses'!$A:$A,'Intake Responses'!$V:$V),"")</f>
        <v/>
      </c>
      <c r="O34" s="2">
        <f>IFERROR(XLOOKUP(A34,'Intake Responses'!$A:$A,'Intake Responses'!$W:$W),"")</f>
        <v/>
      </c>
      <c r="P34" s="2">
        <f>IFERROR(XLOOKUP(A34,'Intake Responses'!$A:$A,'Intake Responses'!$X:$X),"")</f>
        <v/>
      </c>
      <c r="Q34" s="2">
        <f>IFERROR(XLOOKUP(A34,'Intake Responses'!$A:$A,'Intake Responses'!$AF:$AF),"")</f>
        <v/>
      </c>
      <c r="R34" s="2">
        <f>IFERROR(XLOOKUP(A34,'Intake Responses'!$A:$A,'Intake Responses'!$S:$S),"")</f>
        <v/>
      </c>
      <c r="S34" s="2" t="n"/>
      <c r="T34" s="2" t="n"/>
      <c r="U34" s="2" t="n"/>
      <c r="V34" s="2">
        <f>IFERROR(MIN(5,ROUND(((M34+O34)/2)+(IF(J34&gt;=20,2,IF(J34&gt;=10,1.5,IF(J34&gt;=5,1,IF(J34&gt;=1,0.5,0))))),1)),0)</f>
        <v/>
      </c>
      <c r="W34" s="2">
        <f>IFERROR(SWITCH(F34,"Multiple times per day",5,"Daily",4,"Weekly",3,"Monthly",2,"Quarterly",1,"Ad hoc",1,"Unknown",0),0)</f>
        <v/>
      </c>
      <c r="X34" s="2">
        <f>IFERROR(ROUND(AVERAGE(L34,N34),1),0)</f>
        <v/>
      </c>
      <c r="Y34" s="2">
        <f>IFERROR(SWITCH(U34,"High",3,"Medium",2,"Low",0,"Unknown",1,1)+IF(Q34="Yes",2,IF(Q34="Unsure",1,0)),0)</f>
        <v/>
      </c>
      <c r="Z34" s="2">
        <f>IFERROR(ROUND((V34*2)+(W34*1)+(X34*2)+(IF(T34="Easy",2,IF(T34="Medium",1,IF(T34="Hard",-1,0))))-(Y34*2),1),0)</f>
        <v/>
      </c>
      <c r="AA34" s="2">
        <f>IFERROR(IF(S34="Not a fit","Not a Fit",IF(Y34&gt;=5,"High Risk / Needs Review",IF(AND(Z34&gt;=18,T34="Easy"),"Quick Win",IF(AND(Z34&gt;=18,T34&lt;&gt;"Easy"),"Strategic Project",IF(Z34&gt;=10,"Discovery Needed","Process Issue"))))),"")</f>
        <v/>
      </c>
      <c r="AB34" s="2">
        <f>IFERROR(SWITCH(AA34,"Quick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 s="2" t="n"/>
      <c r="AD34" s="2" t="n"/>
      <c r="AE34" s="2" t="n"/>
    </row>
    <row r="35" ht="25" customHeight="1">
      <c r="A35" s="3" t="n"/>
      <c r="B35" s="3">
        <f>IFERROR(XLOOKUP(A35,'Intake Responses'!$A:$A,'Intake Responses'!$E:$E),"")</f>
        <v/>
      </c>
      <c r="C35" s="3">
        <f>IFERROR(XLOOKUP(A35,'Intake Responses'!$A:$A,'Intake Responses'!$D:$D),"")</f>
        <v/>
      </c>
      <c r="D35" s="3">
        <f>IFERROR(XLOOKUP(A35,'Intake Responses'!$A:$A,'Intake Responses'!$F:$F),"")</f>
        <v/>
      </c>
      <c r="E35" s="3" t="n"/>
      <c r="F35" s="3">
        <f>IFERROR(XLOOKUP(A35,'Intake Responses'!$A:$A,'Intake Responses'!$M:$M),"")</f>
        <v/>
      </c>
      <c r="G35" s="3">
        <f>IFERROR(XLOOKUP(A35,'Intake Responses'!$A:$A,'Intake Responses'!$N:$N),"")</f>
        <v/>
      </c>
      <c r="H35" s="3">
        <f>IFERROR(XLOOKUP(A35,'Intake Responses'!$A:$A,'Intake Responses'!$O:$O),"")</f>
        <v/>
      </c>
      <c r="I35" s="3">
        <f>IFERROR(SWITCH(F35,"Multiple times per day",60,"Daily",20,"Weekly",4,"Monthly",1,"Quarterly",0.33,"Ad hoc",0.5,"Unknown",0),0)</f>
        <v/>
      </c>
      <c r="J35" s="3">
        <f>IFERROR((G35*H35*I35)/60,0)</f>
        <v/>
      </c>
      <c r="K35" s="3">
        <f>IFERROR(J35*12,0)</f>
        <v/>
      </c>
      <c r="L35" s="3">
        <f>IFERROR(XLOOKUP(A35,'Intake Responses'!$A:$A,'Intake Responses'!$T:$T),"")</f>
        <v/>
      </c>
      <c r="M35" s="3">
        <f>IFERROR(XLOOKUP(A35,'Intake Responses'!$A:$A,'Intake Responses'!$U:$U),"")</f>
        <v/>
      </c>
      <c r="N35" s="3">
        <f>IFERROR(XLOOKUP(A35,'Intake Responses'!$A:$A,'Intake Responses'!$V:$V),"")</f>
        <v/>
      </c>
      <c r="O35" s="3">
        <f>IFERROR(XLOOKUP(A35,'Intake Responses'!$A:$A,'Intake Responses'!$W:$W),"")</f>
        <v/>
      </c>
      <c r="P35" s="3">
        <f>IFERROR(XLOOKUP(A35,'Intake Responses'!$A:$A,'Intake Responses'!$X:$X),"")</f>
        <v/>
      </c>
      <c r="Q35" s="3">
        <f>IFERROR(XLOOKUP(A35,'Intake Responses'!$A:$A,'Intake Responses'!$AF:$AF),"")</f>
        <v/>
      </c>
      <c r="R35" s="3">
        <f>IFERROR(XLOOKUP(A35,'Intake Responses'!$A:$A,'Intake Responses'!$S:$S),"")</f>
        <v/>
      </c>
      <c r="S35" s="3" t="n"/>
      <c r="T35" s="3" t="n"/>
      <c r="U35" s="3" t="n"/>
      <c r="V35" s="3">
        <f>IFERROR(MIN(5,ROUND(((M35+O35)/2)+(IF(J35&gt;=20,2,IF(J35&gt;=10,1.5,IF(J35&gt;=5,1,IF(J35&gt;=1,0.5,0))))),1)),0)</f>
        <v/>
      </c>
      <c r="W35" s="3">
        <f>IFERROR(SWITCH(F35,"Multiple times per day",5,"Daily",4,"Weekly",3,"Monthly",2,"Quarterly",1,"Ad hoc",1,"Unknown",0),0)</f>
        <v/>
      </c>
      <c r="X35" s="3">
        <f>IFERROR(ROUND(AVERAGE(L35,N35),1),0)</f>
        <v/>
      </c>
      <c r="Y35" s="3">
        <f>IFERROR(SWITCH(U35,"High",3,"Medium",2,"Low",0,"Unknown",1,1)+IF(Q35="Yes",2,IF(Q35="Unsure",1,0)),0)</f>
        <v/>
      </c>
      <c r="Z35" s="3">
        <f>IFERROR(ROUND((V35*2)+(W35*1)+(X35*2)+(IF(T35="Easy",2,IF(T35="Medium",1,IF(T35="Hard",-1,0))))-(Y35*2),1),0)</f>
        <v/>
      </c>
      <c r="AA35" s="3">
        <f>IFERROR(IF(S35="Not a fit","Not a Fit",IF(Y35&gt;=5,"High Risk / Needs Review",IF(AND(Z35&gt;=18,T35="Easy"),"Quick Win",IF(AND(Z35&gt;=18,T35&lt;&gt;"Easy"),"Strategic Project",IF(Z35&gt;=10,"Discovery Needed","Process Issue"))))),"")</f>
        <v/>
      </c>
      <c r="AB35" s="3">
        <f>IFERROR(SWITCH(AA35,"Quick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 s="3" t="n"/>
      <c r="AD35" s="3" t="n"/>
      <c r="AE35" s="3" t="n"/>
    </row>
    <row r="36" ht="25" customHeight="1">
      <c r="A36" s="2" t="n"/>
      <c r="B36" s="2">
        <f>IFERROR(XLOOKUP(A36,'Intake Responses'!$A:$A,'Intake Responses'!$E:$E),"")</f>
        <v/>
      </c>
      <c r="C36" s="2">
        <f>IFERROR(XLOOKUP(A36,'Intake Responses'!$A:$A,'Intake Responses'!$D:$D),"")</f>
        <v/>
      </c>
      <c r="D36" s="2">
        <f>IFERROR(XLOOKUP(A36,'Intake Responses'!$A:$A,'Intake Responses'!$F:$F),"")</f>
        <v/>
      </c>
      <c r="E36" s="2" t="n"/>
      <c r="F36" s="2">
        <f>IFERROR(XLOOKUP(A36,'Intake Responses'!$A:$A,'Intake Responses'!$M:$M),"")</f>
        <v/>
      </c>
      <c r="G36" s="2">
        <f>IFERROR(XLOOKUP(A36,'Intake Responses'!$A:$A,'Intake Responses'!$N:$N),"")</f>
        <v/>
      </c>
      <c r="H36" s="2">
        <f>IFERROR(XLOOKUP(A36,'Intake Responses'!$A:$A,'Intake Responses'!$O:$O),"")</f>
        <v/>
      </c>
      <c r="I36" s="2">
        <f>IFERROR(SWITCH(F36,"Multiple times per day",60,"Daily",20,"Weekly",4,"Monthly",1,"Quarterly",0.33,"Ad hoc",0.5,"Unknown",0),0)</f>
        <v/>
      </c>
      <c r="J36" s="2">
        <f>IFERROR((G36*H36*I36)/60,0)</f>
        <v/>
      </c>
      <c r="K36" s="2">
        <f>IFERROR(J36*12,0)</f>
        <v/>
      </c>
      <c r="L36" s="2">
        <f>IFERROR(XLOOKUP(A36,'Intake Responses'!$A:$A,'Intake Responses'!$T:$T),"")</f>
        <v/>
      </c>
      <c r="M36" s="2">
        <f>IFERROR(XLOOKUP(A36,'Intake Responses'!$A:$A,'Intake Responses'!$U:$U),"")</f>
        <v/>
      </c>
      <c r="N36" s="2">
        <f>IFERROR(XLOOKUP(A36,'Intake Responses'!$A:$A,'Intake Responses'!$V:$V),"")</f>
        <v/>
      </c>
      <c r="O36" s="2">
        <f>IFERROR(XLOOKUP(A36,'Intake Responses'!$A:$A,'Intake Responses'!$W:$W),"")</f>
        <v/>
      </c>
      <c r="P36" s="2">
        <f>IFERROR(XLOOKUP(A36,'Intake Responses'!$A:$A,'Intake Responses'!$X:$X),"")</f>
        <v/>
      </c>
      <c r="Q36" s="2">
        <f>IFERROR(XLOOKUP(A36,'Intake Responses'!$A:$A,'Intake Responses'!$AF:$AF),"")</f>
        <v/>
      </c>
      <c r="R36" s="2">
        <f>IFERROR(XLOOKUP(A36,'Intake Responses'!$A:$A,'Intake Responses'!$S:$S),"")</f>
        <v/>
      </c>
      <c r="S36" s="2" t="n"/>
      <c r="T36" s="2" t="n"/>
      <c r="U36" s="2" t="n"/>
      <c r="V36" s="2">
        <f>IFERROR(MIN(5,ROUND(((M36+O36)/2)+(IF(J36&gt;=20,2,IF(J36&gt;=10,1.5,IF(J36&gt;=5,1,IF(J36&gt;=1,0.5,0))))),1)),0)</f>
        <v/>
      </c>
      <c r="W36" s="2">
        <f>IFERROR(SWITCH(F36,"Multiple times per day",5,"Daily",4,"Weekly",3,"Monthly",2,"Quarterly",1,"Ad hoc",1,"Unknown",0),0)</f>
        <v/>
      </c>
      <c r="X36" s="2">
        <f>IFERROR(ROUND(AVERAGE(L36,N36),1),0)</f>
        <v/>
      </c>
      <c r="Y36" s="2">
        <f>IFERROR(SWITCH(U36,"High",3,"Medium",2,"Low",0,"Unknown",1,1)+IF(Q36="Yes",2,IF(Q36="Unsure",1,0)),0)</f>
        <v/>
      </c>
      <c r="Z36" s="2">
        <f>IFERROR(ROUND((V36*2)+(W36*1)+(X36*2)+(IF(T36="Easy",2,IF(T36="Medium",1,IF(T36="Hard",-1,0))))-(Y36*2),1),0)</f>
        <v/>
      </c>
      <c r="AA36" s="2">
        <f>IFERROR(IF(S36="Not a fit","Not a Fit",IF(Y36&gt;=5,"High Risk / Needs Review",IF(AND(Z36&gt;=18,T36="Easy"),"Quick Win",IF(AND(Z36&gt;=18,T36&lt;&gt;"Easy"),"Strategic Project",IF(Z36&gt;=10,"Discovery Needed","Process Issue"))))),"")</f>
        <v/>
      </c>
      <c r="AB36" s="2">
        <f>IFERROR(SWITCH(AA36,"Quick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 s="2" t="n"/>
      <c r="AD36" s="2" t="n"/>
      <c r="AE36" s="2" t="n"/>
    </row>
    <row r="37" ht="25" customHeight="1">
      <c r="A37" s="3" t="n"/>
      <c r="B37" s="3">
        <f>IFERROR(XLOOKUP(A37,'Intake Responses'!$A:$A,'Intake Responses'!$E:$E),"")</f>
        <v/>
      </c>
      <c r="C37" s="3">
        <f>IFERROR(XLOOKUP(A37,'Intake Responses'!$A:$A,'Intake Responses'!$D:$D),"")</f>
        <v/>
      </c>
      <c r="D37" s="3">
        <f>IFERROR(XLOOKUP(A37,'Intake Responses'!$A:$A,'Intake Responses'!$F:$F),"")</f>
        <v/>
      </c>
      <c r="E37" s="3" t="n"/>
      <c r="F37" s="3">
        <f>IFERROR(XLOOKUP(A37,'Intake Responses'!$A:$A,'Intake Responses'!$M:$M),"")</f>
        <v/>
      </c>
      <c r="G37" s="3">
        <f>IFERROR(XLOOKUP(A37,'Intake Responses'!$A:$A,'Intake Responses'!$N:$N),"")</f>
        <v/>
      </c>
      <c r="H37" s="3">
        <f>IFERROR(XLOOKUP(A37,'Intake Responses'!$A:$A,'Intake Responses'!$O:$O),"")</f>
        <v/>
      </c>
      <c r="I37" s="3">
        <f>IFERROR(SWITCH(F37,"Multiple times per day",60,"Daily",20,"Weekly",4,"Monthly",1,"Quarterly",0.33,"Ad hoc",0.5,"Unknown",0),0)</f>
        <v/>
      </c>
      <c r="J37" s="3">
        <f>IFERROR((G37*H37*I37)/60,0)</f>
        <v/>
      </c>
      <c r="K37" s="3">
        <f>IFERROR(J37*12,0)</f>
        <v/>
      </c>
      <c r="L37" s="3">
        <f>IFERROR(XLOOKUP(A37,'Intake Responses'!$A:$A,'Intake Responses'!$T:$T),"")</f>
        <v/>
      </c>
      <c r="M37" s="3">
        <f>IFERROR(XLOOKUP(A37,'Intake Responses'!$A:$A,'Intake Responses'!$U:$U),"")</f>
        <v/>
      </c>
      <c r="N37" s="3">
        <f>IFERROR(XLOOKUP(A37,'Intake Responses'!$A:$A,'Intake Responses'!$V:$V),"")</f>
        <v/>
      </c>
      <c r="O37" s="3">
        <f>IFERROR(XLOOKUP(A37,'Intake Responses'!$A:$A,'Intake Responses'!$W:$W),"")</f>
        <v/>
      </c>
      <c r="P37" s="3">
        <f>IFERROR(XLOOKUP(A37,'Intake Responses'!$A:$A,'Intake Responses'!$X:$X),"")</f>
        <v/>
      </c>
      <c r="Q37" s="3">
        <f>IFERROR(XLOOKUP(A37,'Intake Responses'!$A:$A,'Intake Responses'!$AF:$AF),"")</f>
        <v/>
      </c>
      <c r="R37" s="3">
        <f>IFERROR(XLOOKUP(A37,'Intake Responses'!$A:$A,'Intake Responses'!$S:$S),"")</f>
        <v/>
      </c>
      <c r="S37" s="3" t="n"/>
      <c r="T37" s="3" t="n"/>
      <c r="U37" s="3" t="n"/>
      <c r="V37" s="3">
        <f>IFERROR(MIN(5,ROUND(((M37+O37)/2)+(IF(J37&gt;=20,2,IF(J37&gt;=10,1.5,IF(J37&gt;=5,1,IF(J37&gt;=1,0.5,0))))),1)),0)</f>
        <v/>
      </c>
      <c r="W37" s="3">
        <f>IFERROR(SWITCH(F37,"Multiple times per day",5,"Daily",4,"Weekly",3,"Monthly",2,"Quarterly",1,"Ad hoc",1,"Unknown",0),0)</f>
        <v/>
      </c>
      <c r="X37" s="3">
        <f>IFERROR(ROUND(AVERAGE(L37,N37),1),0)</f>
        <v/>
      </c>
      <c r="Y37" s="3">
        <f>IFERROR(SWITCH(U37,"High",3,"Medium",2,"Low",0,"Unknown",1,1)+IF(Q37="Yes",2,IF(Q37="Unsure",1,0)),0)</f>
        <v/>
      </c>
      <c r="Z37" s="3">
        <f>IFERROR(ROUND((V37*2)+(W37*1)+(X37*2)+(IF(T37="Easy",2,IF(T37="Medium",1,IF(T37="Hard",-1,0))))-(Y37*2),1),0)</f>
        <v/>
      </c>
      <c r="AA37" s="3">
        <f>IFERROR(IF(S37="Not a fit","Not a Fit",IF(Y37&gt;=5,"High Risk / Needs Review",IF(AND(Z37&gt;=18,T37="Easy"),"Quick Win",IF(AND(Z37&gt;=18,T37&lt;&gt;"Easy"),"Strategic Project",IF(Z37&gt;=10,"Discovery Needed","Process Issue"))))),"")</f>
        <v/>
      </c>
      <c r="AB37" s="3">
        <f>IFERROR(SWITCH(AA37,"Quick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 s="3" t="n"/>
      <c r="AD37" s="3" t="n"/>
      <c r="AE37" s="3" t="n"/>
    </row>
    <row r="38" ht="25" customHeight="1">
      <c r="A38" s="2" t="n"/>
      <c r="B38" s="2">
        <f>IFERROR(XLOOKUP(A38,'Intake Responses'!$A:$A,'Intake Responses'!$E:$E),"")</f>
        <v/>
      </c>
      <c r="C38" s="2">
        <f>IFERROR(XLOOKUP(A38,'Intake Responses'!$A:$A,'Intake Responses'!$D:$D),"")</f>
        <v/>
      </c>
      <c r="D38" s="2">
        <f>IFERROR(XLOOKUP(A38,'Intake Responses'!$A:$A,'Intake Responses'!$F:$F),"")</f>
        <v/>
      </c>
      <c r="E38" s="2" t="n"/>
      <c r="F38" s="2">
        <f>IFERROR(XLOOKUP(A38,'Intake Responses'!$A:$A,'Intake Responses'!$M:$M),"")</f>
        <v/>
      </c>
      <c r="G38" s="2">
        <f>IFERROR(XLOOKUP(A38,'Intake Responses'!$A:$A,'Intake Responses'!$N:$N),"")</f>
        <v/>
      </c>
      <c r="H38" s="2">
        <f>IFERROR(XLOOKUP(A38,'Intake Responses'!$A:$A,'Intake Responses'!$O:$O),"")</f>
        <v/>
      </c>
      <c r="I38" s="2">
        <f>IFERROR(SWITCH(F38,"Multiple times per day",60,"Daily",20,"Weekly",4,"Monthly",1,"Quarterly",0.33,"Ad hoc",0.5,"Unknown",0),0)</f>
        <v/>
      </c>
      <c r="J38" s="2">
        <f>IFERROR((G38*H38*I38)/60,0)</f>
        <v/>
      </c>
      <c r="K38" s="2">
        <f>IFERROR(J38*12,0)</f>
        <v/>
      </c>
      <c r="L38" s="2">
        <f>IFERROR(XLOOKUP(A38,'Intake Responses'!$A:$A,'Intake Responses'!$T:$T),"")</f>
        <v/>
      </c>
      <c r="M38" s="2">
        <f>IFERROR(XLOOKUP(A38,'Intake Responses'!$A:$A,'Intake Responses'!$U:$U),"")</f>
        <v/>
      </c>
      <c r="N38" s="2">
        <f>IFERROR(XLOOKUP(A38,'Intake Responses'!$A:$A,'Intake Responses'!$V:$V),"")</f>
        <v/>
      </c>
      <c r="O38" s="2">
        <f>IFERROR(XLOOKUP(A38,'Intake Responses'!$A:$A,'Intake Responses'!$W:$W),"")</f>
        <v/>
      </c>
      <c r="P38" s="2">
        <f>IFERROR(XLOOKUP(A38,'Intake Responses'!$A:$A,'Intake Responses'!$X:$X),"")</f>
        <v/>
      </c>
      <c r="Q38" s="2">
        <f>IFERROR(XLOOKUP(A38,'Intake Responses'!$A:$A,'Intake Responses'!$AF:$AF),"")</f>
        <v/>
      </c>
      <c r="R38" s="2">
        <f>IFERROR(XLOOKUP(A38,'Intake Responses'!$A:$A,'Intake Responses'!$S:$S),"")</f>
        <v/>
      </c>
      <c r="S38" s="2" t="n"/>
      <c r="T38" s="2" t="n"/>
      <c r="U38" s="2" t="n"/>
      <c r="V38" s="2">
        <f>IFERROR(MIN(5,ROUND(((M38+O38)/2)+(IF(J38&gt;=20,2,IF(J38&gt;=10,1.5,IF(J38&gt;=5,1,IF(J38&gt;=1,0.5,0))))),1)),0)</f>
        <v/>
      </c>
      <c r="W38" s="2">
        <f>IFERROR(SWITCH(F38,"Multiple times per day",5,"Daily",4,"Weekly",3,"Monthly",2,"Quarterly",1,"Ad hoc",1,"Unknown",0),0)</f>
        <v/>
      </c>
      <c r="X38" s="2">
        <f>IFERROR(ROUND(AVERAGE(L38,N38),1),0)</f>
        <v/>
      </c>
      <c r="Y38" s="2">
        <f>IFERROR(SWITCH(U38,"High",3,"Medium",2,"Low",0,"Unknown",1,1)+IF(Q38="Yes",2,IF(Q38="Unsure",1,0)),0)</f>
        <v/>
      </c>
      <c r="Z38" s="2">
        <f>IFERROR(ROUND((V38*2)+(W38*1)+(X38*2)+(IF(T38="Easy",2,IF(T38="Medium",1,IF(T38="Hard",-1,0))))-(Y38*2),1),0)</f>
        <v/>
      </c>
      <c r="AA38" s="2">
        <f>IFERROR(IF(S38="Not a fit","Not a Fit",IF(Y38&gt;=5,"High Risk / Needs Review",IF(AND(Z38&gt;=18,T38="Easy"),"Quick Win",IF(AND(Z38&gt;=18,T38&lt;&gt;"Easy"),"Strategic Project",IF(Z38&gt;=10,"Discovery Needed","Process Issue"))))),"")</f>
        <v/>
      </c>
      <c r="AB38" s="2">
        <f>IFERROR(SWITCH(AA38,"Quick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 s="2" t="n"/>
      <c r="AD38" s="2" t="n"/>
      <c r="AE38" s="2" t="n"/>
    </row>
    <row r="39" ht="25" customHeight="1">
      <c r="A39" s="3" t="n"/>
      <c r="B39" s="3">
        <f>IFERROR(XLOOKUP(A39,'Intake Responses'!$A:$A,'Intake Responses'!$E:$E),"")</f>
        <v/>
      </c>
      <c r="C39" s="3">
        <f>IFERROR(XLOOKUP(A39,'Intake Responses'!$A:$A,'Intake Responses'!$D:$D),"")</f>
        <v/>
      </c>
      <c r="D39" s="3">
        <f>IFERROR(XLOOKUP(A39,'Intake Responses'!$A:$A,'Intake Responses'!$F:$F),"")</f>
        <v/>
      </c>
      <c r="E39" s="3" t="n"/>
      <c r="F39" s="3">
        <f>IFERROR(XLOOKUP(A39,'Intake Responses'!$A:$A,'Intake Responses'!$M:$M),"")</f>
        <v/>
      </c>
      <c r="G39" s="3">
        <f>IFERROR(XLOOKUP(A39,'Intake Responses'!$A:$A,'Intake Responses'!$N:$N),"")</f>
        <v/>
      </c>
      <c r="H39" s="3">
        <f>IFERROR(XLOOKUP(A39,'Intake Responses'!$A:$A,'Intake Responses'!$O:$O),"")</f>
        <v/>
      </c>
      <c r="I39" s="3">
        <f>IFERROR(SWITCH(F39,"Multiple times per day",60,"Daily",20,"Weekly",4,"Monthly",1,"Quarterly",0.33,"Ad hoc",0.5,"Unknown",0),0)</f>
        <v/>
      </c>
      <c r="J39" s="3">
        <f>IFERROR((G39*H39*I39)/60,0)</f>
        <v/>
      </c>
      <c r="K39" s="3">
        <f>IFERROR(J39*12,0)</f>
        <v/>
      </c>
      <c r="L39" s="3">
        <f>IFERROR(XLOOKUP(A39,'Intake Responses'!$A:$A,'Intake Responses'!$T:$T),"")</f>
        <v/>
      </c>
      <c r="M39" s="3">
        <f>IFERROR(XLOOKUP(A39,'Intake Responses'!$A:$A,'Intake Responses'!$U:$U),"")</f>
        <v/>
      </c>
      <c r="N39" s="3">
        <f>IFERROR(XLOOKUP(A39,'Intake Responses'!$A:$A,'Intake Responses'!$V:$V),"")</f>
        <v/>
      </c>
      <c r="O39" s="3">
        <f>IFERROR(XLOOKUP(A39,'Intake Responses'!$A:$A,'Intake Responses'!$W:$W),"")</f>
        <v/>
      </c>
      <c r="P39" s="3">
        <f>IFERROR(XLOOKUP(A39,'Intake Responses'!$A:$A,'Intake Responses'!$X:$X),"")</f>
        <v/>
      </c>
      <c r="Q39" s="3">
        <f>IFERROR(XLOOKUP(A39,'Intake Responses'!$A:$A,'Intake Responses'!$AF:$AF),"")</f>
        <v/>
      </c>
      <c r="R39" s="3">
        <f>IFERROR(XLOOKUP(A39,'Intake Responses'!$A:$A,'Intake Responses'!$S:$S),"")</f>
        <v/>
      </c>
      <c r="S39" s="3" t="n"/>
      <c r="T39" s="3" t="n"/>
      <c r="U39" s="3" t="n"/>
      <c r="V39" s="3">
        <f>IFERROR(MIN(5,ROUND(((M39+O39)/2)+(IF(J39&gt;=20,2,IF(J39&gt;=10,1.5,IF(J39&gt;=5,1,IF(J39&gt;=1,0.5,0))))),1)),0)</f>
        <v/>
      </c>
      <c r="W39" s="3">
        <f>IFERROR(SWITCH(F39,"Multiple times per day",5,"Daily",4,"Weekly",3,"Monthly",2,"Quarterly",1,"Ad hoc",1,"Unknown",0),0)</f>
        <v/>
      </c>
      <c r="X39" s="3">
        <f>IFERROR(ROUND(AVERAGE(L39,N39),1),0)</f>
        <v/>
      </c>
      <c r="Y39" s="3">
        <f>IFERROR(SWITCH(U39,"High",3,"Medium",2,"Low",0,"Unknown",1,1)+IF(Q39="Yes",2,IF(Q39="Unsure",1,0)),0)</f>
        <v/>
      </c>
      <c r="Z39" s="3">
        <f>IFERROR(ROUND((V39*2)+(W39*1)+(X39*2)+(IF(T39="Easy",2,IF(T39="Medium",1,IF(T39="Hard",-1,0))))-(Y39*2),1),0)</f>
        <v/>
      </c>
      <c r="AA39" s="3">
        <f>IFERROR(IF(S39="Not a fit","Not a Fit",IF(Y39&gt;=5,"High Risk / Needs Review",IF(AND(Z39&gt;=18,T39="Easy"),"Quick Win",IF(AND(Z39&gt;=18,T39&lt;&gt;"Easy"),"Strategic Project",IF(Z39&gt;=10,"Discovery Needed","Process Issue"))))),"")</f>
        <v/>
      </c>
      <c r="AB39" s="3">
        <f>IFERROR(SWITCH(AA39,"Quick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 s="3" t="n"/>
      <c r="AD39" s="3" t="n"/>
      <c r="AE39" s="3" t="n"/>
    </row>
    <row r="40" ht="25" customHeight="1">
      <c r="A40" s="2" t="n"/>
      <c r="B40" s="2">
        <f>IFERROR(XLOOKUP(A40,'Intake Responses'!$A:$A,'Intake Responses'!$E:$E),"")</f>
        <v/>
      </c>
      <c r="C40" s="2">
        <f>IFERROR(XLOOKUP(A40,'Intake Responses'!$A:$A,'Intake Responses'!$D:$D),"")</f>
        <v/>
      </c>
      <c r="D40" s="2">
        <f>IFERROR(XLOOKUP(A40,'Intake Responses'!$A:$A,'Intake Responses'!$F:$F),"")</f>
        <v/>
      </c>
      <c r="E40" s="2" t="n"/>
      <c r="F40" s="2">
        <f>IFERROR(XLOOKUP(A40,'Intake Responses'!$A:$A,'Intake Responses'!$M:$M),"")</f>
        <v/>
      </c>
      <c r="G40" s="2">
        <f>IFERROR(XLOOKUP(A40,'Intake Responses'!$A:$A,'Intake Responses'!$N:$N),"")</f>
        <v/>
      </c>
      <c r="H40" s="2">
        <f>IFERROR(XLOOKUP(A40,'Intake Responses'!$A:$A,'Intake Responses'!$O:$O),"")</f>
        <v/>
      </c>
      <c r="I40" s="2">
        <f>IFERROR(SWITCH(F40,"Multiple times per day",60,"Daily",20,"Weekly",4,"Monthly",1,"Quarterly",0.33,"Ad hoc",0.5,"Unknown",0),0)</f>
        <v/>
      </c>
      <c r="J40" s="2">
        <f>IFERROR((G40*H40*I40)/60,0)</f>
        <v/>
      </c>
      <c r="K40" s="2">
        <f>IFERROR(J40*12,0)</f>
        <v/>
      </c>
      <c r="L40" s="2">
        <f>IFERROR(XLOOKUP(A40,'Intake Responses'!$A:$A,'Intake Responses'!$T:$T),"")</f>
        <v/>
      </c>
      <c r="M40" s="2">
        <f>IFERROR(XLOOKUP(A40,'Intake Responses'!$A:$A,'Intake Responses'!$U:$U),"")</f>
        <v/>
      </c>
      <c r="N40" s="2">
        <f>IFERROR(XLOOKUP(A40,'Intake Responses'!$A:$A,'Intake Responses'!$V:$V),"")</f>
        <v/>
      </c>
      <c r="O40" s="2">
        <f>IFERROR(XLOOKUP(A40,'Intake Responses'!$A:$A,'Intake Responses'!$W:$W),"")</f>
        <v/>
      </c>
      <c r="P40" s="2">
        <f>IFERROR(XLOOKUP(A40,'Intake Responses'!$A:$A,'Intake Responses'!$X:$X),"")</f>
        <v/>
      </c>
      <c r="Q40" s="2">
        <f>IFERROR(XLOOKUP(A40,'Intake Responses'!$A:$A,'Intake Responses'!$AF:$AF),"")</f>
        <v/>
      </c>
      <c r="R40" s="2">
        <f>IFERROR(XLOOKUP(A40,'Intake Responses'!$A:$A,'Intake Responses'!$S:$S),"")</f>
        <v/>
      </c>
      <c r="S40" s="2" t="n"/>
      <c r="T40" s="2" t="n"/>
      <c r="U40" s="2" t="n"/>
      <c r="V40" s="2">
        <f>IFERROR(MIN(5,ROUND(((M40+O40)/2)+(IF(J40&gt;=20,2,IF(J40&gt;=10,1.5,IF(J40&gt;=5,1,IF(J40&gt;=1,0.5,0))))),1)),0)</f>
        <v/>
      </c>
      <c r="W40" s="2">
        <f>IFERROR(SWITCH(F40,"Multiple times per day",5,"Daily",4,"Weekly",3,"Monthly",2,"Quarterly",1,"Ad hoc",1,"Unknown",0),0)</f>
        <v/>
      </c>
      <c r="X40" s="2">
        <f>IFERROR(ROUND(AVERAGE(L40,N40),1),0)</f>
        <v/>
      </c>
      <c r="Y40" s="2">
        <f>IFERROR(SWITCH(U40,"High",3,"Medium",2,"Low",0,"Unknown",1,1)+IF(Q40="Yes",2,IF(Q40="Unsure",1,0)),0)</f>
        <v/>
      </c>
      <c r="Z40" s="2">
        <f>IFERROR(ROUND((V40*2)+(W40*1)+(X40*2)+(IF(T40="Easy",2,IF(T40="Medium",1,IF(T40="Hard",-1,0))))-(Y40*2),1),0)</f>
        <v/>
      </c>
      <c r="AA40" s="2">
        <f>IFERROR(IF(S40="Not a fit","Not a Fit",IF(Y40&gt;=5,"High Risk / Needs Review",IF(AND(Z40&gt;=18,T40="Easy"),"Quick Win",IF(AND(Z40&gt;=18,T40&lt;&gt;"Easy"),"Strategic Project",IF(Z40&gt;=10,"Discovery Needed","Process Issue"))))),"")</f>
        <v/>
      </c>
      <c r="AB40" s="2">
        <f>IFERROR(SWITCH(AA40,"Quick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 s="2" t="n"/>
      <c r="AD40" s="2" t="n"/>
      <c r="AE40" s="2" t="n"/>
    </row>
    <row r="41" ht="25" customHeight="1">
      <c r="A41" s="3" t="n"/>
      <c r="B41" s="3">
        <f>IFERROR(XLOOKUP(A41,'Intake Responses'!$A:$A,'Intake Responses'!$E:$E),"")</f>
        <v/>
      </c>
      <c r="C41" s="3">
        <f>IFERROR(XLOOKUP(A41,'Intake Responses'!$A:$A,'Intake Responses'!$D:$D),"")</f>
        <v/>
      </c>
      <c r="D41" s="3">
        <f>IFERROR(XLOOKUP(A41,'Intake Responses'!$A:$A,'Intake Responses'!$F:$F),"")</f>
        <v/>
      </c>
      <c r="E41" s="3" t="n"/>
      <c r="F41" s="3">
        <f>IFERROR(XLOOKUP(A41,'Intake Responses'!$A:$A,'Intake Responses'!$M:$M),"")</f>
        <v/>
      </c>
      <c r="G41" s="3">
        <f>IFERROR(XLOOKUP(A41,'Intake Responses'!$A:$A,'Intake Responses'!$N:$N),"")</f>
        <v/>
      </c>
      <c r="H41" s="3">
        <f>IFERROR(XLOOKUP(A41,'Intake Responses'!$A:$A,'Intake Responses'!$O:$O),"")</f>
        <v/>
      </c>
      <c r="I41" s="3">
        <f>IFERROR(SWITCH(F41,"Multiple times per day",60,"Daily",20,"Weekly",4,"Monthly",1,"Quarterly",0.33,"Ad hoc",0.5,"Unknown",0),0)</f>
        <v/>
      </c>
      <c r="J41" s="3">
        <f>IFERROR((G41*H41*I41)/60,0)</f>
        <v/>
      </c>
      <c r="K41" s="3">
        <f>IFERROR(J41*12,0)</f>
        <v/>
      </c>
      <c r="L41" s="3">
        <f>IFERROR(XLOOKUP(A41,'Intake Responses'!$A:$A,'Intake Responses'!$T:$T),"")</f>
        <v/>
      </c>
      <c r="M41" s="3">
        <f>IFERROR(XLOOKUP(A41,'Intake Responses'!$A:$A,'Intake Responses'!$U:$U),"")</f>
        <v/>
      </c>
      <c r="N41" s="3">
        <f>IFERROR(XLOOKUP(A41,'Intake Responses'!$A:$A,'Intake Responses'!$V:$V),"")</f>
        <v/>
      </c>
      <c r="O41" s="3">
        <f>IFERROR(XLOOKUP(A41,'Intake Responses'!$A:$A,'Intake Responses'!$W:$W),"")</f>
        <v/>
      </c>
      <c r="P41" s="3">
        <f>IFERROR(XLOOKUP(A41,'Intake Responses'!$A:$A,'Intake Responses'!$X:$X),"")</f>
        <v/>
      </c>
      <c r="Q41" s="3">
        <f>IFERROR(XLOOKUP(A41,'Intake Responses'!$A:$A,'Intake Responses'!$AF:$AF),"")</f>
        <v/>
      </c>
      <c r="R41" s="3">
        <f>IFERROR(XLOOKUP(A41,'Intake Responses'!$A:$A,'Intake Responses'!$S:$S),"")</f>
        <v/>
      </c>
      <c r="S41" s="3" t="n"/>
      <c r="T41" s="3" t="n"/>
      <c r="U41" s="3" t="n"/>
      <c r="V41" s="3">
        <f>IFERROR(MIN(5,ROUND(((M41+O41)/2)+(IF(J41&gt;=20,2,IF(J41&gt;=10,1.5,IF(J41&gt;=5,1,IF(J41&gt;=1,0.5,0))))),1)),0)</f>
        <v/>
      </c>
      <c r="W41" s="3">
        <f>IFERROR(SWITCH(F41,"Multiple times per day",5,"Daily",4,"Weekly",3,"Monthly",2,"Quarterly",1,"Ad hoc",1,"Unknown",0),0)</f>
        <v/>
      </c>
      <c r="X41" s="3">
        <f>IFERROR(ROUND(AVERAGE(L41,N41),1),0)</f>
        <v/>
      </c>
      <c r="Y41" s="3">
        <f>IFERROR(SWITCH(U41,"High",3,"Medium",2,"Low",0,"Unknown",1,1)+IF(Q41="Yes",2,IF(Q41="Unsure",1,0)),0)</f>
        <v/>
      </c>
      <c r="Z41" s="3">
        <f>IFERROR(ROUND((V41*2)+(W41*1)+(X41*2)+(IF(T41="Easy",2,IF(T41="Medium",1,IF(T41="Hard",-1,0))))-(Y41*2),1),0)</f>
        <v/>
      </c>
      <c r="AA41" s="3">
        <f>IFERROR(IF(S41="Not a fit","Not a Fit",IF(Y41&gt;=5,"High Risk / Needs Review",IF(AND(Z41&gt;=18,T41="Easy"),"Quick Win",IF(AND(Z41&gt;=18,T41&lt;&gt;"Easy"),"Strategic Project",IF(Z41&gt;=10,"Discovery Needed","Process Issue"))))),"")</f>
        <v/>
      </c>
      <c r="AB41" s="3">
        <f>IFERROR(SWITCH(AA41,"Quick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 s="3" t="n"/>
      <c r="AD41" s="3" t="n"/>
      <c r="AE41" s="3" t="n"/>
    </row>
    <row r="42" ht="25" customHeight="1">
      <c r="A42" s="2" t="n"/>
      <c r="B42" s="2">
        <f>IFERROR(XLOOKUP(A42,'Intake Responses'!$A:$A,'Intake Responses'!$E:$E),"")</f>
        <v/>
      </c>
      <c r="C42" s="2">
        <f>IFERROR(XLOOKUP(A42,'Intake Responses'!$A:$A,'Intake Responses'!$D:$D),"")</f>
        <v/>
      </c>
      <c r="D42" s="2">
        <f>IFERROR(XLOOKUP(A42,'Intake Responses'!$A:$A,'Intake Responses'!$F:$F),"")</f>
        <v/>
      </c>
      <c r="E42" s="2" t="n"/>
      <c r="F42" s="2">
        <f>IFERROR(XLOOKUP(A42,'Intake Responses'!$A:$A,'Intake Responses'!$M:$M),"")</f>
        <v/>
      </c>
      <c r="G42" s="2">
        <f>IFERROR(XLOOKUP(A42,'Intake Responses'!$A:$A,'Intake Responses'!$N:$N),"")</f>
        <v/>
      </c>
      <c r="H42" s="2">
        <f>IFERROR(XLOOKUP(A42,'Intake Responses'!$A:$A,'Intake Responses'!$O:$O),"")</f>
        <v/>
      </c>
      <c r="I42" s="2">
        <f>IFERROR(SWITCH(F42,"Multiple times per day",60,"Daily",20,"Weekly",4,"Monthly",1,"Quarterly",0.33,"Ad hoc",0.5,"Unknown",0),0)</f>
        <v/>
      </c>
      <c r="J42" s="2">
        <f>IFERROR((G42*H42*I42)/60,0)</f>
        <v/>
      </c>
      <c r="K42" s="2">
        <f>IFERROR(J42*12,0)</f>
        <v/>
      </c>
      <c r="L42" s="2">
        <f>IFERROR(XLOOKUP(A42,'Intake Responses'!$A:$A,'Intake Responses'!$T:$T),"")</f>
        <v/>
      </c>
      <c r="M42" s="2">
        <f>IFERROR(XLOOKUP(A42,'Intake Responses'!$A:$A,'Intake Responses'!$U:$U),"")</f>
        <v/>
      </c>
      <c r="N42" s="2">
        <f>IFERROR(XLOOKUP(A42,'Intake Responses'!$A:$A,'Intake Responses'!$V:$V),"")</f>
        <v/>
      </c>
      <c r="O42" s="2">
        <f>IFERROR(XLOOKUP(A42,'Intake Responses'!$A:$A,'Intake Responses'!$W:$W),"")</f>
        <v/>
      </c>
      <c r="P42" s="2">
        <f>IFERROR(XLOOKUP(A42,'Intake Responses'!$A:$A,'Intake Responses'!$X:$X),"")</f>
        <v/>
      </c>
      <c r="Q42" s="2">
        <f>IFERROR(XLOOKUP(A42,'Intake Responses'!$A:$A,'Intake Responses'!$AF:$AF),"")</f>
        <v/>
      </c>
      <c r="R42" s="2">
        <f>IFERROR(XLOOKUP(A42,'Intake Responses'!$A:$A,'Intake Responses'!$S:$S),"")</f>
        <v/>
      </c>
      <c r="S42" s="2" t="n"/>
      <c r="T42" s="2" t="n"/>
      <c r="U42" s="2" t="n"/>
      <c r="V42" s="2">
        <f>IFERROR(MIN(5,ROUND(((M42+O42)/2)+(IF(J42&gt;=20,2,IF(J42&gt;=10,1.5,IF(J42&gt;=5,1,IF(J42&gt;=1,0.5,0))))),1)),0)</f>
        <v/>
      </c>
      <c r="W42" s="2">
        <f>IFERROR(SWITCH(F42,"Multiple times per day",5,"Daily",4,"Weekly",3,"Monthly",2,"Quarterly",1,"Ad hoc",1,"Unknown",0),0)</f>
        <v/>
      </c>
      <c r="X42" s="2">
        <f>IFERROR(ROUND(AVERAGE(L42,N42),1),0)</f>
        <v/>
      </c>
      <c r="Y42" s="2">
        <f>IFERROR(SWITCH(U42,"High",3,"Medium",2,"Low",0,"Unknown",1,1)+IF(Q42="Yes",2,IF(Q42="Unsure",1,0)),0)</f>
        <v/>
      </c>
      <c r="Z42" s="2">
        <f>IFERROR(ROUND((V42*2)+(W42*1)+(X42*2)+(IF(T42="Easy",2,IF(T42="Medium",1,IF(T42="Hard",-1,0))))-(Y42*2),1),0)</f>
        <v/>
      </c>
      <c r="AA42" s="2">
        <f>IFERROR(IF(S42="Not a fit","Not a Fit",IF(Y42&gt;=5,"High Risk / Needs Review",IF(AND(Z42&gt;=18,T42="Easy"),"Quick Win",IF(AND(Z42&gt;=18,T42&lt;&gt;"Easy"),"Strategic Project",IF(Z42&gt;=10,"Discovery Needed","Process Issue"))))),"")</f>
        <v/>
      </c>
      <c r="AB42" s="2">
        <f>IFERROR(SWITCH(AA42,"Quick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 s="2" t="n"/>
      <c r="AD42" s="2" t="n"/>
      <c r="AE42" s="2" t="n"/>
    </row>
    <row r="43" ht="25" customHeight="1">
      <c r="A43" s="3" t="n"/>
      <c r="B43" s="3">
        <f>IFERROR(XLOOKUP(A43,'Intake Responses'!$A:$A,'Intake Responses'!$E:$E),"")</f>
        <v/>
      </c>
      <c r="C43" s="3">
        <f>IFERROR(XLOOKUP(A43,'Intake Responses'!$A:$A,'Intake Responses'!$D:$D),"")</f>
        <v/>
      </c>
      <c r="D43" s="3">
        <f>IFERROR(XLOOKUP(A43,'Intake Responses'!$A:$A,'Intake Responses'!$F:$F),"")</f>
        <v/>
      </c>
      <c r="E43" s="3" t="n"/>
      <c r="F43" s="3">
        <f>IFERROR(XLOOKUP(A43,'Intake Responses'!$A:$A,'Intake Responses'!$M:$M),"")</f>
        <v/>
      </c>
      <c r="G43" s="3">
        <f>IFERROR(XLOOKUP(A43,'Intake Responses'!$A:$A,'Intake Responses'!$N:$N),"")</f>
        <v/>
      </c>
      <c r="H43" s="3">
        <f>IFERROR(XLOOKUP(A43,'Intake Responses'!$A:$A,'Intake Responses'!$O:$O),"")</f>
        <v/>
      </c>
      <c r="I43" s="3">
        <f>IFERROR(SWITCH(F43,"Multiple times per day",60,"Daily",20,"Weekly",4,"Monthly",1,"Quarterly",0.33,"Ad hoc",0.5,"Unknown",0),0)</f>
        <v/>
      </c>
      <c r="J43" s="3">
        <f>IFERROR((G43*H43*I43)/60,0)</f>
        <v/>
      </c>
      <c r="K43" s="3">
        <f>IFERROR(J43*12,0)</f>
        <v/>
      </c>
      <c r="L43" s="3">
        <f>IFERROR(XLOOKUP(A43,'Intake Responses'!$A:$A,'Intake Responses'!$T:$T),"")</f>
        <v/>
      </c>
      <c r="M43" s="3">
        <f>IFERROR(XLOOKUP(A43,'Intake Responses'!$A:$A,'Intake Responses'!$U:$U),"")</f>
        <v/>
      </c>
      <c r="N43" s="3">
        <f>IFERROR(XLOOKUP(A43,'Intake Responses'!$A:$A,'Intake Responses'!$V:$V),"")</f>
        <v/>
      </c>
      <c r="O43" s="3">
        <f>IFERROR(XLOOKUP(A43,'Intake Responses'!$A:$A,'Intake Responses'!$W:$W),"")</f>
        <v/>
      </c>
      <c r="P43" s="3">
        <f>IFERROR(XLOOKUP(A43,'Intake Responses'!$A:$A,'Intake Responses'!$X:$X),"")</f>
        <v/>
      </c>
      <c r="Q43" s="3">
        <f>IFERROR(XLOOKUP(A43,'Intake Responses'!$A:$A,'Intake Responses'!$AF:$AF),"")</f>
        <v/>
      </c>
      <c r="R43" s="3">
        <f>IFERROR(XLOOKUP(A43,'Intake Responses'!$A:$A,'Intake Responses'!$S:$S),"")</f>
        <v/>
      </c>
      <c r="S43" s="3" t="n"/>
      <c r="T43" s="3" t="n"/>
      <c r="U43" s="3" t="n"/>
      <c r="V43" s="3">
        <f>IFERROR(MIN(5,ROUND(((M43+O43)/2)+(IF(J43&gt;=20,2,IF(J43&gt;=10,1.5,IF(J43&gt;=5,1,IF(J43&gt;=1,0.5,0))))),1)),0)</f>
        <v/>
      </c>
      <c r="W43" s="3">
        <f>IFERROR(SWITCH(F43,"Multiple times per day",5,"Daily",4,"Weekly",3,"Monthly",2,"Quarterly",1,"Ad hoc",1,"Unknown",0),0)</f>
        <v/>
      </c>
      <c r="X43" s="3">
        <f>IFERROR(ROUND(AVERAGE(L43,N43),1),0)</f>
        <v/>
      </c>
      <c r="Y43" s="3">
        <f>IFERROR(SWITCH(U43,"High",3,"Medium",2,"Low",0,"Unknown",1,1)+IF(Q43="Yes",2,IF(Q43="Unsure",1,0)),0)</f>
        <v/>
      </c>
      <c r="Z43" s="3">
        <f>IFERROR(ROUND((V43*2)+(W43*1)+(X43*2)+(IF(T43="Easy",2,IF(T43="Medium",1,IF(T43="Hard",-1,0))))-(Y43*2),1),0)</f>
        <v/>
      </c>
      <c r="AA43" s="3">
        <f>IFERROR(IF(S43="Not a fit","Not a Fit",IF(Y43&gt;=5,"High Risk / Needs Review",IF(AND(Z43&gt;=18,T43="Easy"),"Quick Win",IF(AND(Z43&gt;=18,T43&lt;&gt;"Easy"),"Strategic Project",IF(Z43&gt;=10,"Discovery Needed","Process Issue"))))),"")</f>
        <v/>
      </c>
      <c r="AB43" s="3">
        <f>IFERROR(SWITCH(AA43,"Quick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 s="3" t="n"/>
      <c r="AD43" s="3" t="n"/>
      <c r="AE43" s="3" t="n"/>
    </row>
    <row r="44" ht="25" customHeight="1">
      <c r="A44" s="2" t="n"/>
      <c r="B44" s="2">
        <f>IFERROR(XLOOKUP(A44,'Intake Responses'!$A:$A,'Intake Responses'!$E:$E),"")</f>
        <v/>
      </c>
      <c r="C44" s="2">
        <f>IFERROR(XLOOKUP(A44,'Intake Responses'!$A:$A,'Intake Responses'!$D:$D),"")</f>
        <v/>
      </c>
      <c r="D44" s="2">
        <f>IFERROR(XLOOKUP(A44,'Intake Responses'!$A:$A,'Intake Responses'!$F:$F),"")</f>
        <v/>
      </c>
      <c r="E44" s="2" t="n"/>
      <c r="F44" s="2">
        <f>IFERROR(XLOOKUP(A44,'Intake Responses'!$A:$A,'Intake Responses'!$M:$M),"")</f>
        <v/>
      </c>
      <c r="G44" s="2">
        <f>IFERROR(XLOOKUP(A44,'Intake Responses'!$A:$A,'Intake Responses'!$N:$N),"")</f>
        <v/>
      </c>
      <c r="H44" s="2">
        <f>IFERROR(XLOOKUP(A44,'Intake Responses'!$A:$A,'Intake Responses'!$O:$O),"")</f>
        <v/>
      </c>
      <c r="I44" s="2">
        <f>IFERROR(SWITCH(F44,"Multiple times per day",60,"Daily",20,"Weekly",4,"Monthly",1,"Quarterly",0.33,"Ad hoc",0.5,"Unknown",0),0)</f>
        <v/>
      </c>
      <c r="J44" s="2">
        <f>IFERROR((G44*H44*I44)/60,0)</f>
        <v/>
      </c>
      <c r="K44" s="2">
        <f>IFERROR(J44*12,0)</f>
        <v/>
      </c>
      <c r="L44" s="2">
        <f>IFERROR(XLOOKUP(A44,'Intake Responses'!$A:$A,'Intake Responses'!$T:$T),"")</f>
        <v/>
      </c>
      <c r="M44" s="2">
        <f>IFERROR(XLOOKUP(A44,'Intake Responses'!$A:$A,'Intake Responses'!$U:$U),"")</f>
        <v/>
      </c>
      <c r="N44" s="2">
        <f>IFERROR(XLOOKUP(A44,'Intake Responses'!$A:$A,'Intake Responses'!$V:$V),"")</f>
        <v/>
      </c>
      <c r="O44" s="2">
        <f>IFERROR(XLOOKUP(A44,'Intake Responses'!$A:$A,'Intake Responses'!$W:$W),"")</f>
        <v/>
      </c>
      <c r="P44" s="2">
        <f>IFERROR(XLOOKUP(A44,'Intake Responses'!$A:$A,'Intake Responses'!$X:$X),"")</f>
        <v/>
      </c>
      <c r="Q44" s="2">
        <f>IFERROR(XLOOKUP(A44,'Intake Responses'!$A:$A,'Intake Responses'!$AF:$AF),"")</f>
        <v/>
      </c>
      <c r="R44" s="2">
        <f>IFERROR(XLOOKUP(A44,'Intake Responses'!$A:$A,'Intake Responses'!$S:$S),"")</f>
        <v/>
      </c>
      <c r="S44" s="2" t="n"/>
      <c r="T44" s="2" t="n"/>
      <c r="U44" s="2" t="n"/>
      <c r="V44" s="2">
        <f>IFERROR(MIN(5,ROUND(((M44+O44)/2)+(IF(J44&gt;=20,2,IF(J44&gt;=10,1.5,IF(J44&gt;=5,1,IF(J44&gt;=1,0.5,0))))),1)),0)</f>
        <v/>
      </c>
      <c r="W44" s="2">
        <f>IFERROR(SWITCH(F44,"Multiple times per day",5,"Daily",4,"Weekly",3,"Monthly",2,"Quarterly",1,"Ad hoc",1,"Unknown",0),0)</f>
        <v/>
      </c>
      <c r="X44" s="2">
        <f>IFERROR(ROUND(AVERAGE(L44,N44),1),0)</f>
        <v/>
      </c>
      <c r="Y44" s="2">
        <f>IFERROR(SWITCH(U44,"High",3,"Medium",2,"Low",0,"Unknown",1,1)+IF(Q44="Yes",2,IF(Q44="Unsure",1,0)),0)</f>
        <v/>
      </c>
      <c r="Z44" s="2">
        <f>IFERROR(ROUND((V44*2)+(W44*1)+(X44*2)+(IF(T44="Easy",2,IF(T44="Medium",1,IF(T44="Hard",-1,0))))-(Y44*2),1),0)</f>
        <v/>
      </c>
      <c r="AA44" s="2">
        <f>IFERROR(IF(S44="Not a fit","Not a Fit",IF(Y44&gt;=5,"High Risk / Needs Review",IF(AND(Z44&gt;=18,T44="Easy"),"Quick Win",IF(AND(Z44&gt;=18,T44&lt;&gt;"Easy"),"Strategic Project",IF(Z44&gt;=10,"Discovery Needed","Process Issue"))))),"")</f>
        <v/>
      </c>
      <c r="AB44" s="2">
        <f>IFERROR(SWITCH(AA44,"Quick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 s="2" t="n"/>
      <c r="AD44" s="2" t="n"/>
      <c r="AE44" s="2" t="n"/>
    </row>
    <row r="45" ht="25" customHeight="1">
      <c r="A45" s="3" t="n"/>
      <c r="B45" s="3">
        <f>IFERROR(XLOOKUP(A45,'Intake Responses'!$A:$A,'Intake Responses'!$E:$E),"")</f>
        <v/>
      </c>
      <c r="C45" s="3">
        <f>IFERROR(XLOOKUP(A45,'Intake Responses'!$A:$A,'Intake Responses'!$D:$D),"")</f>
        <v/>
      </c>
      <c r="D45" s="3">
        <f>IFERROR(XLOOKUP(A45,'Intake Responses'!$A:$A,'Intake Responses'!$F:$F),"")</f>
        <v/>
      </c>
      <c r="E45" s="3" t="n"/>
      <c r="F45" s="3">
        <f>IFERROR(XLOOKUP(A45,'Intake Responses'!$A:$A,'Intake Responses'!$M:$M),"")</f>
        <v/>
      </c>
      <c r="G45" s="3">
        <f>IFERROR(XLOOKUP(A45,'Intake Responses'!$A:$A,'Intake Responses'!$N:$N),"")</f>
        <v/>
      </c>
      <c r="H45" s="3">
        <f>IFERROR(XLOOKUP(A45,'Intake Responses'!$A:$A,'Intake Responses'!$O:$O),"")</f>
        <v/>
      </c>
      <c r="I45" s="3">
        <f>IFERROR(SWITCH(F45,"Multiple times per day",60,"Daily",20,"Weekly",4,"Monthly",1,"Quarterly",0.33,"Ad hoc",0.5,"Unknown",0),0)</f>
        <v/>
      </c>
      <c r="J45" s="3">
        <f>IFERROR((G45*H45*I45)/60,0)</f>
        <v/>
      </c>
      <c r="K45" s="3">
        <f>IFERROR(J45*12,0)</f>
        <v/>
      </c>
      <c r="L45" s="3">
        <f>IFERROR(XLOOKUP(A45,'Intake Responses'!$A:$A,'Intake Responses'!$T:$T),"")</f>
        <v/>
      </c>
      <c r="M45" s="3">
        <f>IFERROR(XLOOKUP(A45,'Intake Responses'!$A:$A,'Intake Responses'!$U:$U),"")</f>
        <v/>
      </c>
      <c r="N45" s="3">
        <f>IFERROR(XLOOKUP(A45,'Intake Responses'!$A:$A,'Intake Responses'!$V:$V),"")</f>
        <v/>
      </c>
      <c r="O45" s="3">
        <f>IFERROR(XLOOKUP(A45,'Intake Responses'!$A:$A,'Intake Responses'!$W:$W),"")</f>
        <v/>
      </c>
      <c r="P45" s="3">
        <f>IFERROR(XLOOKUP(A45,'Intake Responses'!$A:$A,'Intake Responses'!$X:$X),"")</f>
        <v/>
      </c>
      <c r="Q45" s="3">
        <f>IFERROR(XLOOKUP(A45,'Intake Responses'!$A:$A,'Intake Responses'!$AF:$AF),"")</f>
        <v/>
      </c>
      <c r="R45" s="3">
        <f>IFERROR(XLOOKUP(A45,'Intake Responses'!$A:$A,'Intake Responses'!$S:$S),"")</f>
        <v/>
      </c>
      <c r="S45" s="3" t="n"/>
      <c r="T45" s="3" t="n"/>
      <c r="U45" s="3" t="n"/>
      <c r="V45" s="3">
        <f>IFERROR(MIN(5,ROUND(((M45+O45)/2)+(IF(J45&gt;=20,2,IF(J45&gt;=10,1.5,IF(J45&gt;=5,1,IF(J45&gt;=1,0.5,0))))),1)),0)</f>
        <v/>
      </c>
      <c r="W45" s="3">
        <f>IFERROR(SWITCH(F45,"Multiple times per day",5,"Daily",4,"Weekly",3,"Monthly",2,"Quarterly",1,"Ad hoc",1,"Unknown",0),0)</f>
        <v/>
      </c>
      <c r="X45" s="3">
        <f>IFERROR(ROUND(AVERAGE(L45,N45),1),0)</f>
        <v/>
      </c>
      <c r="Y45" s="3">
        <f>IFERROR(SWITCH(U45,"High",3,"Medium",2,"Low",0,"Unknown",1,1)+IF(Q45="Yes",2,IF(Q45="Unsure",1,0)),0)</f>
        <v/>
      </c>
      <c r="Z45" s="3">
        <f>IFERROR(ROUND((V45*2)+(W45*1)+(X45*2)+(IF(T45="Easy",2,IF(T45="Medium",1,IF(T45="Hard",-1,0))))-(Y45*2),1),0)</f>
        <v/>
      </c>
      <c r="AA45" s="3">
        <f>IFERROR(IF(S45="Not a fit","Not a Fit",IF(Y45&gt;=5,"High Risk / Needs Review",IF(AND(Z45&gt;=18,T45="Easy"),"Quick Win",IF(AND(Z45&gt;=18,T45&lt;&gt;"Easy"),"Strategic Project",IF(Z45&gt;=10,"Discovery Needed","Process Issue"))))),"")</f>
        <v/>
      </c>
      <c r="AB45" s="3">
        <f>IFERROR(SWITCH(AA45,"Quick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 s="3" t="n"/>
      <c r="AD45" s="3" t="n"/>
      <c r="AE45" s="3" t="n"/>
    </row>
    <row r="46" ht="25" customHeight="1">
      <c r="A46" s="2" t="n"/>
      <c r="B46" s="2">
        <f>IFERROR(XLOOKUP(A46,'Intake Responses'!$A:$A,'Intake Responses'!$E:$E),"")</f>
        <v/>
      </c>
      <c r="C46" s="2">
        <f>IFERROR(XLOOKUP(A46,'Intake Responses'!$A:$A,'Intake Responses'!$D:$D),"")</f>
        <v/>
      </c>
      <c r="D46" s="2">
        <f>IFERROR(XLOOKUP(A46,'Intake Responses'!$A:$A,'Intake Responses'!$F:$F),"")</f>
        <v/>
      </c>
      <c r="E46" s="2" t="n"/>
      <c r="F46" s="2">
        <f>IFERROR(XLOOKUP(A46,'Intake Responses'!$A:$A,'Intake Responses'!$M:$M),"")</f>
        <v/>
      </c>
      <c r="G46" s="2">
        <f>IFERROR(XLOOKUP(A46,'Intake Responses'!$A:$A,'Intake Responses'!$N:$N),"")</f>
        <v/>
      </c>
      <c r="H46" s="2">
        <f>IFERROR(XLOOKUP(A46,'Intake Responses'!$A:$A,'Intake Responses'!$O:$O),"")</f>
        <v/>
      </c>
      <c r="I46" s="2">
        <f>IFERROR(SWITCH(F46,"Multiple times per day",60,"Daily",20,"Weekly",4,"Monthly",1,"Quarterly",0.33,"Ad hoc",0.5,"Unknown",0),0)</f>
        <v/>
      </c>
      <c r="J46" s="2">
        <f>IFERROR((G46*H46*I46)/60,0)</f>
        <v/>
      </c>
      <c r="K46" s="2">
        <f>IFERROR(J46*12,0)</f>
        <v/>
      </c>
      <c r="L46" s="2">
        <f>IFERROR(XLOOKUP(A46,'Intake Responses'!$A:$A,'Intake Responses'!$T:$T),"")</f>
        <v/>
      </c>
      <c r="M46" s="2">
        <f>IFERROR(XLOOKUP(A46,'Intake Responses'!$A:$A,'Intake Responses'!$U:$U),"")</f>
        <v/>
      </c>
      <c r="N46" s="2">
        <f>IFERROR(XLOOKUP(A46,'Intake Responses'!$A:$A,'Intake Responses'!$V:$V),"")</f>
        <v/>
      </c>
      <c r="O46" s="2">
        <f>IFERROR(XLOOKUP(A46,'Intake Responses'!$A:$A,'Intake Responses'!$W:$W),"")</f>
        <v/>
      </c>
      <c r="P46" s="2">
        <f>IFERROR(XLOOKUP(A46,'Intake Responses'!$A:$A,'Intake Responses'!$X:$X),"")</f>
        <v/>
      </c>
      <c r="Q46" s="2">
        <f>IFERROR(XLOOKUP(A46,'Intake Responses'!$A:$A,'Intake Responses'!$AF:$AF),"")</f>
        <v/>
      </c>
      <c r="R46" s="2">
        <f>IFERROR(XLOOKUP(A46,'Intake Responses'!$A:$A,'Intake Responses'!$S:$S),"")</f>
        <v/>
      </c>
      <c r="S46" s="2" t="n"/>
      <c r="T46" s="2" t="n"/>
      <c r="U46" s="2" t="n"/>
      <c r="V46" s="2">
        <f>IFERROR(MIN(5,ROUND(((M46+O46)/2)+(IF(J46&gt;=20,2,IF(J46&gt;=10,1.5,IF(J46&gt;=5,1,IF(J46&gt;=1,0.5,0))))),1)),0)</f>
        <v/>
      </c>
      <c r="W46" s="2">
        <f>IFERROR(SWITCH(F46,"Multiple times per day",5,"Daily",4,"Weekly",3,"Monthly",2,"Quarterly",1,"Ad hoc",1,"Unknown",0),0)</f>
        <v/>
      </c>
      <c r="X46" s="2">
        <f>IFERROR(ROUND(AVERAGE(L46,N46),1),0)</f>
        <v/>
      </c>
      <c r="Y46" s="2">
        <f>IFERROR(SWITCH(U46,"High",3,"Medium",2,"Low",0,"Unknown",1,1)+IF(Q46="Yes",2,IF(Q46="Unsure",1,0)),0)</f>
        <v/>
      </c>
      <c r="Z46" s="2">
        <f>IFERROR(ROUND((V46*2)+(W46*1)+(X46*2)+(IF(T46="Easy",2,IF(T46="Medium",1,IF(T46="Hard",-1,0))))-(Y46*2),1),0)</f>
        <v/>
      </c>
      <c r="AA46" s="2">
        <f>IFERROR(IF(S46="Not a fit","Not a Fit",IF(Y46&gt;=5,"High Risk / Needs Review",IF(AND(Z46&gt;=18,T46="Easy"),"Quick Win",IF(AND(Z46&gt;=18,T46&lt;&gt;"Easy"),"Strategic Project",IF(Z46&gt;=10,"Discovery Needed","Process Issue"))))),"")</f>
        <v/>
      </c>
      <c r="AB46" s="2">
        <f>IFERROR(SWITCH(AA46,"Quick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 s="2" t="n"/>
      <c r="AD46" s="2" t="n"/>
      <c r="AE46" s="2" t="n"/>
    </row>
    <row r="47" ht="25" customHeight="1">
      <c r="A47" s="3" t="n"/>
      <c r="B47" s="3">
        <f>IFERROR(XLOOKUP(A47,'Intake Responses'!$A:$A,'Intake Responses'!$E:$E),"")</f>
        <v/>
      </c>
      <c r="C47" s="3">
        <f>IFERROR(XLOOKUP(A47,'Intake Responses'!$A:$A,'Intake Responses'!$D:$D),"")</f>
        <v/>
      </c>
      <c r="D47" s="3">
        <f>IFERROR(XLOOKUP(A47,'Intake Responses'!$A:$A,'Intake Responses'!$F:$F),"")</f>
        <v/>
      </c>
      <c r="E47" s="3" t="n"/>
      <c r="F47" s="3">
        <f>IFERROR(XLOOKUP(A47,'Intake Responses'!$A:$A,'Intake Responses'!$M:$M),"")</f>
        <v/>
      </c>
      <c r="G47" s="3">
        <f>IFERROR(XLOOKUP(A47,'Intake Responses'!$A:$A,'Intake Responses'!$N:$N),"")</f>
        <v/>
      </c>
      <c r="H47" s="3">
        <f>IFERROR(XLOOKUP(A47,'Intake Responses'!$A:$A,'Intake Responses'!$O:$O),"")</f>
        <v/>
      </c>
      <c r="I47" s="3">
        <f>IFERROR(SWITCH(F47,"Multiple times per day",60,"Daily",20,"Weekly",4,"Monthly",1,"Quarterly",0.33,"Ad hoc",0.5,"Unknown",0),0)</f>
        <v/>
      </c>
      <c r="J47" s="3">
        <f>IFERROR((G47*H47*I47)/60,0)</f>
        <v/>
      </c>
      <c r="K47" s="3">
        <f>IFERROR(J47*12,0)</f>
        <v/>
      </c>
      <c r="L47" s="3">
        <f>IFERROR(XLOOKUP(A47,'Intake Responses'!$A:$A,'Intake Responses'!$T:$T),"")</f>
        <v/>
      </c>
      <c r="M47" s="3">
        <f>IFERROR(XLOOKUP(A47,'Intake Responses'!$A:$A,'Intake Responses'!$U:$U),"")</f>
        <v/>
      </c>
      <c r="N47" s="3">
        <f>IFERROR(XLOOKUP(A47,'Intake Responses'!$A:$A,'Intake Responses'!$V:$V),"")</f>
        <v/>
      </c>
      <c r="O47" s="3">
        <f>IFERROR(XLOOKUP(A47,'Intake Responses'!$A:$A,'Intake Responses'!$W:$W),"")</f>
        <v/>
      </c>
      <c r="P47" s="3">
        <f>IFERROR(XLOOKUP(A47,'Intake Responses'!$A:$A,'Intake Responses'!$X:$X),"")</f>
        <v/>
      </c>
      <c r="Q47" s="3">
        <f>IFERROR(XLOOKUP(A47,'Intake Responses'!$A:$A,'Intake Responses'!$AF:$AF),"")</f>
        <v/>
      </c>
      <c r="R47" s="3">
        <f>IFERROR(XLOOKUP(A47,'Intake Responses'!$A:$A,'Intake Responses'!$S:$S),"")</f>
        <v/>
      </c>
      <c r="S47" s="3" t="n"/>
      <c r="T47" s="3" t="n"/>
      <c r="U47" s="3" t="n"/>
      <c r="V47" s="3">
        <f>IFERROR(MIN(5,ROUND(((M47+O47)/2)+(IF(J47&gt;=20,2,IF(J47&gt;=10,1.5,IF(J47&gt;=5,1,IF(J47&gt;=1,0.5,0))))),1)),0)</f>
        <v/>
      </c>
      <c r="W47" s="3">
        <f>IFERROR(SWITCH(F47,"Multiple times per day",5,"Daily",4,"Weekly",3,"Monthly",2,"Quarterly",1,"Ad hoc",1,"Unknown",0),0)</f>
        <v/>
      </c>
      <c r="X47" s="3">
        <f>IFERROR(ROUND(AVERAGE(L47,N47),1),0)</f>
        <v/>
      </c>
      <c r="Y47" s="3">
        <f>IFERROR(SWITCH(U47,"High",3,"Medium",2,"Low",0,"Unknown",1,1)+IF(Q47="Yes",2,IF(Q47="Unsure",1,0)),0)</f>
        <v/>
      </c>
      <c r="Z47" s="3">
        <f>IFERROR(ROUND((V47*2)+(W47*1)+(X47*2)+(IF(T47="Easy",2,IF(T47="Medium",1,IF(T47="Hard",-1,0))))-(Y47*2),1),0)</f>
        <v/>
      </c>
      <c r="AA47" s="3">
        <f>IFERROR(IF(S47="Not a fit","Not a Fit",IF(Y47&gt;=5,"High Risk / Needs Review",IF(AND(Z47&gt;=18,T47="Easy"),"Quick Win",IF(AND(Z47&gt;=18,T47&lt;&gt;"Easy"),"Strategic Project",IF(Z47&gt;=10,"Discovery Needed","Process Issue"))))),"")</f>
        <v/>
      </c>
      <c r="AB47" s="3">
        <f>IFERROR(SWITCH(AA47,"Quick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 s="3" t="n"/>
      <c r="AD47" s="3" t="n"/>
      <c r="AE47" s="3" t="n"/>
    </row>
    <row r="48" ht="25" customHeight="1">
      <c r="A48" s="2" t="n"/>
      <c r="B48" s="2">
        <f>IFERROR(XLOOKUP(A48,'Intake Responses'!$A:$A,'Intake Responses'!$E:$E),"")</f>
        <v/>
      </c>
      <c r="C48" s="2">
        <f>IFERROR(XLOOKUP(A48,'Intake Responses'!$A:$A,'Intake Responses'!$D:$D),"")</f>
        <v/>
      </c>
      <c r="D48" s="2">
        <f>IFERROR(XLOOKUP(A48,'Intake Responses'!$A:$A,'Intake Responses'!$F:$F),"")</f>
        <v/>
      </c>
      <c r="E48" s="2" t="n"/>
      <c r="F48" s="2">
        <f>IFERROR(XLOOKUP(A48,'Intake Responses'!$A:$A,'Intake Responses'!$M:$M),"")</f>
        <v/>
      </c>
      <c r="G48" s="2">
        <f>IFERROR(XLOOKUP(A48,'Intake Responses'!$A:$A,'Intake Responses'!$N:$N),"")</f>
        <v/>
      </c>
      <c r="H48" s="2">
        <f>IFERROR(XLOOKUP(A48,'Intake Responses'!$A:$A,'Intake Responses'!$O:$O),"")</f>
        <v/>
      </c>
      <c r="I48" s="2">
        <f>IFERROR(SWITCH(F48,"Multiple times per day",60,"Daily",20,"Weekly",4,"Monthly",1,"Quarterly",0.33,"Ad hoc",0.5,"Unknown",0),0)</f>
        <v/>
      </c>
      <c r="J48" s="2">
        <f>IFERROR((G48*H48*I48)/60,0)</f>
        <v/>
      </c>
      <c r="K48" s="2">
        <f>IFERROR(J48*12,0)</f>
        <v/>
      </c>
      <c r="L48" s="2">
        <f>IFERROR(XLOOKUP(A48,'Intake Responses'!$A:$A,'Intake Responses'!$T:$T),"")</f>
        <v/>
      </c>
      <c r="M48" s="2">
        <f>IFERROR(XLOOKUP(A48,'Intake Responses'!$A:$A,'Intake Responses'!$U:$U),"")</f>
        <v/>
      </c>
      <c r="N48" s="2">
        <f>IFERROR(XLOOKUP(A48,'Intake Responses'!$A:$A,'Intake Responses'!$V:$V),"")</f>
        <v/>
      </c>
      <c r="O48" s="2">
        <f>IFERROR(XLOOKUP(A48,'Intake Responses'!$A:$A,'Intake Responses'!$W:$W),"")</f>
        <v/>
      </c>
      <c r="P48" s="2">
        <f>IFERROR(XLOOKUP(A48,'Intake Responses'!$A:$A,'Intake Responses'!$X:$X),"")</f>
        <v/>
      </c>
      <c r="Q48" s="2">
        <f>IFERROR(XLOOKUP(A48,'Intake Responses'!$A:$A,'Intake Responses'!$AF:$AF),"")</f>
        <v/>
      </c>
      <c r="R48" s="2">
        <f>IFERROR(XLOOKUP(A48,'Intake Responses'!$A:$A,'Intake Responses'!$S:$S),"")</f>
        <v/>
      </c>
      <c r="S48" s="2" t="n"/>
      <c r="T48" s="2" t="n"/>
      <c r="U48" s="2" t="n"/>
      <c r="V48" s="2">
        <f>IFERROR(MIN(5,ROUND(((M48+O48)/2)+(IF(J48&gt;=20,2,IF(J48&gt;=10,1.5,IF(J48&gt;=5,1,IF(J48&gt;=1,0.5,0))))),1)),0)</f>
        <v/>
      </c>
      <c r="W48" s="2">
        <f>IFERROR(SWITCH(F48,"Multiple times per day",5,"Daily",4,"Weekly",3,"Monthly",2,"Quarterly",1,"Ad hoc",1,"Unknown",0),0)</f>
        <v/>
      </c>
      <c r="X48" s="2">
        <f>IFERROR(ROUND(AVERAGE(L48,N48),1),0)</f>
        <v/>
      </c>
      <c r="Y48" s="2">
        <f>IFERROR(SWITCH(U48,"High",3,"Medium",2,"Low",0,"Unknown",1,1)+IF(Q48="Yes",2,IF(Q48="Unsure",1,0)),0)</f>
        <v/>
      </c>
      <c r="Z48" s="2">
        <f>IFERROR(ROUND((V48*2)+(W48*1)+(X48*2)+(IF(T48="Easy",2,IF(T48="Medium",1,IF(T48="Hard",-1,0))))-(Y48*2),1),0)</f>
        <v/>
      </c>
      <c r="AA48" s="2">
        <f>IFERROR(IF(S48="Not a fit","Not a Fit",IF(Y48&gt;=5,"High Risk / Needs Review",IF(AND(Z48&gt;=18,T48="Easy"),"Quick Win",IF(AND(Z48&gt;=18,T48&lt;&gt;"Easy"),"Strategic Project",IF(Z48&gt;=10,"Discovery Needed","Process Issue"))))),"")</f>
        <v/>
      </c>
      <c r="AB48" s="2">
        <f>IFERROR(SWITCH(AA48,"Quick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 s="2" t="n"/>
      <c r="AD48" s="2" t="n"/>
      <c r="AE48" s="2" t="n"/>
    </row>
    <row r="49" ht="25" customHeight="1">
      <c r="A49" s="3" t="n"/>
      <c r="B49" s="3">
        <f>IFERROR(XLOOKUP(A49,'Intake Responses'!$A:$A,'Intake Responses'!$E:$E),"")</f>
        <v/>
      </c>
      <c r="C49" s="3">
        <f>IFERROR(XLOOKUP(A49,'Intake Responses'!$A:$A,'Intake Responses'!$D:$D),"")</f>
        <v/>
      </c>
      <c r="D49" s="3">
        <f>IFERROR(XLOOKUP(A49,'Intake Responses'!$A:$A,'Intake Responses'!$F:$F),"")</f>
        <v/>
      </c>
      <c r="E49" s="3" t="n"/>
      <c r="F49" s="3">
        <f>IFERROR(XLOOKUP(A49,'Intake Responses'!$A:$A,'Intake Responses'!$M:$M),"")</f>
        <v/>
      </c>
      <c r="G49" s="3">
        <f>IFERROR(XLOOKUP(A49,'Intake Responses'!$A:$A,'Intake Responses'!$N:$N),"")</f>
        <v/>
      </c>
      <c r="H49" s="3">
        <f>IFERROR(XLOOKUP(A49,'Intake Responses'!$A:$A,'Intake Responses'!$O:$O),"")</f>
        <v/>
      </c>
      <c r="I49" s="3">
        <f>IFERROR(SWITCH(F49,"Multiple times per day",60,"Daily",20,"Weekly",4,"Monthly",1,"Quarterly",0.33,"Ad hoc",0.5,"Unknown",0),0)</f>
        <v/>
      </c>
      <c r="J49" s="3">
        <f>IFERROR((G49*H49*I49)/60,0)</f>
        <v/>
      </c>
      <c r="K49" s="3">
        <f>IFERROR(J49*12,0)</f>
        <v/>
      </c>
      <c r="L49" s="3">
        <f>IFERROR(XLOOKUP(A49,'Intake Responses'!$A:$A,'Intake Responses'!$T:$T),"")</f>
        <v/>
      </c>
      <c r="M49" s="3">
        <f>IFERROR(XLOOKUP(A49,'Intake Responses'!$A:$A,'Intake Responses'!$U:$U),"")</f>
        <v/>
      </c>
      <c r="N49" s="3">
        <f>IFERROR(XLOOKUP(A49,'Intake Responses'!$A:$A,'Intake Responses'!$V:$V),"")</f>
        <v/>
      </c>
      <c r="O49" s="3">
        <f>IFERROR(XLOOKUP(A49,'Intake Responses'!$A:$A,'Intake Responses'!$W:$W),"")</f>
        <v/>
      </c>
      <c r="P49" s="3">
        <f>IFERROR(XLOOKUP(A49,'Intake Responses'!$A:$A,'Intake Responses'!$X:$X),"")</f>
        <v/>
      </c>
      <c r="Q49" s="3">
        <f>IFERROR(XLOOKUP(A49,'Intake Responses'!$A:$A,'Intake Responses'!$AF:$AF),"")</f>
        <v/>
      </c>
      <c r="R49" s="3">
        <f>IFERROR(XLOOKUP(A49,'Intake Responses'!$A:$A,'Intake Responses'!$S:$S),"")</f>
        <v/>
      </c>
      <c r="S49" s="3" t="n"/>
      <c r="T49" s="3" t="n"/>
      <c r="U49" s="3" t="n"/>
      <c r="V49" s="3">
        <f>IFERROR(MIN(5,ROUND(((M49+O49)/2)+(IF(J49&gt;=20,2,IF(J49&gt;=10,1.5,IF(J49&gt;=5,1,IF(J49&gt;=1,0.5,0))))),1)),0)</f>
        <v/>
      </c>
      <c r="W49" s="3">
        <f>IFERROR(SWITCH(F49,"Multiple times per day",5,"Daily",4,"Weekly",3,"Monthly",2,"Quarterly",1,"Ad hoc",1,"Unknown",0),0)</f>
        <v/>
      </c>
      <c r="X49" s="3">
        <f>IFERROR(ROUND(AVERAGE(L49,N49),1),0)</f>
        <v/>
      </c>
      <c r="Y49" s="3">
        <f>IFERROR(SWITCH(U49,"High",3,"Medium",2,"Low",0,"Unknown",1,1)+IF(Q49="Yes",2,IF(Q49="Unsure",1,0)),0)</f>
        <v/>
      </c>
      <c r="Z49" s="3">
        <f>IFERROR(ROUND((V49*2)+(W49*1)+(X49*2)+(IF(T49="Easy",2,IF(T49="Medium",1,IF(T49="Hard",-1,0))))-(Y49*2),1),0)</f>
        <v/>
      </c>
      <c r="AA49" s="3">
        <f>IFERROR(IF(S49="Not a fit","Not a Fit",IF(Y49&gt;=5,"High Risk / Needs Review",IF(AND(Z49&gt;=18,T49="Easy"),"Quick Win",IF(AND(Z49&gt;=18,T49&lt;&gt;"Easy"),"Strategic Project",IF(Z49&gt;=10,"Discovery Needed","Process Issue"))))),"")</f>
        <v/>
      </c>
      <c r="AB49" s="3">
        <f>IFERROR(SWITCH(AA49,"Quick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 s="3" t="n"/>
      <c r="AD49" s="3" t="n"/>
      <c r="AE49" s="3" t="n"/>
    </row>
    <row r="50" ht="25" customHeight="1">
      <c r="A50" s="2" t="n"/>
      <c r="B50" s="2">
        <f>IFERROR(XLOOKUP(A50,'Intake Responses'!$A:$A,'Intake Responses'!$E:$E),"")</f>
        <v/>
      </c>
      <c r="C50" s="2">
        <f>IFERROR(XLOOKUP(A50,'Intake Responses'!$A:$A,'Intake Responses'!$D:$D),"")</f>
        <v/>
      </c>
      <c r="D50" s="2">
        <f>IFERROR(XLOOKUP(A50,'Intake Responses'!$A:$A,'Intake Responses'!$F:$F),"")</f>
        <v/>
      </c>
      <c r="E50" s="2" t="n"/>
      <c r="F50" s="2">
        <f>IFERROR(XLOOKUP(A50,'Intake Responses'!$A:$A,'Intake Responses'!$M:$M),"")</f>
        <v/>
      </c>
      <c r="G50" s="2">
        <f>IFERROR(XLOOKUP(A50,'Intake Responses'!$A:$A,'Intake Responses'!$N:$N),"")</f>
        <v/>
      </c>
      <c r="H50" s="2">
        <f>IFERROR(XLOOKUP(A50,'Intake Responses'!$A:$A,'Intake Responses'!$O:$O),"")</f>
        <v/>
      </c>
      <c r="I50" s="2">
        <f>IFERROR(SWITCH(F50,"Multiple times per day",60,"Daily",20,"Weekly",4,"Monthly",1,"Quarterly",0.33,"Ad hoc",0.5,"Unknown",0),0)</f>
        <v/>
      </c>
      <c r="J50" s="2">
        <f>IFERROR((G50*H50*I50)/60,0)</f>
        <v/>
      </c>
      <c r="K50" s="2">
        <f>IFERROR(J50*12,0)</f>
        <v/>
      </c>
      <c r="L50" s="2">
        <f>IFERROR(XLOOKUP(A50,'Intake Responses'!$A:$A,'Intake Responses'!$T:$T),"")</f>
        <v/>
      </c>
      <c r="M50" s="2">
        <f>IFERROR(XLOOKUP(A50,'Intake Responses'!$A:$A,'Intake Responses'!$U:$U),"")</f>
        <v/>
      </c>
      <c r="N50" s="2">
        <f>IFERROR(XLOOKUP(A50,'Intake Responses'!$A:$A,'Intake Responses'!$V:$V),"")</f>
        <v/>
      </c>
      <c r="O50" s="2">
        <f>IFERROR(XLOOKUP(A50,'Intake Responses'!$A:$A,'Intake Responses'!$W:$W),"")</f>
        <v/>
      </c>
      <c r="P50" s="2">
        <f>IFERROR(XLOOKUP(A50,'Intake Responses'!$A:$A,'Intake Responses'!$X:$X),"")</f>
        <v/>
      </c>
      <c r="Q50" s="2">
        <f>IFERROR(XLOOKUP(A50,'Intake Responses'!$A:$A,'Intake Responses'!$AF:$AF),"")</f>
        <v/>
      </c>
      <c r="R50" s="2">
        <f>IFERROR(XLOOKUP(A50,'Intake Responses'!$A:$A,'Intake Responses'!$S:$S),"")</f>
        <v/>
      </c>
      <c r="S50" s="2" t="n"/>
      <c r="T50" s="2" t="n"/>
      <c r="U50" s="2" t="n"/>
      <c r="V50" s="2">
        <f>IFERROR(MIN(5,ROUND(((M50+O50)/2)+(IF(J50&gt;=20,2,IF(J50&gt;=10,1.5,IF(J50&gt;=5,1,IF(J50&gt;=1,0.5,0))))),1)),0)</f>
        <v/>
      </c>
      <c r="W50" s="2">
        <f>IFERROR(SWITCH(F50,"Multiple times per day",5,"Daily",4,"Weekly",3,"Monthly",2,"Quarterly",1,"Ad hoc",1,"Unknown",0),0)</f>
        <v/>
      </c>
      <c r="X50" s="2">
        <f>IFERROR(ROUND(AVERAGE(L50,N50),1),0)</f>
        <v/>
      </c>
      <c r="Y50" s="2">
        <f>IFERROR(SWITCH(U50,"High",3,"Medium",2,"Low",0,"Unknown",1,1)+IF(Q50="Yes",2,IF(Q50="Unsure",1,0)),0)</f>
        <v/>
      </c>
      <c r="Z50" s="2">
        <f>IFERROR(ROUND((V50*2)+(W50*1)+(X50*2)+(IF(T50="Easy",2,IF(T50="Medium",1,IF(T50="Hard",-1,0))))-(Y50*2),1),0)</f>
        <v/>
      </c>
      <c r="AA50" s="2">
        <f>IFERROR(IF(S50="Not a fit","Not a Fit",IF(Y50&gt;=5,"High Risk / Needs Review",IF(AND(Z50&gt;=18,T50="Easy"),"Quick Win",IF(AND(Z50&gt;=18,T50&lt;&gt;"Easy"),"Strategic Project",IF(Z50&gt;=10,"Discovery Needed","Process Issue"))))),"")</f>
        <v/>
      </c>
      <c r="AB50" s="2">
        <f>IFERROR(SWITCH(AA50,"Quick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0" s="2" t="n"/>
      <c r="AD50" s="2" t="n"/>
      <c r="AE50" s="2" t="n"/>
    </row>
    <row r="51" ht="25" customHeight="1">
      <c r="A51" s="3" t="n"/>
      <c r="B51" s="3">
        <f>IFERROR(XLOOKUP(A51,'Intake Responses'!$A:$A,'Intake Responses'!$E:$E),"")</f>
        <v/>
      </c>
      <c r="C51" s="3">
        <f>IFERROR(XLOOKUP(A51,'Intake Responses'!$A:$A,'Intake Responses'!$D:$D),"")</f>
        <v/>
      </c>
      <c r="D51" s="3">
        <f>IFERROR(XLOOKUP(A51,'Intake Responses'!$A:$A,'Intake Responses'!$F:$F),"")</f>
        <v/>
      </c>
      <c r="E51" s="3" t="n"/>
      <c r="F51" s="3">
        <f>IFERROR(XLOOKUP(A51,'Intake Responses'!$A:$A,'Intake Responses'!$M:$M),"")</f>
        <v/>
      </c>
      <c r="G51" s="3">
        <f>IFERROR(XLOOKUP(A51,'Intake Responses'!$A:$A,'Intake Responses'!$N:$N),"")</f>
        <v/>
      </c>
      <c r="H51" s="3">
        <f>IFERROR(XLOOKUP(A51,'Intake Responses'!$A:$A,'Intake Responses'!$O:$O),"")</f>
        <v/>
      </c>
      <c r="I51" s="3">
        <f>IFERROR(SWITCH(F51,"Multiple times per day",60,"Daily",20,"Weekly",4,"Monthly",1,"Quarterly",0.33,"Ad hoc",0.5,"Unknown",0),0)</f>
        <v/>
      </c>
      <c r="J51" s="3">
        <f>IFERROR((G51*H51*I51)/60,0)</f>
        <v/>
      </c>
      <c r="K51" s="3">
        <f>IFERROR(J51*12,0)</f>
        <v/>
      </c>
      <c r="L51" s="3">
        <f>IFERROR(XLOOKUP(A51,'Intake Responses'!$A:$A,'Intake Responses'!$T:$T),"")</f>
        <v/>
      </c>
      <c r="M51" s="3">
        <f>IFERROR(XLOOKUP(A51,'Intake Responses'!$A:$A,'Intake Responses'!$U:$U),"")</f>
        <v/>
      </c>
      <c r="N51" s="3">
        <f>IFERROR(XLOOKUP(A51,'Intake Responses'!$A:$A,'Intake Responses'!$V:$V),"")</f>
        <v/>
      </c>
      <c r="O51" s="3">
        <f>IFERROR(XLOOKUP(A51,'Intake Responses'!$A:$A,'Intake Responses'!$W:$W),"")</f>
        <v/>
      </c>
      <c r="P51" s="3">
        <f>IFERROR(XLOOKUP(A51,'Intake Responses'!$A:$A,'Intake Responses'!$X:$X),"")</f>
        <v/>
      </c>
      <c r="Q51" s="3">
        <f>IFERROR(XLOOKUP(A51,'Intake Responses'!$A:$A,'Intake Responses'!$AF:$AF),"")</f>
        <v/>
      </c>
      <c r="R51" s="3">
        <f>IFERROR(XLOOKUP(A51,'Intake Responses'!$A:$A,'Intake Responses'!$S:$S),"")</f>
        <v/>
      </c>
      <c r="S51" s="3" t="n"/>
      <c r="T51" s="3" t="n"/>
      <c r="U51" s="3" t="n"/>
      <c r="V51" s="3">
        <f>IFERROR(MIN(5,ROUND(((M51+O51)/2)+(IF(J51&gt;=20,2,IF(J51&gt;=10,1.5,IF(J51&gt;=5,1,IF(J51&gt;=1,0.5,0))))),1)),0)</f>
        <v/>
      </c>
      <c r="W51" s="3">
        <f>IFERROR(SWITCH(F51,"Multiple times per day",5,"Daily",4,"Weekly",3,"Monthly",2,"Quarterly",1,"Ad hoc",1,"Unknown",0),0)</f>
        <v/>
      </c>
      <c r="X51" s="3">
        <f>IFERROR(ROUND(AVERAGE(L51,N51),1),0)</f>
        <v/>
      </c>
      <c r="Y51" s="3">
        <f>IFERROR(SWITCH(U51,"High",3,"Medium",2,"Low",0,"Unknown",1,1)+IF(Q51="Yes",2,IF(Q51="Unsure",1,0)),0)</f>
        <v/>
      </c>
      <c r="Z51" s="3">
        <f>IFERROR(ROUND((V51*2)+(W51*1)+(X51*2)+(IF(T51="Easy",2,IF(T51="Medium",1,IF(T51="Hard",-1,0))))-(Y51*2),1),0)</f>
        <v/>
      </c>
      <c r="AA51" s="3">
        <f>IFERROR(IF(S51="Not a fit","Not a Fit",IF(Y51&gt;=5,"High Risk / Needs Review",IF(AND(Z51&gt;=18,T51="Easy"),"Quick Win",IF(AND(Z51&gt;=18,T51&lt;&gt;"Easy"),"Strategic Project",IF(Z51&gt;=10,"Discovery Needed","Process Issue"))))),"")</f>
        <v/>
      </c>
      <c r="AB51" s="3">
        <f>IFERROR(SWITCH(AA51,"Quick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1" s="3" t="n"/>
      <c r="AD51" s="3" t="n"/>
      <c r="AE51" s="3" t="n"/>
    </row>
    <row r="52" ht="25" customHeight="1">
      <c r="A52" s="2" t="n"/>
      <c r="B52" s="2">
        <f>IFERROR(XLOOKUP(A52,'Intake Responses'!$A:$A,'Intake Responses'!$E:$E),"")</f>
        <v/>
      </c>
      <c r="C52" s="2">
        <f>IFERROR(XLOOKUP(A52,'Intake Responses'!$A:$A,'Intake Responses'!$D:$D),"")</f>
        <v/>
      </c>
      <c r="D52" s="2">
        <f>IFERROR(XLOOKUP(A52,'Intake Responses'!$A:$A,'Intake Responses'!$F:$F),"")</f>
        <v/>
      </c>
      <c r="E52" s="2" t="n"/>
      <c r="F52" s="2">
        <f>IFERROR(XLOOKUP(A52,'Intake Responses'!$A:$A,'Intake Responses'!$M:$M),"")</f>
        <v/>
      </c>
      <c r="G52" s="2">
        <f>IFERROR(XLOOKUP(A52,'Intake Responses'!$A:$A,'Intake Responses'!$N:$N),"")</f>
        <v/>
      </c>
      <c r="H52" s="2">
        <f>IFERROR(XLOOKUP(A52,'Intake Responses'!$A:$A,'Intake Responses'!$O:$O),"")</f>
        <v/>
      </c>
      <c r="I52" s="2">
        <f>IFERROR(SWITCH(F52,"Multiple times per day",60,"Daily",20,"Weekly",4,"Monthly",1,"Quarterly",0.33,"Ad hoc",0.5,"Unknown",0),0)</f>
        <v/>
      </c>
      <c r="J52" s="2">
        <f>IFERROR((G52*H52*I52)/60,0)</f>
        <v/>
      </c>
      <c r="K52" s="2">
        <f>IFERROR(J52*12,0)</f>
        <v/>
      </c>
      <c r="L52" s="2">
        <f>IFERROR(XLOOKUP(A52,'Intake Responses'!$A:$A,'Intake Responses'!$T:$T),"")</f>
        <v/>
      </c>
      <c r="M52" s="2">
        <f>IFERROR(XLOOKUP(A52,'Intake Responses'!$A:$A,'Intake Responses'!$U:$U),"")</f>
        <v/>
      </c>
      <c r="N52" s="2">
        <f>IFERROR(XLOOKUP(A52,'Intake Responses'!$A:$A,'Intake Responses'!$V:$V),"")</f>
        <v/>
      </c>
      <c r="O52" s="2">
        <f>IFERROR(XLOOKUP(A52,'Intake Responses'!$A:$A,'Intake Responses'!$W:$W),"")</f>
        <v/>
      </c>
      <c r="P52" s="2">
        <f>IFERROR(XLOOKUP(A52,'Intake Responses'!$A:$A,'Intake Responses'!$X:$X),"")</f>
        <v/>
      </c>
      <c r="Q52" s="2">
        <f>IFERROR(XLOOKUP(A52,'Intake Responses'!$A:$A,'Intake Responses'!$AF:$AF),"")</f>
        <v/>
      </c>
      <c r="R52" s="2">
        <f>IFERROR(XLOOKUP(A52,'Intake Responses'!$A:$A,'Intake Responses'!$S:$S),"")</f>
        <v/>
      </c>
      <c r="S52" s="2" t="n"/>
      <c r="T52" s="2" t="n"/>
      <c r="U52" s="2" t="n"/>
      <c r="V52" s="2">
        <f>IFERROR(MIN(5,ROUND(((M52+O52)/2)+(IF(J52&gt;=20,2,IF(J52&gt;=10,1.5,IF(J52&gt;=5,1,IF(J52&gt;=1,0.5,0))))),1)),0)</f>
        <v/>
      </c>
      <c r="W52" s="2">
        <f>IFERROR(SWITCH(F52,"Multiple times per day",5,"Daily",4,"Weekly",3,"Monthly",2,"Quarterly",1,"Ad hoc",1,"Unknown",0),0)</f>
        <v/>
      </c>
      <c r="X52" s="2">
        <f>IFERROR(ROUND(AVERAGE(L52,N52),1),0)</f>
        <v/>
      </c>
      <c r="Y52" s="2">
        <f>IFERROR(SWITCH(U52,"High",3,"Medium",2,"Low",0,"Unknown",1,1)+IF(Q52="Yes",2,IF(Q52="Unsure",1,0)),0)</f>
        <v/>
      </c>
      <c r="Z52" s="2">
        <f>IFERROR(ROUND((V52*2)+(W52*1)+(X52*2)+(IF(T52="Easy",2,IF(T52="Medium",1,IF(T52="Hard",-1,0))))-(Y52*2),1),0)</f>
        <v/>
      </c>
      <c r="AA52" s="2">
        <f>IFERROR(IF(S52="Not a fit","Not a Fit",IF(Y52&gt;=5,"High Risk / Needs Review",IF(AND(Z52&gt;=18,T52="Easy"),"Quick Win",IF(AND(Z52&gt;=18,T52&lt;&gt;"Easy"),"Strategic Project",IF(Z52&gt;=10,"Discovery Needed","Process Issue"))))),"")</f>
        <v/>
      </c>
      <c r="AB52" s="2">
        <f>IFERROR(SWITCH(AA52,"Quick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2" s="2" t="n"/>
      <c r="AD52" s="2" t="n"/>
      <c r="AE52" s="2" t="n"/>
    </row>
    <row r="53" ht="25" customHeight="1">
      <c r="A53" s="3" t="n"/>
      <c r="B53" s="3">
        <f>IFERROR(XLOOKUP(A53,'Intake Responses'!$A:$A,'Intake Responses'!$E:$E),"")</f>
        <v/>
      </c>
      <c r="C53" s="3">
        <f>IFERROR(XLOOKUP(A53,'Intake Responses'!$A:$A,'Intake Responses'!$D:$D),"")</f>
        <v/>
      </c>
      <c r="D53" s="3">
        <f>IFERROR(XLOOKUP(A53,'Intake Responses'!$A:$A,'Intake Responses'!$F:$F),"")</f>
        <v/>
      </c>
      <c r="E53" s="3" t="n"/>
      <c r="F53" s="3">
        <f>IFERROR(XLOOKUP(A53,'Intake Responses'!$A:$A,'Intake Responses'!$M:$M),"")</f>
        <v/>
      </c>
      <c r="G53" s="3">
        <f>IFERROR(XLOOKUP(A53,'Intake Responses'!$A:$A,'Intake Responses'!$N:$N),"")</f>
        <v/>
      </c>
      <c r="H53" s="3">
        <f>IFERROR(XLOOKUP(A53,'Intake Responses'!$A:$A,'Intake Responses'!$O:$O),"")</f>
        <v/>
      </c>
      <c r="I53" s="3">
        <f>IFERROR(SWITCH(F53,"Multiple times per day",60,"Daily",20,"Weekly",4,"Monthly",1,"Quarterly",0.33,"Ad hoc",0.5,"Unknown",0),0)</f>
        <v/>
      </c>
      <c r="J53" s="3">
        <f>IFERROR((G53*H53*I53)/60,0)</f>
        <v/>
      </c>
      <c r="K53" s="3">
        <f>IFERROR(J53*12,0)</f>
        <v/>
      </c>
      <c r="L53" s="3">
        <f>IFERROR(XLOOKUP(A53,'Intake Responses'!$A:$A,'Intake Responses'!$T:$T),"")</f>
        <v/>
      </c>
      <c r="M53" s="3">
        <f>IFERROR(XLOOKUP(A53,'Intake Responses'!$A:$A,'Intake Responses'!$U:$U),"")</f>
        <v/>
      </c>
      <c r="N53" s="3">
        <f>IFERROR(XLOOKUP(A53,'Intake Responses'!$A:$A,'Intake Responses'!$V:$V),"")</f>
        <v/>
      </c>
      <c r="O53" s="3">
        <f>IFERROR(XLOOKUP(A53,'Intake Responses'!$A:$A,'Intake Responses'!$W:$W),"")</f>
        <v/>
      </c>
      <c r="P53" s="3">
        <f>IFERROR(XLOOKUP(A53,'Intake Responses'!$A:$A,'Intake Responses'!$X:$X),"")</f>
        <v/>
      </c>
      <c r="Q53" s="3">
        <f>IFERROR(XLOOKUP(A53,'Intake Responses'!$A:$A,'Intake Responses'!$AF:$AF),"")</f>
        <v/>
      </c>
      <c r="R53" s="3">
        <f>IFERROR(XLOOKUP(A53,'Intake Responses'!$A:$A,'Intake Responses'!$S:$S),"")</f>
        <v/>
      </c>
      <c r="S53" s="3" t="n"/>
      <c r="T53" s="3" t="n"/>
      <c r="U53" s="3" t="n"/>
      <c r="V53" s="3">
        <f>IFERROR(MIN(5,ROUND(((M53+O53)/2)+(IF(J53&gt;=20,2,IF(J53&gt;=10,1.5,IF(J53&gt;=5,1,IF(J53&gt;=1,0.5,0))))),1)),0)</f>
        <v/>
      </c>
      <c r="W53" s="3">
        <f>IFERROR(SWITCH(F53,"Multiple times per day",5,"Daily",4,"Weekly",3,"Monthly",2,"Quarterly",1,"Ad hoc",1,"Unknown",0),0)</f>
        <v/>
      </c>
      <c r="X53" s="3">
        <f>IFERROR(ROUND(AVERAGE(L53,N53),1),0)</f>
        <v/>
      </c>
      <c r="Y53" s="3">
        <f>IFERROR(SWITCH(U53,"High",3,"Medium",2,"Low",0,"Unknown",1,1)+IF(Q53="Yes",2,IF(Q53="Unsure",1,0)),0)</f>
        <v/>
      </c>
      <c r="Z53" s="3">
        <f>IFERROR(ROUND((V53*2)+(W53*1)+(X53*2)+(IF(T53="Easy",2,IF(T53="Medium",1,IF(T53="Hard",-1,0))))-(Y53*2),1),0)</f>
        <v/>
      </c>
      <c r="AA53" s="3">
        <f>IFERROR(IF(S53="Not a fit","Not a Fit",IF(Y53&gt;=5,"High Risk / Needs Review",IF(AND(Z53&gt;=18,T53="Easy"),"Quick Win",IF(AND(Z53&gt;=18,T53&lt;&gt;"Easy"),"Strategic Project",IF(Z53&gt;=10,"Discovery Needed","Process Issue"))))),"")</f>
        <v/>
      </c>
      <c r="AB53" s="3">
        <f>IFERROR(SWITCH(AA53,"Quick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3" s="3" t="n"/>
      <c r="AD53" s="3" t="n"/>
      <c r="AE53" s="3" t="n"/>
    </row>
    <row r="54" ht="25" customHeight="1">
      <c r="A54" s="2" t="n"/>
      <c r="B54" s="2">
        <f>IFERROR(XLOOKUP(A54,'Intake Responses'!$A:$A,'Intake Responses'!$E:$E),"")</f>
        <v/>
      </c>
      <c r="C54" s="2">
        <f>IFERROR(XLOOKUP(A54,'Intake Responses'!$A:$A,'Intake Responses'!$D:$D),"")</f>
        <v/>
      </c>
      <c r="D54" s="2">
        <f>IFERROR(XLOOKUP(A54,'Intake Responses'!$A:$A,'Intake Responses'!$F:$F),"")</f>
        <v/>
      </c>
      <c r="E54" s="2" t="n"/>
      <c r="F54" s="2">
        <f>IFERROR(XLOOKUP(A54,'Intake Responses'!$A:$A,'Intake Responses'!$M:$M),"")</f>
        <v/>
      </c>
      <c r="G54" s="2">
        <f>IFERROR(XLOOKUP(A54,'Intake Responses'!$A:$A,'Intake Responses'!$N:$N),"")</f>
        <v/>
      </c>
      <c r="H54" s="2">
        <f>IFERROR(XLOOKUP(A54,'Intake Responses'!$A:$A,'Intake Responses'!$O:$O),"")</f>
        <v/>
      </c>
      <c r="I54" s="2">
        <f>IFERROR(SWITCH(F54,"Multiple times per day",60,"Daily",20,"Weekly",4,"Monthly",1,"Quarterly",0.33,"Ad hoc",0.5,"Unknown",0),0)</f>
        <v/>
      </c>
      <c r="J54" s="2">
        <f>IFERROR((G54*H54*I54)/60,0)</f>
        <v/>
      </c>
      <c r="K54" s="2">
        <f>IFERROR(J54*12,0)</f>
        <v/>
      </c>
      <c r="L54" s="2">
        <f>IFERROR(XLOOKUP(A54,'Intake Responses'!$A:$A,'Intake Responses'!$T:$T),"")</f>
        <v/>
      </c>
      <c r="M54" s="2">
        <f>IFERROR(XLOOKUP(A54,'Intake Responses'!$A:$A,'Intake Responses'!$U:$U),"")</f>
        <v/>
      </c>
      <c r="N54" s="2">
        <f>IFERROR(XLOOKUP(A54,'Intake Responses'!$A:$A,'Intake Responses'!$V:$V),"")</f>
        <v/>
      </c>
      <c r="O54" s="2">
        <f>IFERROR(XLOOKUP(A54,'Intake Responses'!$A:$A,'Intake Responses'!$W:$W),"")</f>
        <v/>
      </c>
      <c r="P54" s="2">
        <f>IFERROR(XLOOKUP(A54,'Intake Responses'!$A:$A,'Intake Responses'!$X:$X),"")</f>
        <v/>
      </c>
      <c r="Q54" s="2">
        <f>IFERROR(XLOOKUP(A54,'Intake Responses'!$A:$A,'Intake Responses'!$AF:$AF),"")</f>
        <v/>
      </c>
      <c r="R54" s="2">
        <f>IFERROR(XLOOKUP(A54,'Intake Responses'!$A:$A,'Intake Responses'!$S:$S),"")</f>
        <v/>
      </c>
      <c r="S54" s="2" t="n"/>
      <c r="T54" s="2" t="n"/>
      <c r="U54" s="2" t="n"/>
      <c r="V54" s="2">
        <f>IFERROR(MIN(5,ROUND(((M54+O54)/2)+(IF(J54&gt;=20,2,IF(J54&gt;=10,1.5,IF(J54&gt;=5,1,IF(J54&gt;=1,0.5,0))))),1)),0)</f>
        <v/>
      </c>
      <c r="W54" s="2">
        <f>IFERROR(SWITCH(F54,"Multiple times per day",5,"Daily",4,"Weekly",3,"Monthly",2,"Quarterly",1,"Ad hoc",1,"Unknown",0),0)</f>
        <v/>
      </c>
      <c r="X54" s="2">
        <f>IFERROR(ROUND(AVERAGE(L54,N54),1),0)</f>
        <v/>
      </c>
      <c r="Y54" s="2">
        <f>IFERROR(SWITCH(U54,"High",3,"Medium",2,"Low",0,"Unknown",1,1)+IF(Q54="Yes",2,IF(Q54="Unsure",1,0)),0)</f>
        <v/>
      </c>
      <c r="Z54" s="2">
        <f>IFERROR(ROUND((V54*2)+(W54*1)+(X54*2)+(IF(T54="Easy",2,IF(T54="Medium",1,IF(T54="Hard",-1,0))))-(Y54*2),1),0)</f>
        <v/>
      </c>
      <c r="AA54" s="2">
        <f>IFERROR(IF(S54="Not a fit","Not a Fit",IF(Y54&gt;=5,"High Risk / Needs Review",IF(AND(Z54&gt;=18,T54="Easy"),"Quick Win",IF(AND(Z54&gt;=18,T54&lt;&gt;"Easy"),"Strategic Project",IF(Z54&gt;=10,"Discovery Needed","Process Issue"))))),"")</f>
        <v/>
      </c>
      <c r="AB54" s="2">
        <f>IFERROR(SWITCH(AA54,"Quick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4" s="2" t="n"/>
      <c r="AD54" s="2" t="n"/>
      <c r="AE54" s="2" t="n"/>
    </row>
    <row r="55" ht="25" customHeight="1">
      <c r="A55" s="3" t="n"/>
      <c r="B55" s="3">
        <f>IFERROR(XLOOKUP(A55,'Intake Responses'!$A:$A,'Intake Responses'!$E:$E),"")</f>
        <v/>
      </c>
      <c r="C55" s="3">
        <f>IFERROR(XLOOKUP(A55,'Intake Responses'!$A:$A,'Intake Responses'!$D:$D),"")</f>
        <v/>
      </c>
      <c r="D55" s="3">
        <f>IFERROR(XLOOKUP(A55,'Intake Responses'!$A:$A,'Intake Responses'!$F:$F),"")</f>
        <v/>
      </c>
      <c r="E55" s="3" t="n"/>
      <c r="F55" s="3">
        <f>IFERROR(XLOOKUP(A55,'Intake Responses'!$A:$A,'Intake Responses'!$M:$M),"")</f>
        <v/>
      </c>
      <c r="G55" s="3">
        <f>IFERROR(XLOOKUP(A55,'Intake Responses'!$A:$A,'Intake Responses'!$N:$N),"")</f>
        <v/>
      </c>
      <c r="H55" s="3">
        <f>IFERROR(XLOOKUP(A55,'Intake Responses'!$A:$A,'Intake Responses'!$O:$O),"")</f>
        <v/>
      </c>
      <c r="I55" s="3">
        <f>IFERROR(SWITCH(F55,"Multiple times per day",60,"Daily",20,"Weekly",4,"Monthly",1,"Quarterly",0.33,"Ad hoc",0.5,"Unknown",0),0)</f>
        <v/>
      </c>
      <c r="J55" s="3">
        <f>IFERROR((G55*H55*I55)/60,0)</f>
        <v/>
      </c>
      <c r="K55" s="3">
        <f>IFERROR(J55*12,0)</f>
        <v/>
      </c>
      <c r="L55" s="3">
        <f>IFERROR(XLOOKUP(A55,'Intake Responses'!$A:$A,'Intake Responses'!$T:$T),"")</f>
        <v/>
      </c>
      <c r="M55" s="3">
        <f>IFERROR(XLOOKUP(A55,'Intake Responses'!$A:$A,'Intake Responses'!$U:$U),"")</f>
        <v/>
      </c>
      <c r="N55" s="3">
        <f>IFERROR(XLOOKUP(A55,'Intake Responses'!$A:$A,'Intake Responses'!$V:$V),"")</f>
        <v/>
      </c>
      <c r="O55" s="3">
        <f>IFERROR(XLOOKUP(A55,'Intake Responses'!$A:$A,'Intake Responses'!$W:$W),"")</f>
        <v/>
      </c>
      <c r="P55" s="3">
        <f>IFERROR(XLOOKUP(A55,'Intake Responses'!$A:$A,'Intake Responses'!$X:$X),"")</f>
        <v/>
      </c>
      <c r="Q55" s="3">
        <f>IFERROR(XLOOKUP(A55,'Intake Responses'!$A:$A,'Intake Responses'!$AF:$AF),"")</f>
        <v/>
      </c>
      <c r="R55" s="3">
        <f>IFERROR(XLOOKUP(A55,'Intake Responses'!$A:$A,'Intake Responses'!$S:$S),"")</f>
        <v/>
      </c>
      <c r="S55" s="3" t="n"/>
      <c r="T55" s="3" t="n"/>
      <c r="U55" s="3" t="n"/>
      <c r="V55" s="3">
        <f>IFERROR(MIN(5,ROUND(((M55+O55)/2)+(IF(J55&gt;=20,2,IF(J55&gt;=10,1.5,IF(J55&gt;=5,1,IF(J55&gt;=1,0.5,0))))),1)),0)</f>
        <v/>
      </c>
      <c r="W55" s="3">
        <f>IFERROR(SWITCH(F55,"Multiple times per day",5,"Daily",4,"Weekly",3,"Monthly",2,"Quarterly",1,"Ad hoc",1,"Unknown",0),0)</f>
        <v/>
      </c>
      <c r="X55" s="3">
        <f>IFERROR(ROUND(AVERAGE(L55,N55),1),0)</f>
        <v/>
      </c>
      <c r="Y55" s="3">
        <f>IFERROR(SWITCH(U55,"High",3,"Medium",2,"Low",0,"Unknown",1,1)+IF(Q55="Yes",2,IF(Q55="Unsure",1,0)),0)</f>
        <v/>
      </c>
      <c r="Z55" s="3">
        <f>IFERROR(ROUND((V55*2)+(W55*1)+(X55*2)+(IF(T55="Easy",2,IF(T55="Medium",1,IF(T55="Hard",-1,0))))-(Y55*2),1),0)</f>
        <v/>
      </c>
      <c r="AA55" s="3">
        <f>IFERROR(IF(S55="Not a fit","Not a Fit",IF(Y55&gt;=5,"High Risk / Needs Review",IF(AND(Z55&gt;=18,T55="Easy"),"Quick Win",IF(AND(Z55&gt;=18,T55&lt;&gt;"Easy"),"Strategic Project",IF(Z55&gt;=10,"Discovery Needed","Process Issue"))))),"")</f>
        <v/>
      </c>
      <c r="AB55" s="3">
        <f>IFERROR(SWITCH(AA55,"Quick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5" s="3" t="n"/>
      <c r="AD55" s="3" t="n"/>
      <c r="AE55" s="3" t="n"/>
    </row>
    <row r="56" ht="25" customHeight="1">
      <c r="A56" s="2" t="n"/>
      <c r="B56" s="2">
        <f>IFERROR(XLOOKUP(A56,'Intake Responses'!$A:$A,'Intake Responses'!$E:$E),"")</f>
        <v/>
      </c>
      <c r="C56" s="2">
        <f>IFERROR(XLOOKUP(A56,'Intake Responses'!$A:$A,'Intake Responses'!$D:$D),"")</f>
        <v/>
      </c>
      <c r="D56" s="2">
        <f>IFERROR(XLOOKUP(A56,'Intake Responses'!$A:$A,'Intake Responses'!$F:$F),"")</f>
        <v/>
      </c>
      <c r="E56" s="2" t="n"/>
      <c r="F56" s="2">
        <f>IFERROR(XLOOKUP(A56,'Intake Responses'!$A:$A,'Intake Responses'!$M:$M),"")</f>
        <v/>
      </c>
      <c r="G56" s="2">
        <f>IFERROR(XLOOKUP(A56,'Intake Responses'!$A:$A,'Intake Responses'!$N:$N),"")</f>
        <v/>
      </c>
      <c r="H56" s="2">
        <f>IFERROR(XLOOKUP(A56,'Intake Responses'!$A:$A,'Intake Responses'!$O:$O),"")</f>
        <v/>
      </c>
      <c r="I56" s="2">
        <f>IFERROR(SWITCH(F56,"Multiple times per day",60,"Daily",20,"Weekly",4,"Monthly",1,"Quarterly",0.33,"Ad hoc",0.5,"Unknown",0),0)</f>
        <v/>
      </c>
      <c r="J56" s="2">
        <f>IFERROR((G56*H56*I56)/60,0)</f>
        <v/>
      </c>
      <c r="K56" s="2">
        <f>IFERROR(J56*12,0)</f>
        <v/>
      </c>
      <c r="L56" s="2">
        <f>IFERROR(XLOOKUP(A56,'Intake Responses'!$A:$A,'Intake Responses'!$T:$T),"")</f>
        <v/>
      </c>
      <c r="M56" s="2">
        <f>IFERROR(XLOOKUP(A56,'Intake Responses'!$A:$A,'Intake Responses'!$U:$U),"")</f>
        <v/>
      </c>
      <c r="N56" s="2">
        <f>IFERROR(XLOOKUP(A56,'Intake Responses'!$A:$A,'Intake Responses'!$V:$V),"")</f>
        <v/>
      </c>
      <c r="O56" s="2">
        <f>IFERROR(XLOOKUP(A56,'Intake Responses'!$A:$A,'Intake Responses'!$W:$W),"")</f>
        <v/>
      </c>
      <c r="P56" s="2">
        <f>IFERROR(XLOOKUP(A56,'Intake Responses'!$A:$A,'Intake Responses'!$X:$X),"")</f>
        <v/>
      </c>
      <c r="Q56" s="2">
        <f>IFERROR(XLOOKUP(A56,'Intake Responses'!$A:$A,'Intake Responses'!$AF:$AF),"")</f>
        <v/>
      </c>
      <c r="R56" s="2">
        <f>IFERROR(XLOOKUP(A56,'Intake Responses'!$A:$A,'Intake Responses'!$S:$S),"")</f>
        <v/>
      </c>
      <c r="S56" s="2" t="n"/>
      <c r="T56" s="2" t="n"/>
      <c r="U56" s="2" t="n"/>
      <c r="V56" s="2">
        <f>IFERROR(MIN(5,ROUND(((M56+O56)/2)+(IF(J56&gt;=20,2,IF(J56&gt;=10,1.5,IF(J56&gt;=5,1,IF(J56&gt;=1,0.5,0))))),1)),0)</f>
        <v/>
      </c>
      <c r="W56" s="2">
        <f>IFERROR(SWITCH(F56,"Multiple times per day",5,"Daily",4,"Weekly",3,"Monthly",2,"Quarterly",1,"Ad hoc",1,"Unknown",0),0)</f>
        <v/>
      </c>
      <c r="X56" s="2">
        <f>IFERROR(ROUND(AVERAGE(L56,N56),1),0)</f>
        <v/>
      </c>
      <c r="Y56" s="2">
        <f>IFERROR(SWITCH(U56,"High",3,"Medium",2,"Low",0,"Unknown",1,1)+IF(Q56="Yes",2,IF(Q56="Unsure",1,0)),0)</f>
        <v/>
      </c>
      <c r="Z56" s="2">
        <f>IFERROR(ROUND((V56*2)+(W56*1)+(X56*2)+(IF(T56="Easy",2,IF(T56="Medium",1,IF(T56="Hard",-1,0))))-(Y56*2),1),0)</f>
        <v/>
      </c>
      <c r="AA56" s="2">
        <f>IFERROR(IF(S56="Not a fit","Not a Fit",IF(Y56&gt;=5,"High Risk / Needs Review",IF(AND(Z56&gt;=18,T56="Easy"),"Quick Win",IF(AND(Z56&gt;=18,T56&lt;&gt;"Easy"),"Strategic Project",IF(Z56&gt;=10,"Discovery Needed","Process Issue"))))),"")</f>
        <v/>
      </c>
      <c r="AB56" s="2">
        <f>IFERROR(SWITCH(AA56,"Quick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6" s="2" t="n"/>
      <c r="AD56" s="2" t="n"/>
      <c r="AE56" s="2" t="n"/>
    </row>
    <row r="57" ht="25" customHeight="1">
      <c r="A57" s="3" t="n"/>
      <c r="B57" s="3">
        <f>IFERROR(XLOOKUP(A57,'Intake Responses'!$A:$A,'Intake Responses'!$E:$E),"")</f>
        <v/>
      </c>
      <c r="C57" s="3">
        <f>IFERROR(XLOOKUP(A57,'Intake Responses'!$A:$A,'Intake Responses'!$D:$D),"")</f>
        <v/>
      </c>
      <c r="D57" s="3">
        <f>IFERROR(XLOOKUP(A57,'Intake Responses'!$A:$A,'Intake Responses'!$F:$F),"")</f>
        <v/>
      </c>
      <c r="E57" s="3" t="n"/>
      <c r="F57" s="3">
        <f>IFERROR(XLOOKUP(A57,'Intake Responses'!$A:$A,'Intake Responses'!$M:$M),"")</f>
        <v/>
      </c>
      <c r="G57" s="3">
        <f>IFERROR(XLOOKUP(A57,'Intake Responses'!$A:$A,'Intake Responses'!$N:$N),"")</f>
        <v/>
      </c>
      <c r="H57" s="3">
        <f>IFERROR(XLOOKUP(A57,'Intake Responses'!$A:$A,'Intake Responses'!$O:$O),"")</f>
        <v/>
      </c>
      <c r="I57" s="3">
        <f>IFERROR(SWITCH(F57,"Multiple times per day",60,"Daily",20,"Weekly",4,"Monthly",1,"Quarterly",0.33,"Ad hoc",0.5,"Unknown",0),0)</f>
        <v/>
      </c>
      <c r="J57" s="3">
        <f>IFERROR((G57*H57*I57)/60,0)</f>
        <v/>
      </c>
      <c r="K57" s="3">
        <f>IFERROR(J57*12,0)</f>
        <v/>
      </c>
      <c r="L57" s="3">
        <f>IFERROR(XLOOKUP(A57,'Intake Responses'!$A:$A,'Intake Responses'!$T:$T),"")</f>
        <v/>
      </c>
      <c r="M57" s="3">
        <f>IFERROR(XLOOKUP(A57,'Intake Responses'!$A:$A,'Intake Responses'!$U:$U),"")</f>
        <v/>
      </c>
      <c r="N57" s="3">
        <f>IFERROR(XLOOKUP(A57,'Intake Responses'!$A:$A,'Intake Responses'!$V:$V),"")</f>
        <v/>
      </c>
      <c r="O57" s="3">
        <f>IFERROR(XLOOKUP(A57,'Intake Responses'!$A:$A,'Intake Responses'!$W:$W),"")</f>
        <v/>
      </c>
      <c r="P57" s="3">
        <f>IFERROR(XLOOKUP(A57,'Intake Responses'!$A:$A,'Intake Responses'!$X:$X),"")</f>
        <v/>
      </c>
      <c r="Q57" s="3">
        <f>IFERROR(XLOOKUP(A57,'Intake Responses'!$A:$A,'Intake Responses'!$AF:$AF),"")</f>
        <v/>
      </c>
      <c r="R57" s="3">
        <f>IFERROR(XLOOKUP(A57,'Intake Responses'!$A:$A,'Intake Responses'!$S:$S),"")</f>
        <v/>
      </c>
      <c r="S57" s="3" t="n"/>
      <c r="T57" s="3" t="n"/>
      <c r="U57" s="3" t="n"/>
      <c r="V57" s="3">
        <f>IFERROR(MIN(5,ROUND(((M57+O57)/2)+(IF(J57&gt;=20,2,IF(J57&gt;=10,1.5,IF(J57&gt;=5,1,IF(J57&gt;=1,0.5,0))))),1)),0)</f>
        <v/>
      </c>
      <c r="W57" s="3">
        <f>IFERROR(SWITCH(F57,"Multiple times per day",5,"Daily",4,"Weekly",3,"Monthly",2,"Quarterly",1,"Ad hoc",1,"Unknown",0),0)</f>
        <v/>
      </c>
      <c r="X57" s="3">
        <f>IFERROR(ROUND(AVERAGE(L57,N57),1),0)</f>
        <v/>
      </c>
      <c r="Y57" s="3">
        <f>IFERROR(SWITCH(U57,"High",3,"Medium",2,"Low",0,"Unknown",1,1)+IF(Q57="Yes",2,IF(Q57="Unsure",1,0)),0)</f>
        <v/>
      </c>
      <c r="Z57" s="3">
        <f>IFERROR(ROUND((V57*2)+(W57*1)+(X57*2)+(IF(T57="Easy",2,IF(T57="Medium",1,IF(T57="Hard",-1,0))))-(Y57*2),1),0)</f>
        <v/>
      </c>
      <c r="AA57" s="3">
        <f>IFERROR(IF(S57="Not a fit","Not a Fit",IF(Y57&gt;=5,"High Risk / Needs Review",IF(AND(Z57&gt;=18,T57="Easy"),"Quick Win",IF(AND(Z57&gt;=18,T57&lt;&gt;"Easy"),"Strategic Project",IF(Z57&gt;=10,"Discovery Needed","Process Issue"))))),"")</f>
        <v/>
      </c>
      <c r="AB57" s="3">
        <f>IFERROR(SWITCH(AA57,"Quick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7" s="3" t="n"/>
      <c r="AD57" s="3" t="n"/>
      <c r="AE57" s="3" t="n"/>
    </row>
    <row r="58" ht="25" customHeight="1">
      <c r="A58" s="2" t="n"/>
      <c r="B58" s="2">
        <f>IFERROR(XLOOKUP(A58,'Intake Responses'!$A:$A,'Intake Responses'!$E:$E),"")</f>
        <v/>
      </c>
      <c r="C58" s="2">
        <f>IFERROR(XLOOKUP(A58,'Intake Responses'!$A:$A,'Intake Responses'!$D:$D),"")</f>
        <v/>
      </c>
      <c r="D58" s="2">
        <f>IFERROR(XLOOKUP(A58,'Intake Responses'!$A:$A,'Intake Responses'!$F:$F),"")</f>
        <v/>
      </c>
      <c r="E58" s="2" t="n"/>
      <c r="F58" s="2">
        <f>IFERROR(XLOOKUP(A58,'Intake Responses'!$A:$A,'Intake Responses'!$M:$M),"")</f>
        <v/>
      </c>
      <c r="G58" s="2">
        <f>IFERROR(XLOOKUP(A58,'Intake Responses'!$A:$A,'Intake Responses'!$N:$N),"")</f>
        <v/>
      </c>
      <c r="H58" s="2">
        <f>IFERROR(XLOOKUP(A58,'Intake Responses'!$A:$A,'Intake Responses'!$O:$O),"")</f>
        <v/>
      </c>
      <c r="I58" s="2">
        <f>IFERROR(SWITCH(F58,"Multiple times per day",60,"Daily",20,"Weekly",4,"Monthly",1,"Quarterly",0.33,"Ad hoc",0.5,"Unknown",0),0)</f>
        <v/>
      </c>
      <c r="J58" s="2">
        <f>IFERROR((G58*H58*I58)/60,0)</f>
        <v/>
      </c>
      <c r="K58" s="2">
        <f>IFERROR(J58*12,0)</f>
        <v/>
      </c>
      <c r="L58" s="2">
        <f>IFERROR(XLOOKUP(A58,'Intake Responses'!$A:$A,'Intake Responses'!$T:$T),"")</f>
        <v/>
      </c>
      <c r="M58" s="2">
        <f>IFERROR(XLOOKUP(A58,'Intake Responses'!$A:$A,'Intake Responses'!$U:$U),"")</f>
        <v/>
      </c>
      <c r="N58" s="2">
        <f>IFERROR(XLOOKUP(A58,'Intake Responses'!$A:$A,'Intake Responses'!$V:$V),"")</f>
        <v/>
      </c>
      <c r="O58" s="2">
        <f>IFERROR(XLOOKUP(A58,'Intake Responses'!$A:$A,'Intake Responses'!$W:$W),"")</f>
        <v/>
      </c>
      <c r="P58" s="2">
        <f>IFERROR(XLOOKUP(A58,'Intake Responses'!$A:$A,'Intake Responses'!$X:$X),"")</f>
        <v/>
      </c>
      <c r="Q58" s="2">
        <f>IFERROR(XLOOKUP(A58,'Intake Responses'!$A:$A,'Intake Responses'!$AF:$AF),"")</f>
        <v/>
      </c>
      <c r="R58" s="2">
        <f>IFERROR(XLOOKUP(A58,'Intake Responses'!$A:$A,'Intake Responses'!$S:$S),"")</f>
        <v/>
      </c>
      <c r="S58" s="2" t="n"/>
      <c r="T58" s="2" t="n"/>
      <c r="U58" s="2" t="n"/>
      <c r="V58" s="2">
        <f>IFERROR(MIN(5,ROUND(((M58+O58)/2)+(IF(J58&gt;=20,2,IF(J58&gt;=10,1.5,IF(J58&gt;=5,1,IF(J58&gt;=1,0.5,0))))),1)),0)</f>
        <v/>
      </c>
      <c r="W58" s="2">
        <f>IFERROR(SWITCH(F58,"Multiple times per day",5,"Daily",4,"Weekly",3,"Monthly",2,"Quarterly",1,"Ad hoc",1,"Unknown",0),0)</f>
        <v/>
      </c>
      <c r="X58" s="2">
        <f>IFERROR(ROUND(AVERAGE(L58,N58),1),0)</f>
        <v/>
      </c>
      <c r="Y58" s="2">
        <f>IFERROR(SWITCH(U58,"High",3,"Medium",2,"Low",0,"Unknown",1,1)+IF(Q58="Yes",2,IF(Q58="Unsure",1,0)),0)</f>
        <v/>
      </c>
      <c r="Z58" s="2">
        <f>IFERROR(ROUND((V58*2)+(W58*1)+(X58*2)+(IF(T58="Easy",2,IF(T58="Medium",1,IF(T58="Hard",-1,0))))-(Y58*2),1),0)</f>
        <v/>
      </c>
      <c r="AA58" s="2">
        <f>IFERROR(IF(S58="Not a fit","Not a Fit",IF(Y58&gt;=5,"High Risk / Needs Review",IF(AND(Z58&gt;=18,T58="Easy"),"Quick Win",IF(AND(Z58&gt;=18,T58&lt;&gt;"Easy"),"Strategic Project",IF(Z58&gt;=10,"Discovery Needed","Process Issue"))))),"")</f>
        <v/>
      </c>
      <c r="AB58" s="2">
        <f>IFERROR(SWITCH(AA58,"Quick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8" s="2" t="n"/>
      <c r="AD58" s="2" t="n"/>
      <c r="AE58" s="2" t="n"/>
    </row>
    <row r="59" ht="25" customHeight="1">
      <c r="A59" s="3" t="n"/>
      <c r="B59" s="3">
        <f>IFERROR(XLOOKUP(A59,'Intake Responses'!$A:$A,'Intake Responses'!$E:$E),"")</f>
        <v/>
      </c>
      <c r="C59" s="3">
        <f>IFERROR(XLOOKUP(A59,'Intake Responses'!$A:$A,'Intake Responses'!$D:$D),"")</f>
        <v/>
      </c>
      <c r="D59" s="3">
        <f>IFERROR(XLOOKUP(A59,'Intake Responses'!$A:$A,'Intake Responses'!$F:$F),"")</f>
        <v/>
      </c>
      <c r="E59" s="3" t="n"/>
      <c r="F59" s="3">
        <f>IFERROR(XLOOKUP(A59,'Intake Responses'!$A:$A,'Intake Responses'!$M:$M),"")</f>
        <v/>
      </c>
      <c r="G59" s="3">
        <f>IFERROR(XLOOKUP(A59,'Intake Responses'!$A:$A,'Intake Responses'!$N:$N),"")</f>
        <v/>
      </c>
      <c r="H59" s="3">
        <f>IFERROR(XLOOKUP(A59,'Intake Responses'!$A:$A,'Intake Responses'!$O:$O),"")</f>
        <v/>
      </c>
      <c r="I59" s="3">
        <f>IFERROR(SWITCH(F59,"Multiple times per day",60,"Daily",20,"Weekly",4,"Monthly",1,"Quarterly",0.33,"Ad hoc",0.5,"Unknown",0),0)</f>
        <v/>
      </c>
      <c r="J59" s="3">
        <f>IFERROR((G59*H59*I59)/60,0)</f>
        <v/>
      </c>
      <c r="K59" s="3">
        <f>IFERROR(J59*12,0)</f>
        <v/>
      </c>
      <c r="L59" s="3">
        <f>IFERROR(XLOOKUP(A59,'Intake Responses'!$A:$A,'Intake Responses'!$T:$T),"")</f>
        <v/>
      </c>
      <c r="M59" s="3">
        <f>IFERROR(XLOOKUP(A59,'Intake Responses'!$A:$A,'Intake Responses'!$U:$U),"")</f>
        <v/>
      </c>
      <c r="N59" s="3">
        <f>IFERROR(XLOOKUP(A59,'Intake Responses'!$A:$A,'Intake Responses'!$V:$V),"")</f>
        <v/>
      </c>
      <c r="O59" s="3">
        <f>IFERROR(XLOOKUP(A59,'Intake Responses'!$A:$A,'Intake Responses'!$W:$W),"")</f>
        <v/>
      </c>
      <c r="P59" s="3">
        <f>IFERROR(XLOOKUP(A59,'Intake Responses'!$A:$A,'Intake Responses'!$X:$X),"")</f>
        <v/>
      </c>
      <c r="Q59" s="3">
        <f>IFERROR(XLOOKUP(A59,'Intake Responses'!$A:$A,'Intake Responses'!$AF:$AF),"")</f>
        <v/>
      </c>
      <c r="R59" s="3">
        <f>IFERROR(XLOOKUP(A59,'Intake Responses'!$A:$A,'Intake Responses'!$S:$S),"")</f>
        <v/>
      </c>
      <c r="S59" s="3" t="n"/>
      <c r="T59" s="3" t="n"/>
      <c r="U59" s="3" t="n"/>
      <c r="V59" s="3">
        <f>IFERROR(MIN(5,ROUND(((M59+O59)/2)+(IF(J59&gt;=20,2,IF(J59&gt;=10,1.5,IF(J59&gt;=5,1,IF(J59&gt;=1,0.5,0))))),1)),0)</f>
        <v/>
      </c>
      <c r="W59" s="3">
        <f>IFERROR(SWITCH(F59,"Multiple times per day",5,"Daily",4,"Weekly",3,"Monthly",2,"Quarterly",1,"Ad hoc",1,"Unknown",0),0)</f>
        <v/>
      </c>
      <c r="X59" s="3">
        <f>IFERROR(ROUND(AVERAGE(L59,N59),1),0)</f>
        <v/>
      </c>
      <c r="Y59" s="3">
        <f>IFERROR(SWITCH(U59,"High",3,"Medium",2,"Low",0,"Unknown",1,1)+IF(Q59="Yes",2,IF(Q59="Unsure",1,0)),0)</f>
        <v/>
      </c>
      <c r="Z59" s="3">
        <f>IFERROR(ROUND((V59*2)+(W59*1)+(X59*2)+(IF(T59="Easy",2,IF(T59="Medium",1,IF(T59="Hard",-1,0))))-(Y59*2),1),0)</f>
        <v/>
      </c>
      <c r="AA59" s="3">
        <f>IFERROR(IF(S59="Not a fit","Not a Fit",IF(Y59&gt;=5,"High Risk / Needs Review",IF(AND(Z59&gt;=18,T59="Easy"),"Quick Win",IF(AND(Z59&gt;=18,T59&lt;&gt;"Easy"),"Strategic Project",IF(Z59&gt;=10,"Discovery Needed","Process Issue"))))),"")</f>
        <v/>
      </c>
      <c r="AB59" s="3">
        <f>IFERROR(SWITCH(AA59,"Quick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9" s="3" t="n"/>
      <c r="AD59" s="3" t="n"/>
      <c r="AE59" s="3" t="n"/>
    </row>
    <row r="60" ht="25" customHeight="1">
      <c r="A60" s="2" t="n"/>
      <c r="B60" s="2">
        <f>IFERROR(XLOOKUP(A60,'Intake Responses'!$A:$A,'Intake Responses'!$E:$E),"")</f>
        <v/>
      </c>
      <c r="C60" s="2">
        <f>IFERROR(XLOOKUP(A60,'Intake Responses'!$A:$A,'Intake Responses'!$D:$D),"")</f>
        <v/>
      </c>
      <c r="D60" s="2">
        <f>IFERROR(XLOOKUP(A60,'Intake Responses'!$A:$A,'Intake Responses'!$F:$F),"")</f>
        <v/>
      </c>
      <c r="E60" s="2" t="n"/>
      <c r="F60" s="2">
        <f>IFERROR(XLOOKUP(A60,'Intake Responses'!$A:$A,'Intake Responses'!$M:$M),"")</f>
        <v/>
      </c>
      <c r="G60" s="2">
        <f>IFERROR(XLOOKUP(A60,'Intake Responses'!$A:$A,'Intake Responses'!$N:$N),"")</f>
        <v/>
      </c>
      <c r="H60" s="2">
        <f>IFERROR(XLOOKUP(A60,'Intake Responses'!$A:$A,'Intake Responses'!$O:$O),"")</f>
        <v/>
      </c>
      <c r="I60" s="2">
        <f>IFERROR(SWITCH(F60,"Multiple times per day",60,"Daily",20,"Weekly",4,"Monthly",1,"Quarterly",0.33,"Ad hoc",0.5,"Unknown",0),0)</f>
        <v/>
      </c>
      <c r="J60" s="2">
        <f>IFERROR((G60*H60*I60)/60,0)</f>
        <v/>
      </c>
      <c r="K60" s="2">
        <f>IFERROR(J60*12,0)</f>
        <v/>
      </c>
      <c r="L60" s="2">
        <f>IFERROR(XLOOKUP(A60,'Intake Responses'!$A:$A,'Intake Responses'!$T:$T),"")</f>
        <v/>
      </c>
      <c r="M60" s="2">
        <f>IFERROR(XLOOKUP(A60,'Intake Responses'!$A:$A,'Intake Responses'!$U:$U),"")</f>
        <v/>
      </c>
      <c r="N60" s="2">
        <f>IFERROR(XLOOKUP(A60,'Intake Responses'!$A:$A,'Intake Responses'!$V:$V),"")</f>
        <v/>
      </c>
      <c r="O60" s="2">
        <f>IFERROR(XLOOKUP(A60,'Intake Responses'!$A:$A,'Intake Responses'!$W:$W),"")</f>
        <v/>
      </c>
      <c r="P60" s="2">
        <f>IFERROR(XLOOKUP(A60,'Intake Responses'!$A:$A,'Intake Responses'!$X:$X),"")</f>
        <v/>
      </c>
      <c r="Q60" s="2">
        <f>IFERROR(XLOOKUP(A60,'Intake Responses'!$A:$A,'Intake Responses'!$AF:$AF),"")</f>
        <v/>
      </c>
      <c r="R60" s="2">
        <f>IFERROR(XLOOKUP(A60,'Intake Responses'!$A:$A,'Intake Responses'!$S:$S),"")</f>
        <v/>
      </c>
      <c r="S60" s="2" t="n"/>
      <c r="T60" s="2" t="n"/>
      <c r="U60" s="2" t="n"/>
      <c r="V60" s="2">
        <f>IFERROR(MIN(5,ROUND(((M60+O60)/2)+(IF(J60&gt;=20,2,IF(J60&gt;=10,1.5,IF(J60&gt;=5,1,IF(J60&gt;=1,0.5,0))))),1)),0)</f>
        <v/>
      </c>
      <c r="W60" s="2">
        <f>IFERROR(SWITCH(F60,"Multiple times per day",5,"Daily",4,"Weekly",3,"Monthly",2,"Quarterly",1,"Ad hoc",1,"Unknown",0),0)</f>
        <v/>
      </c>
      <c r="X60" s="2">
        <f>IFERROR(ROUND(AVERAGE(L60,N60),1),0)</f>
        <v/>
      </c>
      <c r="Y60" s="2">
        <f>IFERROR(SWITCH(U60,"High",3,"Medium",2,"Low",0,"Unknown",1,1)+IF(Q60="Yes",2,IF(Q60="Unsure",1,0)),0)</f>
        <v/>
      </c>
      <c r="Z60" s="2">
        <f>IFERROR(ROUND((V60*2)+(W60*1)+(X60*2)+(IF(T60="Easy",2,IF(T60="Medium",1,IF(T60="Hard",-1,0))))-(Y60*2),1),0)</f>
        <v/>
      </c>
      <c r="AA60" s="2">
        <f>IFERROR(IF(S60="Not a fit","Not a Fit",IF(Y60&gt;=5,"High Risk / Needs Review",IF(AND(Z60&gt;=18,T60="Easy"),"Quick Win",IF(AND(Z60&gt;=18,T60&lt;&gt;"Easy"),"Strategic Project",IF(Z60&gt;=10,"Discovery Needed","Process Issue"))))),"")</f>
        <v/>
      </c>
      <c r="AB60" s="2">
        <f>IFERROR(SWITCH(AA60,"Quick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0" s="2" t="n"/>
      <c r="AD60" s="2" t="n"/>
      <c r="AE60" s="2" t="n"/>
    </row>
    <row r="61" ht="25" customHeight="1">
      <c r="A61" s="3" t="n"/>
      <c r="B61" s="3">
        <f>IFERROR(XLOOKUP(A61,'Intake Responses'!$A:$A,'Intake Responses'!$E:$E),"")</f>
        <v/>
      </c>
      <c r="C61" s="3">
        <f>IFERROR(XLOOKUP(A61,'Intake Responses'!$A:$A,'Intake Responses'!$D:$D),"")</f>
        <v/>
      </c>
      <c r="D61" s="3">
        <f>IFERROR(XLOOKUP(A61,'Intake Responses'!$A:$A,'Intake Responses'!$F:$F),"")</f>
        <v/>
      </c>
      <c r="E61" s="3" t="n"/>
      <c r="F61" s="3">
        <f>IFERROR(XLOOKUP(A61,'Intake Responses'!$A:$A,'Intake Responses'!$M:$M),"")</f>
        <v/>
      </c>
      <c r="G61" s="3">
        <f>IFERROR(XLOOKUP(A61,'Intake Responses'!$A:$A,'Intake Responses'!$N:$N),"")</f>
        <v/>
      </c>
      <c r="H61" s="3">
        <f>IFERROR(XLOOKUP(A61,'Intake Responses'!$A:$A,'Intake Responses'!$O:$O),"")</f>
        <v/>
      </c>
      <c r="I61" s="3">
        <f>IFERROR(SWITCH(F61,"Multiple times per day",60,"Daily",20,"Weekly",4,"Monthly",1,"Quarterly",0.33,"Ad hoc",0.5,"Unknown",0),0)</f>
        <v/>
      </c>
      <c r="J61" s="3">
        <f>IFERROR((G61*H61*I61)/60,0)</f>
        <v/>
      </c>
      <c r="K61" s="3">
        <f>IFERROR(J61*12,0)</f>
        <v/>
      </c>
      <c r="L61" s="3">
        <f>IFERROR(XLOOKUP(A61,'Intake Responses'!$A:$A,'Intake Responses'!$T:$T),"")</f>
        <v/>
      </c>
      <c r="M61" s="3">
        <f>IFERROR(XLOOKUP(A61,'Intake Responses'!$A:$A,'Intake Responses'!$U:$U),"")</f>
        <v/>
      </c>
      <c r="N61" s="3">
        <f>IFERROR(XLOOKUP(A61,'Intake Responses'!$A:$A,'Intake Responses'!$V:$V),"")</f>
        <v/>
      </c>
      <c r="O61" s="3">
        <f>IFERROR(XLOOKUP(A61,'Intake Responses'!$A:$A,'Intake Responses'!$W:$W),"")</f>
        <v/>
      </c>
      <c r="P61" s="3">
        <f>IFERROR(XLOOKUP(A61,'Intake Responses'!$A:$A,'Intake Responses'!$X:$X),"")</f>
        <v/>
      </c>
      <c r="Q61" s="3">
        <f>IFERROR(XLOOKUP(A61,'Intake Responses'!$A:$A,'Intake Responses'!$AF:$AF),"")</f>
        <v/>
      </c>
      <c r="R61" s="3">
        <f>IFERROR(XLOOKUP(A61,'Intake Responses'!$A:$A,'Intake Responses'!$S:$S),"")</f>
        <v/>
      </c>
      <c r="S61" s="3" t="n"/>
      <c r="T61" s="3" t="n"/>
      <c r="U61" s="3" t="n"/>
      <c r="V61" s="3">
        <f>IFERROR(MIN(5,ROUND(((M61+O61)/2)+(IF(J61&gt;=20,2,IF(J61&gt;=10,1.5,IF(J61&gt;=5,1,IF(J61&gt;=1,0.5,0))))),1)),0)</f>
        <v/>
      </c>
      <c r="W61" s="3">
        <f>IFERROR(SWITCH(F61,"Multiple times per day",5,"Daily",4,"Weekly",3,"Monthly",2,"Quarterly",1,"Ad hoc",1,"Unknown",0),0)</f>
        <v/>
      </c>
      <c r="X61" s="3">
        <f>IFERROR(ROUND(AVERAGE(L61,N61),1),0)</f>
        <v/>
      </c>
      <c r="Y61" s="3">
        <f>IFERROR(SWITCH(U61,"High",3,"Medium",2,"Low",0,"Unknown",1,1)+IF(Q61="Yes",2,IF(Q61="Unsure",1,0)),0)</f>
        <v/>
      </c>
      <c r="Z61" s="3">
        <f>IFERROR(ROUND((V61*2)+(W61*1)+(X61*2)+(IF(T61="Easy",2,IF(T61="Medium",1,IF(T61="Hard",-1,0))))-(Y61*2),1),0)</f>
        <v/>
      </c>
      <c r="AA61" s="3">
        <f>IFERROR(IF(S61="Not a fit","Not a Fit",IF(Y61&gt;=5,"High Risk / Needs Review",IF(AND(Z61&gt;=18,T61="Easy"),"Quick Win",IF(AND(Z61&gt;=18,T61&lt;&gt;"Easy"),"Strategic Project",IF(Z61&gt;=10,"Discovery Needed","Process Issue"))))),"")</f>
        <v/>
      </c>
      <c r="AB61" s="3">
        <f>IFERROR(SWITCH(AA61,"Quick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1" s="3" t="n"/>
      <c r="AD61" s="3" t="n"/>
      <c r="AE61" s="3" t="n"/>
    </row>
    <row r="62" ht="25" customHeight="1">
      <c r="A62" s="2" t="n"/>
      <c r="B62" s="2">
        <f>IFERROR(XLOOKUP(A62,'Intake Responses'!$A:$A,'Intake Responses'!$E:$E),"")</f>
        <v/>
      </c>
      <c r="C62" s="2">
        <f>IFERROR(XLOOKUP(A62,'Intake Responses'!$A:$A,'Intake Responses'!$D:$D),"")</f>
        <v/>
      </c>
      <c r="D62" s="2">
        <f>IFERROR(XLOOKUP(A62,'Intake Responses'!$A:$A,'Intake Responses'!$F:$F),"")</f>
        <v/>
      </c>
      <c r="E62" s="2" t="n"/>
      <c r="F62" s="2">
        <f>IFERROR(XLOOKUP(A62,'Intake Responses'!$A:$A,'Intake Responses'!$M:$M),"")</f>
        <v/>
      </c>
      <c r="G62" s="2">
        <f>IFERROR(XLOOKUP(A62,'Intake Responses'!$A:$A,'Intake Responses'!$N:$N),"")</f>
        <v/>
      </c>
      <c r="H62" s="2">
        <f>IFERROR(XLOOKUP(A62,'Intake Responses'!$A:$A,'Intake Responses'!$O:$O),"")</f>
        <v/>
      </c>
      <c r="I62" s="2">
        <f>IFERROR(SWITCH(F62,"Multiple times per day",60,"Daily",20,"Weekly",4,"Monthly",1,"Quarterly",0.33,"Ad hoc",0.5,"Unknown",0),0)</f>
        <v/>
      </c>
      <c r="J62" s="2">
        <f>IFERROR((G62*H62*I62)/60,0)</f>
        <v/>
      </c>
      <c r="K62" s="2">
        <f>IFERROR(J62*12,0)</f>
        <v/>
      </c>
      <c r="L62" s="2">
        <f>IFERROR(XLOOKUP(A62,'Intake Responses'!$A:$A,'Intake Responses'!$T:$T),"")</f>
        <v/>
      </c>
      <c r="M62" s="2">
        <f>IFERROR(XLOOKUP(A62,'Intake Responses'!$A:$A,'Intake Responses'!$U:$U),"")</f>
        <v/>
      </c>
      <c r="N62" s="2">
        <f>IFERROR(XLOOKUP(A62,'Intake Responses'!$A:$A,'Intake Responses'!$V:$V),"")</f>
        <v/>
      </c>
      <c r="O62" s="2">
        <f>IFERROR(XLOOKUP(A62,'Intake Responses'!$A:$A,'Intake Responses'!$W:$W),"")</f>
        <v/>
      </c>
      <c r="P62" s="2">
        <f>IFERROR(XLOOKUP(A62,'Intake Responses'!$A:$A,'Intake Responses'!$X:$X),"")</f>
        <v/>
      </c>
      <c r="Q62" s="2">
        <f>IFERROR(XLOOKUP(A62,'Intake Responses'!$A:$A,'Intake Responses'!$AF:$AF),"")</f>
        <v/>
      </c>
      <c r="R62" s="2">
        <f>IFERROR(XLOOKUP(A62,'Intake Responses'!$A:$A,'Intake Responses'!$S:$S),"")</f>
        <v/>
      </c>
      <c r="S62" s="2" t="n"/>
      <c r="T62" s="2" t="n"/>
      <c r="U62" s="2" t="n"/>
      <c r="V62" s="2">
        <f>IFERROR(MIN(5,ROUND(((M62+O62)/2)+(IF(J62&gt;=20,2,IF(J62&gt;=10,1.5,IF(J62&gt;=5,1,IF(J62&gt;=1,0.5,0))))),1)),0)</f>
        <v/>
      </c>
      <c r="W62" s="2">
        <f>IFERROR(SWITCH(F62,"Multiple times per day",5,"Daily",4,"Weekly",3,"Monthly",2,"Quarterly",1,"Ad hoc",1,"Unknown",0),0)</f>
        <v/>
      </c>
      <c r="X62" s="2">
        <f>IFERROR(ROUND(AVERAGE(L62,N62),1),0)</f>
        <v/>
      </c>
      <c r="Y62" s="2">
        <f>IFERROR(SWITCH(U62,"High",3,"Medium",2,"Low",0,"Unknown",1,1)+IF(Q62="Yes",2,IF(Q62="Unsure",1,0)),0)</f>
        <v/>
      </c>
      <c r="Z62" s="2">
        <f>IFERROR(ROUND((V62*2)+(W62*1)+(X62*2)+(IF(T62="Easy",2,IF(T62="Medium",1,IF(T62="Hard",-1,0))))-(Y62*2),1),0)</f>
        <v/>
      </c>
      <c r="AA62" s="2">
        <f>IFERROR(IF(S62="Not a fit","Not a Fit",IF(Y62&gt;=5,"High Risk / Needs Review",IF(AND(Z62&gt;=18,T62="Easy"),"Quick Win",IF(AND(Z62&gt;=18,T62&lt;&gt;"Easy"),"Strategic Project",IF(Z62&gt;=10,"Discovery Needed","Process Issue"))))),"")</f>
        <v/>
      </c>
      <c r="AB62" s="2">
        <f>IFERROR(SWITCH(AA62,"Quick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2" s="2" t="n"/>
      <c r="AD62" s="2" t="n"/>
      <c r="AE62" s="2" t="n"/>
    </row>
    <row r="63" ht="25" customHeight="1">
      <c r="A63" s="3" t="n"/>
      <c r="B63" s="3">
        <f>IFERROR(XLOOKUP(A63,'Intake Responses'!$A:$A,'Intake Responses'!$E:$E),"")</f>
        <v/>
      </c>
      <c r="C63" s="3">
        <f>IFERROR(XLOOKUP(A63,'Intake Responses'!$A:$A,'Intake Responses'!$D:$D),"")</f>
        <v/>
      </c>
      <c r="D63" s="3">
        <f>IFERROR(XLOOKUP(A63,'Intake Responses'!$A:$A,'Intake Responses'!$F:$F),"")</f>
        <v/>
      </c>
      <c r="E63" s="3" t="n"/>
      <c r="F63" s="3">
        <f>IFERROR(XLOOKUP(A63,'Intake Responses'!$A:$A,'Intake Responses'!$M:$M),"")</f>
        <v/>
      </c>
      <c r="G63" s="3">
        <f>IFERROR(XLOOKUP(A63,'Intake Responses'!$A:$A,'Intake Responses'!$N:$N),"")</f>
        <v/>
      </c>
      <c r="H63" s="3">
        <f>IFERROR(XLOOKUP(A63,'Intake Responses'!$A:$A,'Intake Responses'!$O:$O),"")</f>
        <v/>
      </c>
      <c r="I63" s="3">
        <f>IFERROR(SWITCH(F63,"Multiple times per day",60,"Daily",20,"Weekly",4,"Monthly",1,"Quarterly",0.33,"Ad hoc",0.5,"Unknown",0),0)</f>
        <v/>
      </c>
      <c r="J63" s="3">
        <f>IFERROR((G63*H63*I63)/60,0)</f>
        <v/>
      </c>
      <c r="K63" s="3">
        <f>IFERROR(J63*12,0)</f>
        <v/>
      </c>
      <c r="L63" s="3">
        <f>IFERROR(XLOOKUP(A63,'Intake Responses'!$A:$A,'Intake Responses'!$T:$T),"")</f>
        <v/>
      </c>
      <c r="M63" s="3">
        <f>IFERROR(XLOOKUP(A63,'Intake Responses'!$A:$A,'Intake Responses'!$U:$U),"")</f>
        <v/>
      </c>
      <c r="N63" s="3">
        <f>IFERROR(XLOOKUP(A63,'Intake Responses'!$A:$A,'Intake Responses'!$V:$V),"")</f>
        <v/>
      </c>
      <c r="O63" s="3">
        <f>IFERROR(XLOOKUP(A63,'Intake Responses'!$A:$A,'Intake Responses'!$W:$W),"")</f>
        <v/>
      </c>
      <c r="P63" s="3">
        <f>IFERROR(XLOOKUP(A63,'Intake Responses'!$A:$A,'Intake Responses'!$X:$X),"")</f>
        <v/>
      </c>
      <c r="Q63" s="3">
        <f>IFERROR(XLOOKUP(A63,'Intake Responses'!$A:$A,'Intake Responses'!$AF:$AF),"")</f>
        <v/>
      </c>
      <c r="R63" s="3">
        <f>IFERROR(XLOOKUP(A63,'Intake Responses'!$A:$A,'Intake Responses'!$S:$S),"")</f>
        <v/>
      </c>
      <c r="S63" s="3" t="n"/>
      <c r="T63" s="3" t="n"/>
      <c r="U63" s="3" t="n"/>
      <c r="V63" s="3">
        <f>IFERROR(MIN(5,ROUND(((M63+O63)/2)+(IF(J63&gt;=20,2,IF(J63&gt;=10,1.5,IF(J63&gt;=5,1,IF(J63&gt;=1,0.5,0))))),1)),0)</f>
        <v/>
      </c>
      <c r="W63" s="3">
        <f>IFERROR(SWITCH(F63,"Multiple times per day",5,"Daily",4,"Weekly",3,"Monthly",2,"Quarterly",1,"Ad hoc",1,"Unknown",0),0)</f>
        <v/>
      </c>
      <c r="X63" s="3">
        <f>IFERROR(ROUND(AVERAGE(L63,N63),1),0)</f>
        <v/>
      </c>
      <c r="Y63" s="3">
        <f>IFERROR(SWITCH(U63,"High",3,"Medium",2,"Low",0,"Unknown",1,1)+IF(Q63="Yes",2,IF(Q63="Unsure",1,0)),0)</f>
        <v/>
      </c>
      <c r="Z63" s="3">
        <f>IFERROR(ROUND((V63*2)+(W63*1)+(X63*2)+(IF(T63="Easy",2,IF(T63="Medium",1,IF(T63="Hard",-1,0))))-(Y63*2),1),0)</f>
        <v/>
      </c>
      <c r="AA63" s="3">
        <f>IFERROR(IF(S63="Not a fit","Not a Fit",IF(Y63&gt;=5,"High Risk / Needs Review",IF(AND(Z63&gt;=18,T63="Easy"),"Quick Win",IF(AND(Z63&gt;=18,T63&lt;&gt;"Easy"),"Strategic Project",IF(Z63&gt;=10,"Discovery Needed","Process Issue"))))),"")</f>
        <v/>
      </c>
      <c r="AB63" s="3">
        <f>IFERROR(SWITCH(AA63,"Quick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3" s="3" t="n"/>
      <c r="AD63" s="3" t="n"/>
      <c r="AE63" s="3" t="n"/>
    </row>
    <row r="64" ht="25" customHeight="1">
      <c r="A64" s="2" t="n"/>
      <c r="B64" s="2">
        <f>IFERROR(XLOOKUP(A64,'Intake Responses'!$A:$A,'Intake Responses'!$E:$E),"")</f>
        <v/>
      </c>
      <c r="C64" s="2">
        <f>IFERROR(XLOOKUP(A64,'Intake Responses'!$A:$A,'Intake Responses'!$D:$D),"")</f>
        <v/>
      </c>
      <c r="D64" s="2">
        <f>IFERROR(XLOOKUP(A64,'Intake Responses'!$A:$A,'Intake Responses'!$F:$F),"")</f>
        <v/>
      </c>
      <c r="E64" s="2" t="n"/>
      <c r="F64" s="2">
        <f>IFERROR(XLOOKUP(A64,'Intake Responses'!$A:$A,'Intake Responses'!$M:$M),"")</f>
        <v/>
      </c>
      <c r="G64" s="2">
        <f>IFERROR(XLOOKUP(A64,'Intake Responses'!$A:$A,'Intake Responses'!$N:$N),"")</f>
        <v/>
      </c>
      <c r="H64" s="2">
        <f>IFERROR(XLOOKUP(A64,'Intake Responses'!$A:$A,'Intake Responses'!$O:$O),"")</f>
        <v/>
      </c>
      <c r="I64" s="2">
        <f>IFERROR(SWITCH(F64,"Multiple times per day",60,"Daily",20,"Weekly",4,"Monthly",1,"Quarterly",0.33,"Ad hoc",0.5,"Unknown",0),0)</f>
        <v/>
      </c>
      <c r="J64" s="2">
        <f>IFERROR((G64*H64*I64)/60,0)</f>
        <v/>
      </c>
      <c r="K64" s="2">
        <f>IFERROR(J64*12,0)</f>
        <v/>
      </c>
      <c r="L64" s="2">
        <f>IFERROR(XLOOKUP(A64,'Intake Responses'!$A:$A,'Intake Responses'!$T:$T),"")</f>
        <v/>
      </c>
      <c r="M64" s="2">
        <f>IFERROR(XLOOKUP(A64,'Intake Responses'!$A:$A,'Intake Responses'!$U:$U),"")</f>
        <v/>
      </c>
      <c r="N64" s="2">
        <f>IFERROR(XLOOKUP(A64,'Intake Responses'!$A:$A,'Intake Responses'!$V:$V),"")</f>
        <v/>
      </c>
      <c r="O64" s="2">
        <f>IFERROR(XLOOKUP(A64,'Intake Responses'!$A:$A,'Intake Responses'!$W:$W),"")</f>
        <v/>
      </c>
      <c r="P64" s="2">
        <f>IFERROR(XLOOKUP(A64,'Intake Responses'!$A:$A,'Intake Responses'!$X:$X),"")</f>
        <v/>
      </c>
      <c r="Q64" s="2">
        <f>IFERROR(XLOOKUP(A64,'Intake Responses'!$A:$A,'Intake Responses'!$AF:$AF),"")</f>
        <v/>
      </c>
      <c r="R64" s="2">
        <f>IFERROR(XLOOKUP(A64,'Intake Responses'!$A:$A,'Intake Responses'!$S:$S),"")</f>
        <v/>
      </c>
      <c r="S64" s="2" t="n"/>
      <c r="T64" s="2" t="n"/>
      <c r="U64" s="2" t="n"/>
      <c r="V64" s="2">
        <f>IFERROR(MIN(5,ROUND(((M64+O64)/2)+(IF(J64&gt;=20,2,IF(J64&gt;=10,1.5,IF(J64&gt;=5,1,IF(J64&gt;=1,0.5,0))))),1)),0)</f>
        <v/>
      </c>
      <c r="W64" s="2">
        <f>IFERROR(SWITCH(F64,"Multiple times per day",5,"Daily",4,"Weekly",3,"Monthly",2,"Quarterly",1,"Ad hoc",1,"Unknown",0),0)</f>
        <v/>
      </c>
      <c r="X64" s="2">
        <f>IFERROR(ROUND(AVERAGE(L64,N64),1),0)</f>
        <v/>
      </c>
      <c r="Y64" s="2">
        <f>IFERROR(SWITCH(U64,"High",3,"Medium",2,"Low",0,"Unknown",1,1)+IF(Q64="Yes",2,IF(Q64="Unsure",1,0)),0)</f>
        <v/>
      </c>
      <c r="Z64" s="2">
        <f>IFERROR(ROUND((V64*2)+(W64*1)+(X64*2)+(IF(T64="Easy",2,IF(T64="Medium",1,IF(T64="Hard",-1,0))))-(Y64*2),1),0)</f>
        <v/>
      </c>
      <c r="AA64" s="2">
        <f>IFERROR(IF(S64="Not a fit","Not a Fit",IF(Y64&gt;=5,"High Risk / Needs Review",IF(AND(Z64&gt;=18,T64="Easy"),"Quick Win",IF(AND(Z64&gt;=18,T64&lt;&gt;"Easy"),"Strategic Project",IF(Z64&gt;=10,"Discovery Needed","Process Issue"))))),"")</f>
        <v/>
      </c>
      <c r="AB64" s="2">
        <f>IFERROR(SWITCH(AA64,"Quick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4" s="2" t="n"/>
      <c r="AD64" s="2" t="n"/>
      <c r="AE64" s="2" t="n"/>
    </row>
    <row r="65" ht="25" customHeight="1">
      <c r="A65" s="3" t="n"/>
      <c r="B65" s="3">
        <f>IFERROR(XLOOKUP(A65,'Intake Responses'!$A:$A,'Intake Responses'!$E:$E),"")</f>
        <v/>
      </c>
      <c r="C65" s="3">
        <f>IFERROR(XLOOKUP(A65,'Intake Responses'!$A:$A,'Intake Responses'!$D:$D),"")</f>
        <v/>
      </c>
      <c r="D65" s="3">
        <f>IFERROR(XLOOKUP(A65,'Intake Responses'!$A:$A,'Intake Responses'!$F:$F),"")</f>
        <v/>
      </c>
      <c r="E65" s="3" t="n"/>
      <c r="F65" s="3">
        <f>IFERROR(XLOOKUP(A65,'Intake Responses'!$A:$A,'Intake Responses'!$M:$M),"")</f>
        <v/>
      </c>
      <c r="G65" s="3">
        <f>IFERROR(XLOOKUP(A65,'Intake Responses'!$A:$A,'Intake Responses'!$N:$N),"")</f>
        <v/>
      </c>
      <c r="H65" s="3">
        <f>IFERROR(XLOOKUP(A65,'Intake Responses'!$A:$A,'Intake Responses'!$O:$O),"")</f>
        <v/>
      </c>
      <c r="I65" s="3">
        <f>IFERROR(SWITCH(F65,"Multiple times per day",60,"Daily",20,"Weekly",4,"Monthly",1,"Quarterly",0.33,"Ad hoc",0.5,"Unknown",0),0)</f>
        <v/>
      </c>
      <c r="J65" s="3">
        <f>IFERROR((G65*H65*I65)/60,0)</f>
        <v/>
      </c>
      <c r="K65" s="3">
        <f>IFERROR(J65*12,0)</f>
        <v/>
      </c>
      <c r="L65" s="3">
        <f>IFERROR(XLOOKUP(A65,'Intake Responses'!$A:$A,'Intake Responses'!$T:$T),"")</f>
        <v/>
      </c>
      <c r="M65" s="3">
        <f>IFERROR(XLOOKUP(A65,'Intake Responses'!$A:$A,'Intake Responses'!$U:$U),"")</f>
        <v/>
      </c>
      <c r="N65" s="3">
        <f>IFERROR(XLOOKUP(A65,'Intake Responses'!$A:$A,'Intake Responses'!$V:$V),"")</f>
        <v/>
      </c>
      <c r="O65" s="3">
        <f>IFERROR(XLOOKUP(A65,'Intake Responses'!$A:$A,'Intake Responses'!$W:$W),"")</f>
        <v/>
      </c>
      <c r="P65" s="3">
        <f>IFERROR(XLOOKUP(A65,'Intake Responses'!$A:$A,'Intake Responses'!$X:$X),"")</f>
        <v/>
      </c>
      <c r="Q65" s="3">
        <f>IFERROR(XLOOKUP(A65,'Intake Responses'!$A:$A,'Intake Responses'!$AF:$AF),"")</f>
        <v/>
      </c>
      <c r="R65" s="3">
        <f>IFERROR(XLOOKUP(A65,'Intake Responses'!$A:$A,'Intake Responses'!$S:$S),"")</f>
        <v/>
      </c>
      <c r="S65" s="3" t="n"/>
      <c r="T65" s="3" t="n"/>
      <c r="U65" s="3" t="n"/>
      <c r="V65" s="3">
        <f>IFERROR(MIN(5,ROUND(((M65+O65)/2)+(IF(J65&gt;=20,2,IF(J65&gt;=10,1.5,IF(J65&gt;=5,1,IF(J65&gt;=1,0.5,0))))),1)),0)</f>
        <v/>
      </c>
      <c r="W65" s="3">
        <f>IFERROR(SWITCH(F65,"Multiple times per day",5,"Daily",4,"Weekly",3,"Monthly",2,"Quarterly",1,"Ad hoc",1,"Unknown",0),0)</f>
        <v/>
      </c>
      <c r="X65" s="3">
        <f>IFERROR(ROUND(AVERAGE(L65,N65),1),0)</f>
        <v/>
      </c>
      <c r="Y65" s="3">
        <f>IFERROR(SWITCH(U65,"High",3,"Medium",2,"Low",0,"Unknown",1,1)+IF(Q65="Yes",2,IF(Q65="Unsure",1,0)),0)</f>
        <v/>
      </c>
      <c r="Z65" s="3">
        <f>IFERROR(ROUND((V65*2)+(W65*1)+(X65*2)+(IF(T65="Easy",2,IF(T65="Medium",1,IF(T65="Hard",-1,0))))-(Y65*2),1),0)</f>
        <v/>
      </c>
      <c r="AA65" s="3">
        <f>IFERROR(IF(S65="Not a fit","Not a Fit",IF(Y65&gt;=5,"High Risk / Needs Review",IF(AND(Z65&gt;=18,T65="Easy"),"Quick Win",IF(AND(Z65&gt;=18,T65&lt;&gt;"Easy"),"Strategic Project",IF(Z65&gt;=10,"Discovery Needed","Process Issue"))))),"")</f>
        <v/>
      </c>
      <c r="AB65" s="3">
        <f>IFERROR(SWITCH(AA65,"Quick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5" s="3" t="n"/>
      <c r="AD65" s="3" t="n"/>
      <c r="AE65" s="3" t="n"/>
    </row>
    <row r="66" ht="25" customHeight="1">
      <c r="A66" s="2" t="n"/>
      <c r="B66" s="2">
        <f>IFERROR(XLOOKUP(A66,'Intake Responses'!$A:$A,'Intake Responses'!$E:$E),"")</f>
        <v/>
      </c>
      <c r="C66" s="2">
        <f>IFERROR(XLOOKUP(A66,'Intake Responses'!$A:$A,'Intake Responses'!$D:$D),"")</f>
        <v/>
      </c>
      <c r="D66" s="2">
        <f>IFERROR(XLOOKUP(A66,'Intake Responses'!$A:$A,'Intake Responses'!$F:$F),"")</f>
        <v/>
      </c>
      <c r="E66" s="2" t="n"/>
      <c r="F66" s="2">
        <f>IFERROR(XLOOKUP(A66,'Intake Responses'!$A:$A,'Intake Responses'!$M:$M),"")</f>
        <v/>
      </c>
      <c r="G66" s="2">
        <f>IFERROR(XLOOKUP(A66,'Intake Responses'!$A:$A,'Intake Responses'!$N:$N),"")</f>
        <v/>
      </c>
      <c r="H66" s="2">
        <f>IFERROR(XLOOKUP(A66,'Intake Responses'!$A:$A,'Intake Responses'!$O:$O),"")</f>
        <v/>
      </c>
      <c r="I66" s="2">
        <f>IFERROR(SWITCH(F66,"Multiple times per day",60,"Daily",20,"Weekly",4,"Monthly",1,"Quarterly",0.33,"Ad hoc",0.5,"Unknown",0),0)</f>
        <v/>
      </c>
      <c r="J66" s="2">
        <f>IFERROR((G66*H66*I66)/60,0)</f>
        <v/>
      </c>
      <c r="K66" s="2">
        <f>IFERROR(J66*12,0)</f>
        <v/>
      </c>
      <c r="L66" s="2">
        <f>IFERROR(XLOOKUP(A66,'Intake Responses'!$A:$A,'Intake Responses'!$T:$T),"")</f>
        <v/>
      </c>
      <c r="M66" s="2">
        <f>IFERROR(XLOOKUP(A66,'Intake Responses'!$A:$A,'Intake Responses'!$U:$U),"")</f>
        <v/>
      </c>
      <c r="N66" s="2">
        <f>IFERROR(XLOOKUP(A66,'Intake Responses'!$A:$A,'Intake Responses'!$V:$V),"")</f>
        <v/>
      </c>
      <c r="O66" s="2">
        <f>IFERROR(XLOOKUP(A66,'Intake Responses'!$A:$A,'Intake Responses'!$W:$W),"")</f>
        <v/>
      </c>
      <c r="P66" s="2">
        <f>IFERROR(XLOOKUP(A66,'Intake Responses'!$A:$A,'Intake Responses'!$X:$X),"")</f>
        <v/>
      </c>
      <c r="Q66" s="2">
        <f>IFERROR(XLOOKUP(A66,'Intake Responses'!$A:$A,'Intake Responses'!$AF:$AF),"")</f>
        <v/>
      </c>
      <c r="R66" s="2">
        <f>IFERROR(XLOOKUP(A66,'Intake Responses'!$A:$A,'Intake Responses'!$S:$S),"")</f>
        <v/>
      </c>
      <c r="S66" s="2" t="n"/>
      <c r="T66" s="2" t="n"/>
      <c r="U66" s="2" t="n"/>
      <c r="V66" s="2">
        <f>IFERROR(MIN(5,ROUND(((M66+O66)/2)+(IF(J66&gt;=20,2,IF(J66&gt;=10,1.5,IF(J66&gt;=5,1,IF(J66&gt;=1,0.5,0))))),1)),0)</f>
        <v/>
      </c>
      <c r="W66" s="2">
        <f>IFERROR(SWITCH(F66,"Multiple times per day",5,"Daily",4,"Weekly",3,"Monthly",2,"Quarterly",1,"Ad hoc",1,"Unknown",0),0)</f>
        <v/>
      </c>
      <c r="X66" s="2">
        <f>IFERROR(ROUND(AVERAGE(L66,N66),1),0)</f>
        <v/>
      </c>
      <c r="Y66" s="2">
        <f>IFERROR(SWITCH(U66,"High",3,"Medium",2,"Low",0,"Unknown",1,1)+IF(Q66="Yes",2,IF(Q66="Unsure",1,0)),0)</f>
        <v/>
      </c>
      <c r="Z66" s="2">
        <f>IFERROR(ROUND((V66*2)+(W66*1)+(X66*2)+(IF(T66="Easy",2,IF(T66="Medium",1,IF(T66="Hard",-1,0))))-(Y66*2),1),0)</f>
        <v/>
      </c>
      <c r="AA66" s="2">
        <f>IFERROR(IF(S66="Not a fit","Not a Fit",IF(Y66&gt;=5,"High Risk / Needs Review",IF(AND(Z66&gt;=18,T66="Easy"),"Quick Win",IF(AND(Z66&gt;=18,T66&lt;&gt;"Easy"),"Strategic Project",IF(Z66&gt;=10,"Discovery Needed","Process Issue"))))),"")</f>
        <v/>
      </c>
      <c r="AB66" s="2">
        <f>IFERROR(SWITCH(AA66,"Quick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6" s="2" t="n"/>
      <c r="AD66" s="2" t="n"/>
      <c r="AE66" s="2" t="n"/>
    </row>
    <row r="67" ht="25" customHeight="1">
      <c r="A67" s="3" t="n"/>
      <c r="B67" s="3">
        <f>IFERROR(XLOOKUP(A67,'Intake Responses'!$A:$A,'Intake Responses'!$E:$E),"")</f>
        <v/>
      </c>
      <c r="C67" s="3">
        <f>IFERROR(XLOOKUP(A67,'Intake Responses'!$A:$A,'Intake Responses'!$D:$D),"")</f>
        <v/>
      </c>
      <c r="D67" s="3">
        <f>IFERROR(XLOOKUP(A67,'Intake Responses'!$A:$A,'Intake Responses'!$F:$F),"")</f>
        <v/>
      </c>
      <c r="E67" s="3" t="n"/>
      <c r="F67" s="3">
        <f>IFERROR(XLOOKUP(A67,'Intake Responses'!$A:$A,'Intake Responses'!$M:$M),"")</f>
        <v/>
      </c>
      <c r="G67" s="3">
        <f>IFERROR(XLOOKUP(A67,'Intake Responses'!$A:$A,'Intake Responses'!$N:$N),"")</f>
        <v/>
      </c>
      <c r="H67" s="3">
        <f>IFERROR(XLOOKUP(A67,'Intake Responses'!$A:$A,'Intake Responses'!$O:$O),"")</f>
        <v/>
      </c>
      <c r="I67" s="3">
        <f>IFERROR(SWITCH(F67,"Multiple times per day",60,"Daily",20,"Weekly",4,"Monthly",1,"Quarterly",0.33,"Ad hoc",0.5,"Unknown",0),0)</f>
        <v/>
      </c>
      <c r="J67" s="3">
        <f>IFERROR((G67*H67*I67)/60,0)</f>
        <v/>
      </c>
      <c r="K67" s="3">
        <f>IFERROR(J67*12,0)</f>
        <v/>
      </c>
      <c r="L67" s="3">
        <f>IFERROR(XLOOKUP(A67,'Intake Responses'!$A:$A,'Intake Responses'!$T:$T),"")</f>
        <v/>
      </c>
      <c r="M67" s="3">
        <f>IFERROR(XLOOKUP(A67,'Intake Responses'!$A:$A,'Intake Responses'!$U:$U),"")</f>
        <v/>
      </c>
      <c r="N67" s="3">
        <f>IFERROR(XLOOKUP(A67,'Intake Responses'!$A:$A,'Intake Responses'!$V:$V),"")</f>
        <v/>
      </c>
      <c r="O67" s="3">
        <f>IFERROR(XLOOKUP(A67,'Intake Responses'!$A:$A,'Intake Responses'!$W:$W),"")</f>
        <v/>
      </c>
      <c r="P67" s="3">
        <f>IFERROR(XLOOKUP(A67,'Intake Responses'!$A:$A,'Intake Responses'!$X:$X),"")</f>
        <v/>
      </c>
      <c r="Q67" s="3">
        <f>IFERROR(XLOOKUP(A67,'Intake Responses'!$A:$A,'Intake Responses'!$AF:$AF),"")</f>
        <v/>
      </c>
      <c r="R67" s="3">
        <f>IFERROR(XLOOKUP(A67,'Intake Responses'!$A:$A,'Intake Responses'!$S:$S),"")</f>
        <v/>
      </c>
      <c r="S67" s="3" t="n"/>
      <c r="T67" s="3" t="n"/>
      <c r="U67" s="3" t="n"/>
      <c r="V67" s="3">
        <f>IFERROR(MIN(5,ROUND(((M67+O67)/2)+(IF(J67&gt;=20,2,IF(J67&gt;=10,1.5,IF(J67&gt;=5,1,IF(J67&gt;=1,0.5,0))))),1)),0)</f>
        <v/>
      </c>
      <c r="W67" s="3">
        <f>IFERROR(SWITCH(F67,"Multiple times per day",5,"Daily",4,"Weekly",3,"Monthly",2,"Quarterly",1,"Ad hoc",1,"Unknown",0),0)</f>
        <v/>
      </c>
      <c r="X67" s="3">
        <f>IFERROR(ROUND(AVERAGE(L67,N67),1),0)</f>
        <v/>
      </c>
      <c r="Y67" s="3">
        <f>IFERROR(SWITCH(U67,"High",3,"Medium",2,"Low",0,"Unknown",1,1)+IF(Q67="Yes",2,IF(Q67="Unsure",1,0)),0)</f>
        <v/>
      </c>
      <c r="Z67" s="3">
        <f>IFERROR(ROUND((V67*2)+(W67*1)+(X67*2)+(IF(T67="Easy",2,IF(T67="Medium",1,IF(T67="Hard",-1,0))))-(Y67*2),1),0)</f>
        <v/>
      </c>
      <c r="AA67" s="3">
        <f>IFERROR(IF(S67="Not a fit","Not a Fit",IF(Y67&gt;=5,"High Risk / Needs Review",IF(AND(Z67&gt;=18,T67="Easy"),"Quick Win",IF(AND(Z67&gt;=18,T67&lt;&gt;"Easy"),"Strategic Project",IF(Z67&gt;=10,"Discovery Needed","Process Issue"))))),"")</f>
        <v/>
      </c>
      <c r="AB67" s="3">
        <f>IFERROR(SWITCH(AA67,"Quick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7" s="3" t="n"/>
      <c r="AD67" s="3" t="n"/>
      <c r="AE67" s="3" t="n"/>
    </row>
    <row r="68" ht="25" customHeight="1">
      <c r="A68" s="2" t="n"/>
      <c r="B68" s="2">
        <f>IFERROR(XLOOKUP(A68,'Intake Responses'!$A:$A,'Intake Responses'!$E:$E),"")</f>
        <v/>
      </c>
      <c r="C68" s="2">
        <f>IFERROR(XLOOKUP(A68,'Intake Responses'!$A:$A,'Intake Responses'!$D:$D),"")</f>
        <v/>
      </c>
      <c r="D68" s="2">
        <f>IFERROR(XLOOKUP(A68,'Intake Responses'!$A:$A,'Intake Responses'!$F:$F),"")</f>
        <v/>
      </c>
      <c r="E68" s="2" t="n"/>
      <c r="F68" s="2">
        <f>IFERROR(XLOOKUP(A68,'Intake Responses'!$A:$A,'Intake Responses'!$M:$M),"")</f>
        <v/>
      </c>
      <c r="G68" s="2">
        <f>IFERROR(XLOOKUP(A68,'Intake Responses'!$A:$A,'Intake Responses'!$N:$N),"")</f>
        <v/>
      </c>
      <c r="H68" s="2">
        <f>IFERROR(XLOOKUP(A68,'Intake Responses'!$A:$A,'Intake Responses'!$O:$O),"")</f>
        <v/>
      </c>
      <c r="I68" s="2">
        <f>IFERROR(SWITCH(F68,"Multiple times per day",60,"Daily",20,"Weekly",4,"Monthly",1,"Quarterly",0.33,"Ad hoc",0.5,"Unknown",0),0)</f>
        <v/>
      </c>
      <c r="J68" s="2">
        <f>IFERROR((G68*H68*I68)/60,0)</f>
        <v/>
      </c>
      <c r="K68" s="2">
        <f>IFERROR(J68*12,0)</f>
        <v/>
      </c>
      <c r="L68" s="2">
        <f>IFERROR(XLOOKUP(A68,'Intake Responses'!$A:$A,'Intake Responses'!$T:$T),"")</f>
        <v/>
      </c>
      <c r="M68" s="2">
        <f>IFERROR(XLOOKUP(A68,'Intake Responses'!$A:$A,'Intake Responses'!$U:$U),"")</f>
        <v/>
      </c>
      <c r="N68" s="2">
        <f>IFERROR(XLOOKUP(A68,'Intake Responses'!$A:$A,'Intake Responses'!$V:$V),"")</f>
        <v/>
      </c>
      <c r="O68" s="2">
        <f>IFERROR(XLOOKUP(A68,'Intake Responses'!$A:$A,'Intake Responses'!$W:$W),"")</f>
        <v/>
      </c>
      <c r="P68" s="2">
        <f>IFERROR(XLOOKUP(A68,'Intake Responses'!$A:$A,'Intake Responses'!$X:$X),"")</f>
        <v/>
      </c>
      <c r="Q68" s="2">
        <f>IFERROR(XLOOKUP(A68,'Intake Responses'!$A:$A,'Intake Responses'!$AF:$AF),"")</f>
        <v/>
      </c>
      <c r="R68" s="2">
        <f>IFERROR(XLOOKUP(A68,'Intake Responses'!$A:$A,'Intake Responses'!$S:$S),"")</f>
        <v/>
      </c>
      <c r="S68" s="2" t="n"/>
      <c r="T68" s="2" t="n"/>
      <c r="U68" s="2" t="n"/>
      <c r="V68" s="2">
        <f>IFERROR(MIN(5,ROUND(((M68+O68)/2)+(IF(J68&gt;=20,2,IF(J68&gt;=10,1.5,IF(J68&gt;=5,1,IF(J68&gt;=1,0.5,0))))),1)),0)</f>
        <v/>
      </c>
      <c r="W68" s="2">
        <f>IFERROR(SWITCH(F68,"Multiple times per day",5,"Daily",4,"Weekly",3,"Monthly",2,"Quarterly",1,"Ad hoc",1,"Unknown",0),0)</f>
        <v/>
      </c>
      <c r="X68" s="2">
        <f>IFERROR(ROUND(AVERAGE(L68,N68),1),0)</f>
        <v/>
      </c>
      <c r="Y68" s="2">
        <f>IFERROR(SWITCH(U68,"High",3,"Medium",2,"Low",0,"Unknown",1,1)+IF(Q68="Yes",2,IF(Q68="Unsure",1,0)),0)</f>
        <v/>
      </c>
      <c r="Z68" s="2">
        <f>IFERROR(ROUND((V68*2)+(W68*1)+(X68*2)+(IF(T68="Easy",2,IF(T68="Medium",1,IF(T68="Hard",-1,0))))-(Y68*2),1),0)</f>
        <v/>
      </c>
      <c r="AA68" s="2">
        <f>IFERROR(IF(S68="Not a fit","Not a Fit",IF(Y68&gt;=5,"High Risk / Needs Review",IF(AND(Z68&gt;=18,T68="Easy"),"Quick Win",IF(AND(Z68&gt;=18,T68&lt;&gt;"Easy"),"Strategic Project",IF(Z68&gt;=10,"Discovery Needed","Process Issue"))))),"")</f>
        <v/>
      </c>
      <c r="AB68" s="2">
        <f>IFERROR(SWITCH(AA68,"Quick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8" s="2" t="n"/>
      <c r="AD68" s="2" t="n"/>
      <c r="AE68" s="2" t="n"/>
    </row>
    <row r="69" ht="25" customHeight="1">
      <c r="A69" s="3" t="n"/>
      <c r="B69" s="3">
        <f>IFERROR(XLOOKUP(A69,'Intake Responses'!$A:$A,'Intake Responses'!$E:$E),"")</f>
        <v/>
      </c>
      <c r="C69" s="3">
        <f>IFERROR(XLOOKUP(A69,'Intake Responses'!$A:$A,'Intake Responses'!$D:$D),"")</f>
        <v/>
      </c>
      <c r="D69" s="3">
        <f>IFERROR(XLOOKUP(A69,'Intake Responses'!$A:$A,'Intake Responses'!$F:$F),"")</f>
        <v/>
      </c>
      <c r="E69" s="3" t="n"/>
      <c r="F69" s="3">
        <f>IFERROR(XLOOKUP(A69,'Intake Responses'!$A:$A,'Intake Responses'!$M:$M),"")</f>
        <v/>
      </c>
      <c r="G69" s="3">
        <f>IFERROR(XLOOKUP(A69,'Intake Responses'!$A:$A,'Intake Responses'!$N:$N),"")</f>
        <v/>
      </c>
      <c r="H69" s="3">
        <f>IFERROR(XLOOKUP(A69,'Intake Responses'!$A:$A,'Intake Responses'!$O:$O),"")</f>
        <v/>
      </c>
      <c r="I69" s="3">
        <f>IFERROR(SWITCH(F69,"Multiple times per day",60,"Daily",20,"Weekly",4,"Monthly",1,"Quarterly",0.33,"Ad hoc",0.5,"Unknown",0),0)</f>
        <v/>
      </c>
      <c r="J69" s="3">
        <f>IFERROR((G69*H69*I69)/60,0)</f>
        <v/>
      </c>
      <c r="K69" s="3">
        <f>IFERROR(J69*12,0)</f>
        <v/>
      </c>
      <c r="L69" s="3">
        <f>IFERROR(XLOOKUP(A69,'Intake Responses'!$A:$A,'Intake Responses'!$T:$T),"")</f>
        <v/>
      </c>
      <c r="M69" s="3">
        <f>IFERROR(XLOOKUP(A69,'Intake Responses'!$A:$A,'Intake Responses'!$U:$U),"")</f>
        <v/>
      </c>
      <c r="N69" s="3">
        <f>IFERROR(XLOOKUP(A69,'Intake Responses'!$A:$A,'Intake Responses'!$V:$V),"")</f>
        <v/>
      </c>
      <c r="O69" s="3">
        <f>IFERROR(XLOOKUP(A69,'Intake Responses'!$A:$A,'Intake Responses'!$W:$W),"")</f>
        <v/>
      </c>
      <c r="P69" s="3">
        <f>IFERROR(XLOOKUP(A69,'Intake Responses'!$A:$A,'Intake Responses'!$X:$X),"")</f>
        <v/>
      </c>
      <c r="Q69" s="3">
        <f>IFERROR(XLOOKUP(A69,'Intake Responses'!$A:$A,'Intake Responses'!$AF:$AF),"")</f>
        <v/>
      </c>
      <c r="R69" s="3">
        <f>IFERROR(XLOOKUP(A69,'Intake Responses'!$A:$A,'Intake Responses'!$S:$S),"")</f>
        <v/>
      </c>
      <c r="S69" s="3" t="n"/>
      <c r="T69" s="3" t="n"/>
      <c r="U69" s="3" t="n"/>
      <c r="V69" s="3">
        <f>IFERROR(MIN(5,ROUND(((M69+O69)/2)+(IF(J69&gt;=20,2,IF(J69&gt;=10,1.5,IF(J69&gt;=5,1,IF(J69&gt;=1,0.5,0))))),1)),0)</f>
        <v/>
      </c>
      <c r="W69" s="3">
        <f>IFERROR(SWITCH(F69,"Multiple times per day",5,"Daily",4,"Weekly",3,"Monthly",2,"Quarterly",1,"Ad hoc",1,"Unknown",0),0)</f>
        <v/>
      </c>
      <c r="X69" s="3">
        <f>IFERROR(ROUND(AVERAGE(L69,N69),1),0)</f>
        <v/>
      </c>
      <c r="Y69" s="3">
        <f>IFERROR(SWITCH(U69,"High",3,"Medium",2,"Low",0,"Unknown",1,1)+IF(Q69="Yes",2,IF(Q69="Unsure",1,0)),0)</f>
        <v/>
      </c>
      <c r="Z69" s="3">
        <f>IFERROR(ROUND((V69*2)+(W69*1)+(X69*2)+(IF(T69="Easy",2,IF(T69="Medium",1,IF(T69="Hard",-1,0))))-(Y69*2),1),0)</f>
        <v/>
      </c>
      <c r="AA69" s="3">
        <f>IFERROR(IF(S69="Not a fit","Not a Fit",IF(Y69&gt;=5,"High Risk / Needs Review",IF(AND(Z69&gt;=18,T69="Easy"),"Quick Win",IF(AND(Z69&gt;=18,T69&lt;&gt;"Easy"),"Strategic Project",IF(Z69&gt;=10,"Discovery Needed","Process Issue"))))),"")</f>
        <v/>
      </c>
      <c r="AB69" s="3">
        <f>IFERROR(SWITCH(AA69,"Quick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69" s="3" t="n"/>
      <c r="AD69" s="3" t="n"/>
      <c r="AE69" s="3" t="n"/>
    </row>
    <row r="70" ht="25" customHeight="1">
      <c r="A70" s="2" t="n"/>
      <c r="B70" s="2">
        <f>IFERROR(XLOOKUP(A70,'Intake Responses'!$A:$A,'Intake Responses'!$E:$E),"")</f>
        <v/>
      </c>
      <c r="C70" s="2">
        <f>IFERROR(XLOOKUP(A70,'Intake Responses'!$A:$A,'Intake Responses'!$D:$D),"")</f>
        <v/>
      </c>
      <c r="D70" s="2">
        <f>IFERROR(XLOOKUP(A70,'Intake Responses'!$A:$A,'Intake Responses'!$F:$F),"")</f>
        <v/>
      </c>
      <c r="E70" s="2" t="n"/>
      <c r="F70" s="2">
        <f>IFERROR(XLOOKUP(A70,'Intake Responses'!$A:$A,'Intake Responses'!$M:$M),"")</f>
        <v/>
      </c>
      <c r="G70" s="2">
        <f>IFERROR(XLOOKUP(A70,'Intake Responses'!$A:$A,'Intake Responses'!$N:$N),"")</f>
        <v/>
      </c>
      <c r="H70" s="2">
        <f>IFERROR(XLOOKUP(A70,'Intake Responses'!$A:$A,'Intake Responses'!$O:$O),"")</f>
        <v/>
      </c>
      <c r="I70" s="2">
        <f>IFERROR(SWITCH(F70,"Multiple times per day",60,"Daily",20,"Weekly",4,"Monthly",1,"Quarterly",0.33,"Ad hoc",0.5,"Unknown",0),0)</f>
        <v/>
      </c>
      <c r="J70" s="2">
        <f>IFERROR((G70*H70*I70)/60,0)</f>
        <v/>
      </c>
      <c r="K70" s="2">
        <f>IFERROR(J70*12,0)</f>
        <v/>
      </c>
      <c r="L70" s="2">
        <f>IFERROR(XLOOKUP(A70,'Intake Responses'!$A:$A,'Intake Responses'!$T:$T),"")</f>
        <v/>
      </c>
      <c r="M70" s="2">
        <f>IFERROR(XLOOKUP(A70,'Intake Responses'!$A:$A,'Intake Responses'!$U:$U),"")</f>
        <v/>
      </c>
      <c r="N70" s="2">
        <f>IFERROR(XLOOKUP(A70,'Intake Responses'!$A:$A,'Intake Responses'!$V:$V),"")</f>
        <v/>
      </c>
      <c r="O70" s="2">
        <f>IFERROR(XLOOKUP(A70,'Intake Responses'!$A:$A,'Intake Responses'!$W:$W),"")</f>
        <v/>
      </c>
      <c r="P70" s="2">
        <f>IFERROR(XLOOKUP(A70,'Intake Responses'!$A:$A,'Intake Responses'!$X:$X),"")</f>
        <v/>
      </c>
      <c r="Q70" s="2">
        <f>IFERROR(XLOOKUP(A70,'Intake Responses'!$A:$A,'Intake Responses'!$AF:$AF),"")</f>
        <v/>
      </c>
      <c r="R70" s="2">
        <f>IFERROR(XLOOKUP(A70,'Intake Responses'!$A:$A,'Intake Responses'!$S:$S),"")</f>
        <v/>
      </c>
      <c r="S70" s="2" t="n"/>
      <c r="T70" s="2" t="n"/>
      <c r="U70" s="2" t="n"/>
      <c r="V70" s="2">
        <f>IFERROR(MIN(5,ROUND(((M70+O70)/2)+(IF(J70&gt;=20,2,IF(J70&gt;=10,1.5,IF(J70&gt;=5,1,IF(J70&gt;=1,0.5,0))))),1)),0)</f>
        <v/>
      </c>
      <c r="W70" s="2">
        <f>IFERROR(SWITCH(F70,"Multiple times per day",5,"Daily",4,"Weekly",3,"Monthly",2,"Quarterly",1,"Ad hoc",1,"Unknown",0),0)</f>
        <v/>
      </c>
      <c r="X70" s="2">
        <f>IFERROR(ROUND(AVERAGE(L70,N70),1),0)</f>
        <v/>
      </c>
      <c r="Y70" s="2">
        <f>IFERROR(SWITCH(U70,"High",3,"Medium",2,"Low",0,"Unknown",1,1)+IF(Q70="Yes",2,IF(Q70="Unsure",1,0)),0)</f>
        <v/>
      </c>
      <c r="Z70" s="2">
        <f>IFERROR(ROUND((V70*2)+(W70*1)+(X70*2)+(IF(T70="Easy",2,IF(T70="Medium",1,IF(T70="Hard",-1,0))))-(Y70*2),1),0)</f>
        <v/>
      </c>
      <c r="AA70" s="2">
        <f>IFERROR(IF(S70="Not a fit","Not a Fit",IF(Y70&gt;=5,"High Risk / Needs Review",IF(AND(Z70&gt;=18,T70="Easy"),"Quick Win",IF(AND(Z70&gt;=18,T70&lt;&gt;"Easy"),"Strategic Project",IF(Z70&gt;=10,"Discovery Needed","Process Issue"))))),"")</f>
        <v/>
      </c>
      <c r="AB70" s="2">
        <f>IFERROR(SWITCH(AA70,"Quick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0" s="2" t="n"/>
      <c r="AD70" s="2" t="n"/>
      <c r="AE70" s="2" t="n"/>
    </row>
    <row r="71" ht="25" customHeight="1">
      <c r="A71" s="3" t="n"/>
      <c r="B71" s="3">
        <f>IFERROR(XLOOKUP(A71,'Intake Responses'!$A:$A,'Intake Responses'!$E:$E),"")</f>
        <v/>
      </c>
      <c r="C71" s="3">
        <f>IFERROR(XLOOKUP(A71,'Intake Responses'!$A:$A,'Intake Responses'!$D:$D),"")</f>
        <v/>
      </c>
      <c r="D71" s="3">
        <f>IFERROR(XLOOKUP(A71,'Intake Responses'!$A:$A,'Intake Responses'!$F:$F),"")</f>
        <v/>
      </c>
      <c r="E71" s="3" t="n"/>
      <c r="F71" s="3">
        <f>IFERROR(XLOOKUP(A71,'Intake Responses'!$A:$A,'Intake Responses'!$M:$M),"")</f>
        <v/>
      </c>
      <c r="G71" s="3">
        <f>IFERROR(XLOOKUP(A71,'Intake Responses'!$A:$A,'Intake Responses'!$N:$N),"")</f>
        <v/>
      </c>
      <c r="H71" s="3">
        <f>IFERROR(XLOOKUP(A71,'Intake Responses'!$A:$A,'Intake Responses'!$O:$O),"")</f>
        <v/>
      </c>
      <c r="I71" s="3">
        <f>IFERROR(SWITCH(F71,"Multiple times per day",60,"Daily",20,"Weekly",4,"Monthly",1,"Quarterly",0.33,"Ad hoc",0.5,"Unknown",0),0)</f>
        <v/>
      </c>
      <c r="J71" s="3">
        <f>IFERROR((G71*H71*I71)/60,0)</f>
        <v/>
      </c>
      <c r="K71" s="3">
        <f>IFERROR(J71*12,0)</f>
        <v/>
      </c>
      <c r="L71" s="3">
        <f>IFERROR(XLOOKUP(A71,'Intake Responses'!$A:$A,'Intake Responses'!$T:$T),"")</f>
        <v/>
      </c>
      <c r="M71" s="3">
        <f>IFERROR(XLOOKUP(A71,'Intake Responses'!$A:$A,'Intake Responses'!$U:$U),"")</f>
        <v/>
      </c>
      <c r="N71" s="3">
        <f>IFERROR(XLOOKUP(A71,'Intake Responses'!$A:$A,'Intake Responses'!$V:$V),"")</f>
        <v/>
      </c>
      <c r="O71" s="3">
        <f>IFERROR(XLOOKUP(A71,'Intake Responses'!$A:$A,'Intake Responses'!$W:$W),"")</f>
        <v/>
      </c>
      <c r="P71" s="3">
        <f>IFERROR(XLOOKUP(A71,'Intake Responses'!$A:$A,'Intake Responses'!$X:$X),"")</f>
        <v/>
      </c>
      <c r="Q71" s="3">
        <f>IFERROR(XLOOKUP(A71,'Intake Responses'!$A:$A,'Intake Responses'!$AF:$AF),"")</f>
        <v/>
      </c>
      <c r="R71" s="3">
        <f>IFERROR(XLOOKUP(A71,'Intake Responses'!$A:$A,'Intake Responses'!$S:$S),"")</f>
        <v/>
      </c>
      <c r="S71" s="3" t="n"/>
      <c r="T71" s="3" t="n"/>
      <c r="U71" s="3" t="n"/>
      <c r="V71" s="3">
        <f>IFERROR(MIN(5,ROUND(((M71+O71)/2)+(IF(J71&gt;=20,2,IF(J71&gt;=10,1.5,IF(J71&gt;=5,1,IF(J71&gt;=1,0.5,0))))),1)),0)</f>
        <v/>
      </c>
      <c r="W71" s="3">
        <f>IFERROR(SWITCH(F71,"Multiple times per day",5,"Daily",4,"Weekly",3,"Monthly",2,"Quarterly",1,"Ad hoc",1,"Unknown",0),0)</f>
        <v/>
      </c>
      <c r="X71" s="3">
        <f>IFERROR(ROUND(AVERAGE(L71,N71),1),0)</f>
        <v/>
      </c>
      <c r="Y71" s="3">
        <f>IFERROR(SWITCH(U71,"High",3,"Medium",2,"Low",0,"Unknown",1,1)+IF(Q71="Yes",2,IF(Q71="Unsure",1,0)),0)</f>
        <v/>
      </c>
      <c r="Z71" s="3">
        <f>IFERROR(ROUND((V71*2)+(W71*1)+(X71*2)+(IF(T71="Easy",2,IF(T71="Medium",1,IF(T71="Hard",-1,0))))-(Y71*2),1),0)</f>
        <v/>
      </c>
      <c r="AA71" s="3">
        <f>IFERROR(IF(S71="Not a fit","Not a Fit",IF(Y71&gt;=5,"High Risk / Needs Review",IF(AND(Z71&gt;=18,T71="Easy"),"Quick Win",IF(AND(Z71&gt;=18,T71&lt;&gt;"Easy"),"Strategic Project",IF(Z71&gt;=10,"Discovery Needed","Process Issue"))))),"")</f>
        <v/>
      </c>
      <c r="AB71" s="3">
        <f>IFERROR(SWITCH(AA71,"Quick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1" s="3" t="n"/>
      <c r="AD71" s="3" t="n"/>
      <c r="AE71" s="3" t="n"/>
    </row>
    <row r="72" ht="25" customHeight="1">
      <c r="A72" s="2" t="n"/>
      <c r="B72" s="2">
        <f>IFERROR(XLOOKUP(A72,'Intake Responses'!$A:$A,'Intake Responses'!$E:$E),"")</f>
        <v/>
      </c>
      <c r="C72" s="2">
        <f>IFERROR(XLOOKUP(A72,'Intake Responses'!$A:$A,'Intake Responses'!$D:$D),"")</f>
        <v/>
      </c>
      <c r="D72" s="2">
        <f>IFERROR(XLOOKUP(A72,'Intake Responses'!$A:$A,'Intake Responses'!$F:$F),"")</f>
        <v/>
      </c>
      <c r="E72" s="2" t="n"/>
      <c r="F72" s="2">
        <f>IFERROR(XLOOKUP(A72,'Intake Responses'!$A:$A,'Intake Responses'!$M:$M),"")</f>
        <v/>
      </c>
      <c r="G72" s="2">
        <f>IFERROR(XLOOKUP(A72,'Intake Responses'!$A:$A,'Intake Responses'!$N:$N),"")</f>
        <v/>
      </c>
      <c r="H72" s="2">
        <f>IFERROR(XLOOKUP(A72,'Intake Responses'!$A:$A,'Intake Responses'!$O:$O),"")</f>
        <v/>
      </c>
      <c r="I72" s="2">
        <f>IFERROR(SWITCH(F72,"Multiple times per day",60,"Daily",20,"Weekly",4,"Monthly",1,"Quarterly",0.33,"Ad hoc",0.5,"Unknown",0),0)</f>
        <v/>
      </c>
      <c r="J72" s="2">
        <f>IFERROR((G72*H72*I72)/60,0)</f>
        <v/>
      </c>
      <c r="K72" s="2">
        <f>IFERROR(J72*12,0)</f>
        <v/>
      </c>
      <c r="L72" s="2">
        <f>IFERROR(XLOOKUP(A72,'Intake Responses'!$A:$A,'Intake Responses'!$T:$T),"")</f>
        <v/>
      </c>
      <c r="M72" s="2">
        <f>IFERROR(XLOOKUP(A72,'Intake Responses'!$A:$A,'Intake Responses'!$U:$U),"")</f>
        <v/>
      </c>
      <c r="N72" s="2">
        <f>IFERROR(XLOOKUP(A72,'Intake Responses'!$A:$A,'Intake Responses'!$V:$V),"")</f>
        <v/>
      </c>
      <c r="O72" s="2">
        <f>IFERROR(XLOOKUP(A72,'Intake Responses'!$A:$A,'Intake Responses'!$W:$W),"")</f>
        <v/>
      </c>
      <c r="P72" s="2">
        <f>IFERROR(XLOOKUP(A72,'Intake Responses'!$A:$A,'Intake Responses'!$X:$X),"")</f>
        <v/>
      </c>
      <c r="Q72" s="2">
        <f>IFERROR(XLOOKUP(A72,'Intake Responses'!$A:$A,'Intake Responses'!$AF:$AF),"")</f>
        <v/>
      </c>
      <c r="R72" s="2">
        <f>IFERROR(XLOOKUP(A72,'Intake Responses'!$A:$A,'Intake Responses'!$S:$S),"")</f>
        <v/>
      </c>
      <c r="S72" s="2" t="n"/>
      <c r="T72" s="2" t="n"/>
      <c r="U72" s="2" t="n"/>
      <c r="V72" s="2">
        <f>IFERROR(MIN(5,ROUND(((M72+O72)/2)+(IF(J72&gt;=20,2,IF(J72&gt;=10,1.5,IF(J72&gt;=5,1,IF(J72&gt;=1,0.5,0))))),1)),0)</f>
        <v/>
      </c>
      <c r="W72" s="2">
        <f>IFERROR(SWITCH(F72,"Multiple times per day",5,"Daily",4,"Weekly",3,"Monthly",2,"Quarterly",1,"Ad hoc",1,"Unknown",0),0)</f>
        <v/>
      </c>
      <c r="X72" s="2">
        <f>IFERROR(ROUND(AVERAGE(L72,N72),1),0)</f>
        <v/>
      </c>
      <c r="Y72" s="2">
        <f>IFERROR(SWITCH(U72,"High",3,"Medium",2,"Low",0,"Unknown",1,1)+IF(Q72="Yes",2,IF(Q72="Unsure",1,0)),0)</f>
        <v/>
      </c>
      <c r="Z72" s="2">
        <f>IFERROR(ROUND((V72*2)+(W72*1)+(X72*2)+(IF(T72="Easy",2,IF(T72="Medium",1,IF(T72="Hard",-1,0))))-(Y72*2),1),0)</f>
        <v/>
      </c>
      <c r="AA72" s="2">
        <f>IFERROR(IF(S72="Not a fit","Not a Fit",IF(Y72&gt;=5,"High Risk / Needs Review",IF(AND(Z72&gt;=18,T72="Easy"),"Quick Win",IF(AND(Z72&gt;=18,T72&lt;&gt;"Easy"),"Strategic Project",IF(Z72&gt;=10,"Discovery Needed","Process Issue"))))),"")</f>
        <v/>
      </c>
      <c r="AB72" s="2">
        <f>IFERROR(SWITCH(AA72,"Quick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2" s="2" t="n"/>
      <c r="AD72" s="2" t="n"/>
      <c r="AE72" s="2" t="n"/>
    </row>
    <row r="73" ht="25" customHeight="1">
      <c r="A73" s="3" t="n"/>
      <c r="B73" s="3">
        <f>IFERROR(XLOOKUP(A73,'Intake Responses'!$A:$A,'Intake Responses'!$E:$E),"")</f>
        <v/>
      </c>
      <c r="C73" s="3">
        <f>IFERROR(XLOOKUP(A73,'Intake Responses'!$A:$A,'Intake Responses'!$D:$D),"")</f>
        <v/>
      </c>
      <c r="D73" s="3">
        <f>IFERROR(XLOOKUP(A73,'Intake Responses'!$A:$A,'Intake Responses'!$F:$F),"")</f>
        <v/>
      </c>
      <c r="E73" s="3" t="n"/>
      <c r="F73" s="3">
        <f>IFERROR(XLOOKUP(A73,'Intake Responses'!$A:$A,'Intake Responses'!$M:$M),"")</f>
        <v/>
      </c>
      <c r="G73" s="3">
        <f>IFERROR(XLOOKUP(A73,'Intake Responses'!$A:$A,'Intake Responses'!$N:$N),"")</f>
        <v/>
      </c>
      <c r="H73" s="3">
        <f>IFERROR(XLOOKUP(A73,'Intake Responses'!$A:$A,'Intake Responses'!$O:$O),"")</f>
        <v/>
      </c>
      <c r="I73" s="3">
        <f>IFERROR(SWITCH(F73,"Multiple times per day",60,"Daily",20,"Weekly",4,"Monthly",1,"Quarterly",0.33,"Ad hoc",0.5,"Unknown",0),0)</f>
        <v/>
      </c>
      <c r="J73" s="3">
        <f>IFERROR((G73*H73*I73)/60,0)</f>
        <v/>
      </c>
      <c r="K73" s="3">
        <f>IFERROR(J73*12,0)</f>
        <v/>
      </c>
      <c r="L73" s="3">
        <f>IFERROR(XLOOKUP(A73,'Intake Responses'!$A:$A,'Intake Responses'!$T:$T),"")</f>
        <v/>
      </c>
      <c r="M73" s="3">
        <f>IFERROR(XLOOKUP(A73,'Intake Responses'!$A:$A,'Intake Responses'!$U:$U),"")</f>
        <v/>
      </c>
      <c r="N73" s="3">
        <f>IFERROR(XLOOKUP(A73,'Intake Responses'!$A:$A,'Intake Responses'!$V:$V),"")</f>
        <v/>
      </c>
      <c r="O73" s="3">
        <f>IFERROR(XLOOKUP(A73,'Intake Responses'!$A:$A,'Intake Responses'!$W:$W),"")</f>
        <v/>
      </c>
      <c r="P73" s="3">
        <f>IFERROR(XLOOKUP(A73,'Intake Responses'!$A:$A,'Intake Responses'!$X:$X),"")</f>
        <v/>
      </c>
      <c r="Q73" s="3">
        <f>IFERROR(XLOOKUP(A73,'Intake Responses'!$A:$A,'Intake Responses'!$AF:$AF),"")</f>
        <v/>
      </c>
      <c r="R73" s="3">
        <f>IFERROR(XLOOKUP(A73,'Intake Responses'!$A:$A,'Intake Responses'!$S:$S),"")</f>
        <v/>
      </c>
      <c r="S73" s="3" t="n"/>
      <c r="T73" s="3" t="n"/>
      <c r="U73" s="3" t="n"/>
      <c r="V73" s="3">
        <f>IFERROR(MIN(5,ROUND(((M73+O73)/2)+(IF(J73&gt;=20,2,IF(J73&gt;=10,1.5,IF(J73&gt;=5,1,IF(J73&gt;=1,0.5,0))))),1)),0)</f>
        <v/>
      </c>
      <c r="W73" s="3">
        <f>IFERROR(SWITCH(F73,"Multiple times per day",5,"Daily",4,"Weekly",3,"Monthly",2,"Quarterly",1,"Ad hoc",1,"Unknown",0),0)</f>
        <v/>
      </c>
      <c r="X73" s="3">
        <f>IFERROR(ROUND(AVERAGE(L73,N73),1),0)</f>
        <v/>
      </c>
      <c r="Y73" s="3">
        <f>IFERROR(SWITCH(U73,"High",3,"Medium",2,"Low",0,"Unknown",1,1)+IF(Q73="Yes",2,IF(Q73="Unsure",1,0)),0)</f>
        <v/>
      </c>
      <c r="Z73" s="3">
        <f>IFERROR(ROUND((V73*2)+(W73*1)+(X73*2)+(IF(T73="Easy",2,IF(T73="Medium",1,IF(T73="Hard",-1,0))))-(Y73*2),1),0)</f>
        <v/>
      </c>
      <c r="AA73" s="3">
        <f>IFERROR(IF(S73="Not a fit","Not a Fit",IF(Y73&gt;=5,"High Risk / Needs Review",IF(AND(Z73&gt;=18,T73="Easy"),"Quick Win",IF(AND(Z73&gt;=18,T73&lt;&gt;"Easy"),"Strategic Project",IF(Z73&gt;=10,"Discovery Needed","Process Issue"))))),"")</f>
        <v/>
      </c>
      <c r="AB73" s="3">
        <f>IFERROR(SWITCH(AA73,"Quick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3" s="3" t="n"/>
      <c r="AD73" s="3" t="n"/>
      <c r="AE73" s="3" t="n"/>
    </row>
    <row r="74" ht="25" customHeight="1">
      <c r="A74" s="2" t="n"/>
      <c r="B74" s="2">
        <f>IFERROR(XLOOKUP(A74,'Intake Responses'!$A:$A,'Intake Responses'!$E:$E),"")</f>
        <v/>
      </c>
      <c r="C74" s="2">
        <f>IFERROR(XLOOKUP(A74,'Intake Responses'!$A:$A,'Intake Responses'!$D:$D),"")</f>
        <v/>
      </c>
      <c r="D74" s="2">
        <f>IFERROR(XLOOKUP(A74,'Intake Responses'!$A:$A,'Intake Responses'!$F:$F),"")</f>
        <v/>
      </c>
      <c r="E74" s="2" t="n"/>
      <c r="F74" s="2">
        <f>IFERROR(XLOOKUP(A74,'Intake Responses'!$A:$A,'Intake Responses'!$M:$M),"")</f>
        <v/>
      </c>
      <c r="G74" s="2">
        <f>IFERROR(XLOOKUP(A74,'Intake Responses'!$A:$A,'Intake Responses'!$N:$N),"")</f>
        <v/>
      </c>
      <c r="H74" s="2">
        <f>IFERROR(XLOOKUP(A74,'Intake Responses'!$A:$A,'Intake Responses'!$O:$O),"")</f>
        <v/>
      </c>
      <c r="I74" s="2">
        <f>IFERROR(SWITCH(F74,"Multiple times per day",60,"Daily",20,"Weekly",4,"Monthly",1,"Quarterly",0.33,"Ad hoc",0.5,"Unknown",0),0)</f>
        <v/>
      </c>
      <c r="J74" s="2">
        <f>IFERROR((G74*H74*I74)/60,0)</f>
        <v/>
      </c>
      <c r="K74" s="2">
        <f>IFERROR(J74*12,0)</f>
        <v/>
      </c>
      <c r="L74" s="2">
        <f>IFERROR(XLOOKUP(A74,'Intake Responses'!$A:$A,'Intake Responses'!$T:$T),"")</f>
        <v/>
      </c>
      <c r="M74" s="2">
        <f>IFERROR(XLOOKUP(A74,'Intake Responses'!$A:$A,'Intake Responses'!$U:$U),"")</f>
        <v/>
      </c>
      <c r="N74" s="2">
        <f>IFERROR(XLOOKUP(A74,'Intake Responses'!$A:$A,'Intake Responses'!$V:$V),"")</f>
        <v/>
      </c>
      <c r="O74" s="2">
        <f>IFERROR(XLOOKUP(A74,'Intake Responses'!$A:$A,'Intake Responses'!$W:$W),"")</f>
        <v/>
      </c>
      <c r="P74" s="2">
        <f>IFERROR(XLOOKUP(A74,'Intake Responses'!$A:$A,'Intake Responses'!$X:$X),"")</f>
        <v/>
      </c>
      <c r="Q74" s="2">
        <f>IFERROR(XLOOKUP(A74,'Intake Responses'!$A:$A,'Intake Responses'!$AF:$AF),"")</f>
        <v/>
      </c>
      <c r="R74" s="2">
        <f>IFERROR(XLOOKUP(A74,'Intake Responses'!$A:$A,'Intake Responses'!$S:$S),"")</f>
        <v/>
      </c>
      <c r="S74" s="2" t="n"/>
      <c r="T74" s="2" t="n"/>
      <c r="U74" s="2" t="n"/>
      <c r="V74" s="2">
        <f>IFERROR(MIN(5,ROUND(((M74+O74)/2)+(IF(J74&gt;=20,2,IF(J74&gt;=10,1.5,IF(J74&gt;=5,1,IF(J74&gt;=1,0.5,0))))),1)),0)</f>
        <v/>
      </c>
      <c r="W74" s="2">
        <f>IFERROR(SWITCH(F74,"Multiple times per day",5,"Daily",4,"Weekly",3,"Monthly",2,"Quarterly",1,"Ad hoc",1,"Unknown",0),0)</f>
        <v/>
      </c>
      <c r="X74" s="2">
        <f>IFERROR(ROUND(AVERAGE(L74,N74),1),0)</f>
        <v/>
      </c>
      <c r="Y74" s="2">
        <f>IFERROR(SWITCH(U74,"High",3,"Medium",2,"Low",0,"Unknown",1,1)+IF(Q74="Yes",2,IF(Q74="Unsure",1,0)),0)</f>
        <v/>
      </c>
      <c r="Z74" s="2">
        <f>IFERROR(ROUND((V74*2)+(W74*1)+(X74*2)+(IF(T74="Easy",2,IF(T74="Medium",1,IF(T74="Hard",-1,0))))-(Y74*2),1),0)</f>
        <v/>
      </c>
      <c r="AA74" s="2">
        <f>IFERROR(IF(S74="Not a fit","Not a Fit",IF(Y74&gt;=5,"High Risk / Needs Review",IF(AND(Z74&gt;=18,T74="Easy"),"Quick Win",IF(AND(Z74&gt;=18,T74&lt;&gt;"Easy"),"Strategic Project",IF(Z74&gt;=10,"Discovery Needed","Process Issue"))))),"")</f>
        <v/>
      </c>
      <c r="AB74" s="2">
        <f>IFERROR(SWITCH(AA74,"Quick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4" s="2" t="n"/>
      <c r="AD74" s="2" t="n"/>
      <c r="AE74" s="2" t="n"/>
    </row>
    <row r="75" ht="25" customHeight="1">
      <c r="A75" s="3" t="n"/>
      <c r="B75" s="3">
        <f>IFERROR(XLOOKUP(A75,'Intake Responses'!$A:$A,'Intake Responses'!$E:$E),"")</f>
        <v/>
      </c>
      <c r="C75" s="3">
        <f>IFERROR(XLOOKUP(A75,'Intake Responses'!$A:$A,'Intake Responses'!$D:$D),"")</f>
        <v/>
      </c>
      <c r="D75" s="3">
        <f>IFERROR(XLOOKUP(A75,'Intake Responses'!$A:$A,'Intake Responses'!$F:$F),"")</f>
        <v/>
      </c>
      <c r="E75" s="3" t="n"/>
      <c r="F75" s="3">
        <f>IFERROR(XLOOKUP(A75,'Intake Responses'!$A:$A,'Intake Responses'!$M:$M),"")</f>
        <v/>
      </c>
      <c r="G75" s="3">
        <f>IFERROR(XLOOKUP(A75,'Intake Responses'!$A:$A,'Intake Responses'!$N:$N),"")</f>
        <v/>
      </c>
      <c r="H75" s="3">
        <f>IFERROR(XLOOKUP(A75,'Intake Responses'!$A:$A,'Intake Responses'!$O:$O),"")</f>
        <v/>
      </c>
      <c r="I75" s="3">
        <f>IFERROR(SWITCH(F75,"Multiple times per day",60,"Daily",20,"Weekly",4,"Monthly",1,"Quarterly",0.33,"Ad hoc",0.5,"Unknown",0),0)</f>
        <v/>
      </c>
      <c r="J75" s="3">
        <f>IFERROR((G75*H75*I75)/60,0)</f>
        <v/>
      </c>
      <c r="K75" s="3">
        <f>IFERROR(J75*12,0)</f>
        <v/>
      </c>
      <c r="L75" s="3">
        <f>IFERROR(XLOOKUP(A75,'Intake Responses'!$A:$A,'Intake Responses'!$T:$T),"")</f>
        <v/>
      </c>
      <c r="M75" s="3">
        <f>IFERROR(XLOOKUP(A75,'Intake Responses'!$A:$A,'Intake Responses'!$U:$U),"")</f>
        <v/>
      </c>
      <c r="N75" s="3">
        <f>IFERROR(XLOOKUP(A75,'Intake Responses'!$A:$A,'Intake Responses'!$V:$V),"")</f>
        <v/>
      </c>
      <c r="O75" s="3">
        <f>IFERROR(XLOOKUP(A75,'Intake Responses'!$A:$A,'Intake Responses'!$W:$W),"")</f>
        <v/>
      </c>
      <c r="P75" s="3">
        <f>IFERROR(XLOOKUP(A75,'Intake Responses'!$A:$A,'Intake Responses'!$X:$X),"")</f>
        <v/>
      </c>
      <c r="Q75" s="3">
        <f>IFERROR(XLOOKUP(A75,'Intake Responses'!$A:$A,'Intake Responses'!$AF:$AF),"")</f>
        <v/>
      </c>
      <c r="R75" s="3">
        <f>IFERROR(XLOOKUP(A75,'Intake Responses'!$A:$A,'Intake Responses'!$S:$S),"")</f>
        <v/>
      </c>
      <c r="S75" s="3" t="n"/>
      <c r="T75" s="3" t="n"/>
      <c r="U75" s="3" t="n"/>
      <c r="V75" s="3">
        <f>IFERROR(MIN(5,ROUND(((M75+O75)/2)+(IF(J75&gt;=20,2,IF(J75&gt;=10,1.5,IF(J75&gt;=5,1,IF(J75&gt;=1,0.5,0))))),1)),0)</f>
        <v/>
      </c>
      <c r="W75" s="3">
        <f>IFERROR(SWITCH(F75,"Multiple times per day",5,"Daily",4,"Weekly",3,"Monthly",2,"Quarterly",1,"Ad hoc",1,"Unknown",0),0)</f>
        <v/>
      </c>
      <c r="X75" s="3">
        <f>IFERROR(ROUND(AVERAGE(L75,N75),1),0)</f>
        <v/>
      </c>
      <c r="Y75" s="3">
        <f>IFERROR(SWITCH(U75,"High",3,"Medium",2,"Low",0,"Unknown",1,1)+IF(Q75="Yes",2,IF(Q75="Unsure",1,0)),0)</f>
        <v/>
      </c>
      <c r="Z75" s="3">
        <f>IFERROR(ROUND((V75*2)+(W75*1)+(X75*2)+(IF(T75="Easy",2,IF(T75="Medium",1,IF(T75="Hard",-1,0))))-(Y75*2),1),0)</f>
        <v/>
      </c>
      <c r="AA75" s="3">
        <f>IFERROR(IF(S75="Not a fit","Not a Fit",IF(Y75&gt;=5,"High Risk / Needs Review",IF(AND(Z75&gt;=18,T75="Easy"),"Quick Win",IF(AND(Z75&gt;=18,T75&lt;&gt;"Easy"),"Strategic Project",IF(Z75&gt;=10,"Discovery Needed","Process Issue"))))),"")</f>
        <v/>
      </c>
      <c r="AB75" s="3">
        <f>IFERROR(SWITCH(AA75,"Quick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5" s="3" t="n"/>
      <c r="AD75" s="3" t="n"/>
      <c r="AE75" s="3" t="n"/>
    </row>
    <row r="76" ht="25" customHeight="1">
      <c r="A76" s="2" t="n"/>
      <c r="B76" s="2">
        <f>IFERROR(XLOOKUP(A76,'Intake Responses'!$A:$A,'Intake Responses'!$E:$E),"")</f>
        <v/>
      </c>
      <c r="C76" s="2">
        <f>IFERROR(XLOOKUP(A76,'Intake Responses'!$A:$A,'Intake Responses'!$D:$D),"")</f>
        <v/>
      </c>
      <c r="D76" s="2">
        <f>IFERROR(XLOOKUP(A76,'Intake Responses'!$A:$A,'Intake Responses'!$F:$F),"")</f>
        <v/>
      </c>
      <c r="E76" s="2" t="n"/>
      <c r="F76" s="2">
        <f>IFERROR(XLOOKUP(A76,'Intake Responses'!$A:$A,'Intake Responses'!$M:$M),"")</f>
        <v/>
      </c>
      <c r="G76" s="2">
        <f>IFERROR(XLOOKUP(A76,'Intake Responses'!$A:$A,'Intake Responses'!$N:$N),"")</f>
        <v/>
      </c>
      <c r="H76" s="2">
        <f>IFERROR(XLOOKUP(A76,'Intake Responses'!$A:$A,'Intake Responses'!$O:$O),"")</f>
        <v/>
      </c>
      <c r="I76" s="2">
        <f>IFERROR(SWITCH(F76,"Multiple times per day",60,"Daily",20,"Weekly",4,"Monthly",1,"Quarterly",0.33,"Ad hoc",0.5,"Unknown",0),0)</f>
        <v/>
      </c>
      <c r="J76" s="2">
        <f>IFERROR((G76*H76*I76)/60,0)</f>
        <v/>
      </c>
      <c r="K76" s="2">
        <f>IFERROR(J76*12,0)</f>
        <v/>
      </c>
      <c r="L76" s="2">
        <f>IFERROR(XLOOKUP(A76,'Intake Responses'!$A:$A,'Intake Responses'!$T:$T),"")</f>
        <v/>
      </c>
      <c r="M76" s="2">
        <f>IFERROR(XLOOKUP(A76,'Intake Responses'!$A:$A,'Intake Responses'!$U:$U),"")</f>
        <v/>
      </c>
      <c r="N76" s="2">
        <f>IFERROR(XLOOKUP(A76,'Intake Responses'!$A:$A,'Intake Responses'!$V:$V),"")</f>
        <v/>
      </c>
      <c r="O76" s="2">
        <f>IFERROR(XLOOKUP(A76,'Intake Responses'!$A:$A,'Intake Responses'!$W:$W),"")</f>
        <v/>
      </c>
      <c r="P76" s="2">
        <f>IFERROR(XLOOKUP(A76,'Intake Responses'!$A:$A,'Intake Responses'!$X:$X),"")</f>
        <v/>
      </c>
      <c r="Q76" s="2">
        <f>IFERROR(XLOOKUP(A76,'Intake Responses'!$A:$A,'Intake Responses'!$AF:$AF),"")</f>
        <v/>
      </c>
      <c r="R76" s="2">
        <f>IFERROR(XLOOKUP(A76,'Intake Responses'!$A:$A,'Intake Responses'!$S:$S),"")</f>
        <v/>
      </c>
      <c r="S76" s="2" t="n"/>
      <c r="T76" s="2" t="n"/>
      <c r="U76" s="2" t="n"/>
      <c r="V76" s="2">
        <f>IFERROR(MIN(5,ROUND(((M76+O76)/2)+(IF(J76&gt;=20,2,IF(J76&gt;=10,1.5,IF(J76&gt;=5,1,IF(J76&gt;=1,0.5,0))))),1)),0)</f>
        <v/>
      </c>
      <c r="W76" s="2">
        <f>IFERROR(SWITCH(F76,"Multiple times per day",5,"Daily",4,"Weekly",3,"Monthly",2,"Quarterly",1,"Ad hoc",1,"Unknown",0),0)</f>
        <v/>
      </c>
      <c r="X76" s="2">
        <f>IFERROR(ROUND(AVERAGE(L76,N76),1),0)</f>
        <v/>
      </c>
      <c r="Y76" s="2">
        <f>IFERROR(SWITCH(U76,"High",3,"Medium",2,"Low",0,"Unknown",1,1)+IF(Q76="Yes",2,IF(Q76="Unsure",1,0)),0)</f>
        <v/>
      </c>
      <c r="Z76" s="2">
        <f>IFERROR(ROUND((V76*2)+(W76*1)+(X76*2)+(IF(T76="Easy",2,IF(T76="Medium",1,IF(T76="Hard",-1,0))))-(Y76*2),1),0)</f>
        <v/>
      </c>
      <c r="AA76" s="2">
        <f>IFERROR(IF(S76="Not a fit","Not a Fit",IF(Y76&gt;=5,"High Risk / Needs Review",IF(AND(Z76&gt;=18,T76="Easy"),"Quick Win",IF(AND(Z76&gt;=18,T76&lt;&gt;"Easy"),"Strategic Project",IF(Z76&gt;=10,"Discovery Needed","Process Issue"))))),"")</f>
        <v/>
      </c>
      <c r="AB76" s="2">
        <f>IFERROR(SWITCH(AA76,"Quick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6" s="2" t="n"/>
      <c r="AD76" s="2" t="n"/>
      <c r="AE76" s="2" t="n"/>
    </row>
    <row r="77" ht="25" customHeight="1">
      <c r="A77" s="3" t="n"/>
      <c r="B77" s="3">
        <f>IFERROR(XLOOKUP(A77,'Intake Responses'!$A:$A,'Intake Responses'!$E:$E),"")</f>
        <v/>
      </c>
      <c r="C77" s="3">
        <f>IFERROR(XLOOKUP(A77,'Intake Responses'!$A:$A,'Intake Responses'!$D:$D),"")</f>
        <v/>
      </c>
      <c r="D77" s="3">
        <f>IFERROR(XLOOKUP(A77,'Intake Responses'!$A:$A,'Intake Responses'!$F:$F),"")</f>
        <v/>
      </c>
      <c r="E77" s="3" t="n"/>
      <c r="F77" s="3">
        <f>IFERROR(XLOOKUP(A77,'Intake Responses'!$A:$A,'Intake Responses'!$M:$M),"")</f>
        <v/>
      </c>
      <c r="G77" s="3">
        <f>IFERROR(XLOOKUP(A77,'Intake Responses'!$A:$A,'Intake Responses'!$N:$N),"")</f>
        <v/>
      </c>
      <c r="H77" s="3">
        <f>IFERROR(XLOOKUP(A77,'Intake Responses'!$A:$A,'Intake Responses'!$O:$O),"")</f>
        <v/>
      </c>
      <c r="I77" s="3">
        <f>IFERROR(SWITCH(F77,"Multiple times per day",60,"Daily",20,"Weekly",4,"Monthly",1,"Quarterly",0.33,"Ad hoc",0.5,"Unknown",0),0)</f>
        <v/>
      </c>
      <c r="J77" s="3">
        <f>IFERROR((G77*H77*I77)/60,0)</f>
        <v/>
      </c>
      <c r="K77" s="3">
        <f>IFERROR(J77*12,0)</f>
        <v/>
      </c>
      <c r="L77" s="3">
        <f>IFERROR(XLOOKUP(A77,'Intake Responses'!$A:$A,'Intake Responses'!$T:$T),"")</f>
        <v/>
      </c>
      <c r="M77" s="3">
        <f>IFERROR(XLOOKUP(A77,'Intake Responses'!$A:$A,'Intake Responses'!$U:$U),"")</f>
        <v/>
      </c>
      <c r="N77" s="3">
        <f>IFERROR(XLOOKUP(A77,'Intake Responses'!$A:$A,'Intake Responses'!$V:$V),"")</f>
        <v/>
      </c>
      <c r="O77" s="3">
        <f>IFERROR(XLOOKUP(A77,'Intake Responses'!$A:$A,'Intake Responses'!$W:$W),"")</f>
        <v/>
      </c>
      <c r="P77" s="3">
        <f>IFERROR(XLOOKUP(A77,'Intake Responses'!$A:$A,'Intake Responses'!$X:$X),"")</f>
        <v/>
      </c>
      <c r="Q77" s="3">
        <f>IFERROR(XLOOKUP(A77,'Intake Responses'!$A:$A,'Intake Responses'!$AF:$AF),"")</f>
        <v/>
      </c>
      <c r="R77" s="3">
        <f>IFERROR(XLOOKUP(A77,'Intake Responses'!$A:$A,'Intake Responses'!$S:$S),"")</f>
        <v/>
      </c>
      <c r="S77" s="3" t="n"/>
      <c r="T77" s="3" t="n"/>
      <c r="U77" s="3" t="n"/>
      <c r="V77" s="3">
        <f>IFERROR(MIN(5,ROUND(((M77+O77)/2)+(IF(J77&gt;=20,2,IF(J77&gt;=10,1.5,IF(J77&gt;=5,1,IF(J77&gt;=1,0.5,0))))),1)),0)</f>
        <v/>
      </c>
      <c r="W77" s="3">
        <f>IFERROR(SWITCH(F77,"Multiple times per day",5,"Daily",4,"Weekly",3,"Monthly",2,"Quarterly",1,"Ad hoc",1,"Unknown",0),0)</f>
        <v/>
      </c>
      <c r="X77" s="3">
        <f>IFERROR(ROUND(AVERAGE(L77,N77),1),0)</f>
        <v/>
      </c>
      <c r="Y77" s="3">
        <f>IFERROR(SWITCH(U77,"High",3,"Medium",2,"Low",0,"Unknown",1,1)+IF(Q77="Yes",2,IF(Q77="Unsure",1,0)),0)</f>
        <v/>
      </c>
      <c r="Z77" s="3">
        <f>IFERROR(ROUND((V77*2)+(W77*1)+(X77*2)+(IF(T77="Easy",2,IF(T77="Medium",1,IF(T77="Hard",-1,0))))-(Y77*2),1),0)</f>
        <v/>
      </c>
      <c r="AA77" s="3">
        <f>IFERROR(IF(S77="Not a fit","Not a Fit",IF(Y77&gt;=5,"High Risk / Needs Review",IF(AND(Z77&gt;=18,T77="Easy"),"Quick Win",IF(AND(Z77&gt;=18,T77&lt;&gt;"Easy"),"Strategic Project",IF(Z77&gt;=10,"Discovery Needed","Process Issue"))))),"")</f>
        <v/>
      </c>
      <c r="AB77" s="3">
        <f>IFERROR(SWITCH(AA77,"Quick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7" s="3" t="n"/>
      <c r="AD77" s="3" t="n"/>
      <c r="AE77" s="3" t="n"/>
    </row>
    <row r="78" ht="25" customHeight="1">
      <c r="A78" s="2" t="n"/>
      <c r="B78" s="2">
        <f>IFERROR(XLOOKUP(A78,'Intake Responses'!$A:$A,'Intake Responses'!$E:$E),"")</f>
        <v/>
      </c>
      <c r="C78" s="2">
        <f>IFERROR(XLOOKUP(A78,'Intake Responses'!$A:$A,'Intake Responses'!$D:$D),"")</f>
        <v/>
      </c>
      <c r="D78" s="2">
        <f>IFERROR(XLOOKUP(A78,'Intake Responses'!$A:$A,'Intake Responses'!$F:$F),"")</f>
        <v/>
      </c>
      <c r="E78" s="2" t="n"/>
      <c r="F78" s="2">
        <f>IFERROR(XLOOKUP(A78,'Intake Responses'!$A:$A,'Intake Responses'!$M:$M),"")</f>
        <v/>
      </c>
      <c r="G78" s="2">
        <f>IFERROR(XLOOKUP(A78,'Intake Responses'!$A:$A,'Intake Responses'!$N:$N),"")</f>
        <v/>
      </c>
      <c r="H78" s="2">
        <f>IFERROR(XLOOKUP(A78,'Intake Responses'!$A:$A,'Intake Responses'!$O:$O),"")</f>
        <v/>
      </c>
      <c r="I78" s="2">
        <f>IFERROR(SWITCH(F78,"Multiple times per day",60,"Daily",20,"Weekly",4,"Monthly",1,"Quarterly",0.33,"Ad hoc",0.5,"Unknown",0),0)</f>
        <v/>
      </c>
      <c r="J78" s="2">
        <f>IFERROR((G78*H78*I78)/60,0)</f>
        <v/>
      </c>
      <c r="K78" s="2">
        <f>IFERROR(J78*12,0)</f>
        <v/>
      </c>
      <c r="L78" s="2">
        <f>IFERROR(XLOOKUP(A78,'Intake Responses'!$A:$A,'Intake Responses'!$T:$T),"")</f>
        <v/>
      </c>
      <c r="M78" s="2">
        <f>IFERROR(XLOOKUP(A78,'Intake Responses'!$A:$A,'Intake Responses'!$U:$U),"")</f>
        <v/>
      </c>
      <c r="N78" s="2">
        <f>IFERROR(XLOOKUP(A78,'Intake Responses'!$A:$A,'Intake Responses'!$V:$V),"")</f>
        <v/>
      </c>
      <c r="O78" s="2">
        <f>IFERROR(XLOOKUP(A78,'Intake Responses'!$A:$A,'Intake Responses'!$W:$W),"")</f>
        <v/>
      </c>
      <c r="P78" s="2">
        <f>IFERROR(XLOOKUP(A78,'Intake Responses'!$A:$A,'Intake Responses'!$X:$X),"")</f>
        <v/>
      </c>
      <c r="Q78" s="2">
        <f>IFERROR(XLOOKUP(A78,'Intake Responses'!$A:$A,'Intake Responses'!$AF:$AF),"")</f>
        <v/>
      </c>
      <c r="R78" s="2">
        <f>IFERROR(XLOOKUP(A78,'Intake Responses'!$A:$A,'Intake Responses'!$S:$S),"")</f>
        <v/>
      </c>
      <c r="S78" s="2" t="n"/>
      <c r="T78" s="2" t="n"/>
      <c r="U78" s="2" t="n"/>
      <c r="V78" s="2">
        <f>IFERROR(MIN(5,ROUND(((M78+O78)/2)+(IF(J78&gt;=20,2,IF(J78&gt;=10,1.5,IF(J78&gt;=5,1,IF(J78&gt;=1,0.5,0))))),1)),0)</f>
        <v/>
      </c>
      <c r="W78" s="2">
        <f>IFERROR(SWITCH(F78,"Multiple times per day",5,"Daily",4,"Weekly",3,"Monthly",2,"Quarterly",1,"Ad hoc",1,"Unknown",0),0)</f>
        <v/>
      </c>
      <c r="X78" s="2">
        <f>IFERROR(ROUND(AVERAGE(L78,N78),1),0)</f>
        <v/>
      </c>
      <c r="Y78" s="2">
        <f>IFERROR(SWITCH(U78,"High",3,"Medium",2,"Low",0,"Unknown",1,1)+IF(Q78="Yes",2,IF(Q78="Unsure",1,0)),0)</f>
        <v/>
      </c>
      <c r="Z78" s="2">
        <f>IFERROR(ROUND((V78*2)+(W78*1)+(X78*2)+(IF(T78="Easy",2,IF(T78="Medium",1,IF(T78="Hard",-1,0))))-(Y78*2),1),0)</f>
        <v/>
      </c>
      <c r="AA78" s="2">
        <f>IFERROR(IF(S78="Not a fit","Not a Fit",IF(Y78&gt;=5,"High Risk / Needs Review",IF(AND(Z78&gt;=18,T78="Easy"),"Quick Win",IF(AND(Z78&gt;=18,T78&lt;&gt;"Easy"),"Strategic Project",IF(Z78&gt;=10,"Discovery Needed","Process Issue"))))),"")</f>
        <v/>
      </c>
      <c r="AB78" s="2">
        <f>IFERROR(SWITCH(AA78,"Quick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8" s="2" t="n"/>
      <c r="AD78" s="2" t="n"/>
      <c r="AE78" s="2" t="n"/>
    </row>
    <row r="79" ht="25" customHeight="1">
      <c r="A79" s="3" t="n"/>
      <c r="B79" s="3">
        <f>IFERROR(XLOOKUP(A79,'Intake Responses'!$A:$A,'Intake Responses'!$E:$E),"")</f>
        <v/>
      </c>
      <c r="C79" s="3">
        <f>IFERROR(XLOOKUP(A79,'Intake Responses'!$A:$A,'Intake Responses'!$D:$D),"")</f>
        <v/>
      </c>
      <c r="D79" s="3">
        <f>IFERROR(XLOOKUP(A79,'Intake Responses'!$A:$A,'Intake Responses'!$F:$F),"")</f>
        <v/>
      </c>
      <c r="E79" s="3" t="n"/>
      <c r="F79" s="3">
        <f>IFERROR(XLOOKUP(A79,'Intake Responses'!$A:$A,'Intake Responses'!$M:$M),"")</f>
        <v/>
      </c>
      <c r="G79" s="3">
        <f>IFERROR(XLOOKUP(A79,'Intake Responses'!$A:$A,'Intake Responses'!$N:$N),"")</f>
        <v/>
      </c>
      <c r="H79" s="3">
        <f>IFERROR(XLOOKUP(A79,'Intake Responses'!$A:$A,'Intake Responses'!$O:$O),"")</f>
        <v/>
      </c>
      <c r="I79" s="3">
        <f>IFERROR(SWITCH(F79,"Multiple times per day",60,"Daily",20,"Weekly",4,"Monthly",1,"Quarterly",0.33,"Ad hoc",0.5,"Unknown",0),0)</f>
        <v/>
      </c>
      <c r="J79" s="3">
        <f>IFERROR((G79*H79*I79)/60,0)</f>
        <v/>
      </c>
      <c r="K79" s="3">
        <f>IFERROR(J79*12,0)</f>
        <v/>
      </c>
      <c r="L79" s="3">
        <f>IFERROR(XLOOKUP(A79,'Intake Responses'!$A:$A,'Intake Responses'!$T:$T),"")</f>
        <v/>
      </c>
      <c r="M79" s="3">
        <f>IFERROR(XLOOKUP(A79,'Intake Responses'!$A:$A,'Intake Responses'!$U:$U),"")</f>
        <v/>
      </c>
      <c r="N79" s="3">
        <f>IFERROR(XLOOKUP(A79,'Intake Responses'!$A:$A,'Intake Responses'!$V:$V),"")</f>
        <v/>
      </c>
      <c r="O79" s="3">
        <f>IFERROR(XLOOKUP(A79,'Intake Responses'!$A:$A,'Intake Responses'!$W:$W),"")</f>
        <v/>
      </c>
      <c r="P79" s="3">
        <f>IFERROR(XLOOKUP(A79,'Intake Responses'!$A:$A,'Intake Responses'!$X:$X),"")</f>
        <v/>
      </c>
      <c r="Q79" s="3">
        <f>IFERROR(XLOOKUP(A79,'Intake Responses'!$A:$A,'Intake Responses'!$AF:$AF),"")</f>
        <v/>
      </c>
      <c r="R79" s="3">
        <f>IFERROR(XLOOKUP(A79,'Intake Responses'!$A:$A,'Intake Responses'!$S:$S),"")</f>
        <v/>
      </c>
      <c r="S79" s="3" t="n"/>
      <c r="T79" s="3" t="n"/>
      <c r="U79" s="3" t="n"/>
      <c r="V79" s="3">
        <f>IFERROR(MIN(5,ROUND(((M79+O79)/2)+(IF(J79&gt;=20,2,IF(J79&gt;=10,1.5,IF(J79&gt;=5,1,IF(J79&gt;=1,0.5,0))))),1)),0)</f>
        <v/>
      </c>
      <c r="W79" s="3">
        <f>IFERROR(SWITCH(F79,"Multiple times per day",5,"Daily",4,"Weekly",3,"Monthly",2,"Quarterly",1,"Ad hoc",1,"Unknown",0),0)</f>
        <v/>
      </c>
      <c r="X79" s="3">
        <f>IFERROR(ROUND(AVERAGE(L79,N79),1),0)</f>
        <v/>
      </c>
      <c r="Y79" s="3">
        <f>IFERROR(SWITCH(U79,"High",3,"Medium",2,"Low",0,"Unknown",1,1)+IF(Q79="Yes",2,IF(Q79="Unsure",1,0)),0)</f>
        <v/>
      </c>
      <c r="Z79" s="3">
        <f>IFERROR(ROUND((V79*2)+(W79*1)+(X79*2)+(IF(T79="Easy",2,IF(T79="Medium",1,IF(T79="Hard",-1,0))))-(Y79*2),1),0)</f>
        <v/>
      </c>
      <c r="AA79" s="3">
        <f>IFERROR(IF(S79="Not a fit","Not a Fit",IF(Y79&gt;=5,"High Risk / Needs Review",IF(AND(Z79&gt;=18,T79="Easy"),"Quick Win",IF(AND(Z79&gt;=18,T79&lt;&gt;"Easy"),"Strategic Project",IF(Z79&gt;=10,"Discovery Needed","Process Issue"))))),"")</f>
        <v/>
      </c>
      <c r="AB79" s="3">
        <f>IFERROR(SWITCH(AA79,"Quick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79" s="3" t="n"/>
      <c r="AD79" s="3" t="n"/>
      <c r="AE79" s="3" t="n"/>
    </row>
    <row r="80" ht="25" customHeight="1">
      <c r="A80" s="2" t="n"/>
      <c r="B80" s="2">
        <f>IFERROR(XLOOKUP(A80,'Intake Responses'!$A:$A,'Intake Responses'!$E:$E),"")</f>
        <v/>
      </c>
      <c r="C80" s="2">
        <f>IFERROR(XLOOKUP(A80,'Intake Responses'!$A:$A,'Intake Responses'!$D:$D),"")</f>
        <v/>
      </c>
      <c r="D80" s="2">
        <f>IFERROR(XLOOKUP(A80,'Intake Responses'!$A:$A,'Intake Responses'!$F:$F),"")</f>
        <v/>
      </c>
      <c r="E80" s="2" t="n"/>
      <c r="F80" s="2">
        <f>IFERROR(XLOOKUP(A80,'Intake Responses'!$A:$A,'Intake Responses'!$M:$M),"")</f>
        <v/>
      </c>
      <c r="G80" s="2">
        <f>IFERROR(XLOOKUP(A80,'Intake Responses'!$A:$A,'Intake Responses'!$N:$N),"")</f>
        <v/>
      </c>
      <c r="H80" s="2">
        <f>IFERROR(XLOOKUP(A80,'Intake Responses'!$A:$A,'Intake Responses'!$O:$O),"")</f>
        <v/>
      </c>
      <c r="I80" s="2">
        <f>IFERROR(SWITCH(F80,"Multiple times per day",60,"Daily",20,"Weekly",4,"Monthly",1,"Quarterly",0.33,"Ad hoc",0.5,"Unknown",0),0)</f>
        <v/>
      </c>
      <c r="J80" s="2">
        <f>IFERROR((G80*H80*I80)/60,0)</f>
        <v/>
      </c>
      <c r="K80" s="2">
        <f>IFERROR(J80*12,0)</f>
        <v/>
      </c>
      <c r="L80" s="2">
        <f>IFERROR(XLOOKUP(A80,'Intake Responses'!$A:$A,'Intake Responses'!$T:$T),"")</f>
        <v/>
      </c>
      <c r="M80" s="2">
        <f>IFERROR(XLOOKUP(A80,'Intake Responses'!$A:$A,'Intake Responses'!$U:$U),"")</f>
        <v/>
      </c>
      <c r="N80" s="2">
        <f>IFERROR(XLOOKUP(A80,'Intake Responses'!$A:$A,'Intake Responses'!$V:$V),"")</f>
        <v/>
      </c>
      <c r="O80" s="2">
        <f>IFERROR(XLOOKUP(A80,'Intake Responses'!$A:$A,'Intake Responses'!$W:$W),"")</f>
        <v/>
      </c>
      <c r="P80" s="2">
        <f>IFERROR(XLOOKUP(A80,'Intake Responses'!$A:$A,'Intake Responses'!$X:$X),"")</f>
        <v/>
      </c>
      <c r="Q80" s="2">
        <f>IFERROR(XLOOKUP(A80,'Intake Responses'!$A:$A,'Intake Responses'!$AF:$AF),"")</f>
        <v/>
      </c>
      <c r="R80" s="2">
        <f>IFERROR(XLOOKUP(A80,'Intake Responses'!$A:$A,'Intake Responses'!$S:$S),"")</f>
        <v/>
      </c>
      <c r="S80" s="2" t="n"/>
      <c r="T80" s="2" t="n"/>
      <c r="U80" s="2" t="n"/>
      <c r="V80" s="2">
        <f>IFERROR(MIN(5,ROUND(((M80+O80)/2)+(IF(J80&gt;=20,2,IF(J80&gt;=10,1.5,IF(J80&gt;=5,1,IF(J80&gt;=1,0.5,0))))),1)),0)</f>
        <v/>
      </c>
      <c r="W80" s="2">
        <f>IFERROR(SWITCH(F80,"Multiple times per day",5,"Daily",4,"Weekly",3,"Monthly",2,"Quarterly",1,"Ad hoc",1,"Unknown",0),0)</f>
        <v/>
      </c>
      <c r="X80" s="2">
        <f>IFERROR(ROUND(AVERAGE(L80,N80),1),0)</f>
        <v/>
      </c>
      <c r="Y80" s="2">
        <f>IFERROR(SWITCH(U80,"High",3,"Medium",2,"Low",0,"Unknown",1,1)+IF(Q80="Yes",2,IF(Q80="Unsure",1,0)),0)</f>
        <v/>
      </c>
      <c r="Z80" s="2">
        <f>IFERROR(ROUND((V80*2)+(W80*1)+(X80*2)+(IF(T80="Easy",2,IF(T80="Medium",1,IF(T80="Hard",-1,0))))-(Y80*2),1),0)</f>
        <v/>
      </c>
      <c r="AA80" s="2">
        <f>IFERROR(IF(S80="Not a fit","Not a Fit",IF(Y80&gt;=5,"High Risk / Needs Review",IF(AND(Z80&gt;=18,T80="Easy"),"Quick Win",IF(AND(Z80&gt;=18,T80&lt;&gt;"Easy"),"Strategic Project",IF(Z80&gt;=10,"Discovery Needed","Process Issue"))))),"")</f>
        <v/>
      </c>
      <c r="AB80" s="2">
        <f>IFERROR(SWITCH(AA80,"Quick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0" s="2" t="n"/>
      <c r="AD80" s="2" t="n"/>
      <c r="AE80" s="2" t="n"/>
    </row>
    <row r="81" ht="25" customHeight="1">
      <c r="A81" s="3" t="n"/>
      <c r="B81" s="3">
        <f>IFERROR(XLOOKUP(A81,'Intake Responses'!$A:$A,'Intake Responses'!$E:$E),"")</f>
        <v/>
      </c>
      <c r="C81" s="3">
        <f>IFERROR(XLOOKUP(A81,'Intake Responses'!$A:$A,'Intake Responses'!$D:$D),"")</f>
        <v/>
      </c>
      <c r="D81" s="3">
        <f>IFERROR(XLOOKUP(A81,'Intake Responses'!$A:$A,'Intake Responses'!$F:$F),"")</f>
        <v/>
      </c>
      <c r="E81" s="3" t="n"/>
      <c r="F81" s="3">
        <f>IFERROR(XLOOKUP(A81,'Intake Responses'!$A:$A,'Intake Responses'!$M:$M),"")</f>
        <v/>
      </c>
      <c r="G81" s="3">
        <f>IFERROR(XLOOKUP(A81,'Intake Responses'!$A:$A,'Intake Responses'!$N:$N),"")</f>
        <v/>
      </c>
      <c r="H81" s="3">
        <f>IFERROR(XLOOKUP(A81,'Intake Responses'!$A:$A,'Intake Responses'!$O:$O),"")</f>
        <v/>
      </c>
      <c r="I81" s="3">
        <f>IFERROR(SWITCH(F81,"Multiple times per day",60,"Daily",20,"Weekly",4,"Monthly",1,"Quarterly",0.33,"Ad hoc",0.5,"Unknown",0),0)</f>
        <v/>
      </c>
      <c r="J81" s="3">
        <f>IFERROR((G81*H81*I81)/60,0)</f>
        <v/>
      </c>
      <c r="K81" s="3">
        <f>IFERROR(J81*12,0)</f>
        <v/>
      </c>
      <c r="L81" s="3">
        <f>IFERROR(XLOOKUP(A81,'Intake Responses'!$A:$A,'Intake Responses'!$T:$T),"")</f>
        <v/>
      </c>
      <c r="M81" s="3">
        <f>IFERROR(XLOOKUP(A81,'Intake Responses'!$A:$A,'Intake Responses'!$U:$U),"")</f>
        <v/>
      </c>
      <c r="N81" s="3">
        <f>IFERROR(XLOOKUP(A81,'Intake Responses'!$A:$A,'Intake Responses'!$V:$V),"")</f>
        <v/>
      </c>
      <c r="O81" s="3">
        <f>IFERROR(XLOOKUP(A81,'Intake Responses'!$A:$A,'Intake Responses'!$W:$W),"")</f>
        <v/>
      </c>
      <c r="P81" s="3">
        <f>IFERROR(XLOOKUP(A81,'Intake Responses'!$A:$A,'Intake Responses'!$X:$X),"")</f>
        <v/>
      </c>
      <c r="Q81" s="3">
        <f>IFERROR(XLOOKUP(A81,'Intake Responses'!$A:$A,'Intake Responses'!$AF:$AF),"")</f>
        <v/>
      </c>
      <c r="R81" s="3">
        <f>IFERROR(XLOOKUP(A81,'Intake Responses'!$A:$A,'Intake Responses'!$S:$S),"")</f>
        <v/>
      </c>
      <c r="S81" s="3" t="n"/>
      <c r="T81" s="3" t="n"/>
      <c r="U81" s="3" t="n"/>
      <c r="V81" s="3">
        <f>IFERROR(MIN(5,ROUND(((M81+O81)/2)+(IF(J81&gt;=20,2,IF(J81&gt;=10,1.5,IF(J81&gt;=5,1,IF(J81&gt;=1,0.5,0))))),1)),0)</f>
        <v/>
      </c>
      <c r="W81" s="3">
        <f>IFERROR(SWITCH(F81,"Multiple times per day",5,"Daily",4,"Weekly",3,"Monthly",2,"Quarterly",1,"Ad hoc",1,"Unknown",0),0)</f>
        <v/>
      </c>
      <c r="X81" s="3">
        <f>IFERROR(ROUND(AVERAGE(L81,N81),1),0)</f>
        <v/>
      </c>
      <c r="Y81" s="3">
        <f>IFERROR(SWITCH(U81,"High",3,"Medium",2,"Low",0,"Unknown",1,1)+IF(Q81="Yes",2,IF(Q81="Unsure",1,0)),0)</f>
        <v/>
      </c>
      <c r="Z81" s="3">
        <f>IFERROR(ROUND((V81*2)+(W81*1)+(X81*2)+(IF(T81="Easy",2,IF(T81="Medium",1,IF(T81="Hard",-1,0))))-(Y81*2),1),0)</f>
        <v/>
      </c>
      <c r="AA81" s="3">
        <f>IFERROR(IF(S81="Not a fit","Not a Fit",IF(Y81&gt;=5,"High Risk / Needs Review",IF(AND(Z81&gt;=18,T81="Easy"),"Quick Win",IF(AND(Z81&gt;=18,T81&lt;&gt;"Easy"),"Strategic Project",IF(Z81&gt;=10,"Discovery Needed","Process Issue"))))),"")</f>
        <v/>
      </c>
      <c r="AB81" s="3">
        <f>IFERROR(SWITCH(AA81,"Quick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1" s="3" t="n"/>
      <c r="AD81" s="3" t="n"/>
      <c r="AE81" s="3" t="n"/>
    </row>
    <row r="82" ht="25" customHeight="1">
      <c r="A82" s="2" t="n"/>
      <c r="B82" s="2">
        <f>IFERROR(XLOOKUP(A82,'Intake Responses'!$A:$A,'Intake Responses'!$E:$E),"")</f>
        <v/>
      </c>
      <c r="C82" s="2">
        <f>IFERROR(XLOOKUP(A82,'Intake Responses'!$A:$A,'Intake Responses'!$D:$D),"")</f>
        <v/>
      </c>
      <c r="D82" s="2">
        <f>IFERROR(XLOOKUP(A82,'Intake Responses'!$A:$A,'Intake Responses'!$F:$F),"")</f>
        <v/>
      </c>
      <c r="E82" s="2" t="n"/>
      <c r="F82" s="2">
        <f>IFERROR(XLOOKUP(A82,'Intake Responses'!$A:$A,'Intake Responses'!$M:$M),"")</f>
        <v/>
      </c>
      <c r="G82" s="2">
        <f>IFERROR(XLOOKUP(A82,'Intake Responses'!$A:$A,'Intake Responses'!$N:$N),"")</f>
        <v/>
      </c>
      <c r="H82" s="2">
        <f>IFERROR(XLOOKUP(A82,'Intake Responses'!$A:$A,'Intake Responses'!$O:$O),"")</f>
        <v/>
      </c>
      <c r="I82" s="2">
        <f>IFERROR(SWITCH(F82,"Multiple times per day",60,"Daily",20,"Weekly",4,"Monthly",1,"Quarterly",0.33,"Ad hoc",0.5,"Unknown",0),0)</f>
        <v/>
      </c>
      <c r="J82" s="2">
        <f>IFERROR((G82*H82*I82)/60,0)</f>
        <v/>
      </c>
      <c r="K82" s="2">
        <f>IFERROR(J82*12,0)</f>
        <v/>
      </c>
      <c r="L82" s="2">
        <f>IFERROR(XLOOKUP(A82,'Intake Responses'!$A:$A,'Intake Responses'!$T:$T),"")</f>
        <v/>
      </c>
      <c r="M82" s="2">
        <f>IFERROR(XLOOKUP(A82,'Intake Responses'!$A:$A,'Intake Responses'!$U:$U),"")</f>
        <v/>
      </c>
      <c r="N82" s="2">
        <f>IFERROR(XLOOKUP(A82,'Intake Responses'!$A:$A,'Intake Responses'!$V:$V),"")</f>
        <v/>
      </c>
      <c r="O82" s="2">
        <f>IFERROR(XLOOKUP(A82,'Intake Responses'!$A:$A,'Intake Responses'!$W:$W),"")</f>
        <v/>
      </c>
      <c r="P82" s="2">
        <f>IFERROR(XLOOKUP(A82,'Intake Responses'!$A:$A,'Intake Responses'!$X:$X),"")</f>
        <v/>
      </c>
      <c r="Q82" s="2">
        <f>IFERROR(XLOOKUP(A82,'Intake Responses'!$A:$A,'Intake Responses'!$AF:$AF),"")</f>
        <v/>
      </c>
      <c r="R82" s="2">
        <f>IFERROR(XLOOKUP(A82,'Intake Responses'!$A:$A,'Intake Responses'!$S:$S),"")</f>
        <v/>
      </c>
      <c r="S82" s="2" t="n"/>
      <c r="T82" s="2" t="n"/>
      <c r="U82" s="2" t="n"/>
      <c r="V82" s="2">
        <f>IFERROR(MIN(5,ROUND(((M82+O82)/2)+(IF(J82&gt;=20,2,IF(J82&gt;=10,1.5,IF(J82&gt;=5,1,IF(J82&gt;=1,0.5,0))))),1)),0)</f>
        <v/>
      </c>
      <c r="W82" s="2">
        <f>IFERROR(SWITCH(F82,"Multiple times per day",5,"Daily",4,"Weekly",3,"Monthly",2,"Quarterly",1,"Ad hoc",1,"Unknown",0),0)</f>
        <v/>
      </c>
      <c r="X82" s="2">
        <f>IFERROR(ROUND(AVERAGE(L82,N82),1),0)</f>
        <v/>
      </c>
      <c r="Y82" s="2">
        <f>IFERROR(SWITCH(U82,"High",3,"Medium",2,"Low",0,"Unknown",1,1)+IF(Q82="Yes",2,IF(Q82="Unsure",1,0)),0)</f>
        <v/>
      </c>
      <c r="Z82" s="2">
        <f>IFERROR(ROUND((V82*2)+(W82*1)+(X82*2)+(IF(T82="Easy",2,IF(T82="Medium",1,IF(T82="Hard",-1,0))))-(Y82*2),1),0)</f>
        <v/>
      </c>
      <c r="AA82" s="2">
        <f>IFERROR(IF(S82="Not a fit","Not a Fit",IF(Y82&gt;=5,"High Risk / Needs Review",IF(AND(Z82&gt;=18,T82="Easy"),"Quick Win",IF(AND(Z82&gt;=18,T82&lt;&gt;"Easy"),"Strategic Project",IF(Z82&gt;=10,"Discovery Needed","Process Issue"))))),"")</f>
        <v/>
      </c>
      <c r="AB82" s="2">
        <f>IFERROR(SWITCH(AA82,"Quick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2" s="2" t="n"/>
      <c r="AD82" s="2" t="n"/>
      <c r="AE82" s="2" t="n"/>
    </row>
    <row r="83" ht="25" customHeight="1">
      <c r="A83" s="3" t="n"/>
      <c r="B83" s="3">
        <f>IFERROR(XLOOKUP(A83,'Intake Responses'!$A:$A,'Intake Responses'!$E:$E),"")</f>
        <v/>
      </c>
      <c r="C83" s="3">
        <f>IFERROR(XLOOKUP(A83,'Intake Responses'!$A:$A,'Intake Responses'!$D:$D),"")</f>
        <v/>
      </c>
      <c r="D83" s="3">
        <f>IFERROR(XLOOKUP(A83,'Intake Responses'!$A:$A,'Intake Responses'!$F:$F),"")</f>
        <v/>
      </c>
      <c r="E83" s="3" t="n"/>
      <c r="F83" s="3">
        <f>IFERROR(XLOOKUP(A83,'Intake Responses'!$A:$A,'Intake Responses'!$M:$M),"")</f>
        <v/>
      </c>
      <c r="G83" s="3">
        <f>IFERROR(XLOOKUP(A83,'Intake Responses'!$A:$A,'Intake Responses'!$N:$N),"")</f>
        <v/>
      </c>
      <c r="H83" s="3">
        <f>IFERROR(XLOOKUP(A83,'Intake Responses'!$A:$A,'Intake Responses'!$O:$O),"")</f>
        <v/>
      </c>
      <c r="I83" s="3">
        <f>IFERROR(SWITCH(F83,"Multiple times per day",60,"Daily",20,"Weekly",4,"Monthly",1,"Quarterly",0.33,"Ad hoc",0.5,"Unknown",0),0)</f>
        <v/>
      </c>
      <c r="J83" s="3">
        <f>IFERROR((G83*H83*I83)/60,0)</f>
        <v/>
      </c>
      <c r="K83" s="3">
        <f>IFERROR(J83*12,0)</f>
        <v/>
      </c>
      <c r="L83" s="3">
        <f>IFERROR(XLOOKUP(A83,'Intake Responses'!$A:$A,'Intake Responses'!$T:$T),"")</f>
        <v/>
      </c>
      <c r="M83" s="3">
        <f>IFERROR(XLOOKUP(A83,'Intake Responses'!$A:$A,'Intake Responses'!$U:$U),"")</f>
        <v/>
      </c>
      <c r="N83" s="3">
        <f>IFERROR(XLOOKUP(A83,'Intake Responses'!$A:$A,'Intake Responses'!$V:$V),"")</f>
        <v/>
      </c>
      <c r="O83" s="3">
        <f>IFERROR(XLOOKUP(A83,'Intake Responses'!$A:$A,'Intake Responses'!$W:$W),"")</f>
        <v/>
      </c>
      <c r="P83" s="3">
        <f>IFERROR(XLOOKUP(A83,'Intake Responses'!$A:$A,'Intake Responses'!$X:$X),"")</f>
        <v/>
      </c>
      <c r="Q83" s="3">
        <f>IFERROR(XLOOKUP(A83,'Intake Responses'!$A:$A,'Intake Responses'!$AF:$AF),"")</f>
        <v/>
      </c>
      <c r="R83" s="3">
        <f>IFERROR(XLOOKUP(A83,'Intake Responses'!$A:$A,'Intake Responses'!$S:$S),"")</f>
        <v/>
      </c>
      <c r="S83" s="3" t="n"/>
      <c r="T83" s="3" t="n"/>
      <c r="U83" s="3" t="n"/>
      <c r="V83" s="3">
        <f>IFERROR(MIN(5,ROUND(((M83+O83)/2)+(IF(J83&gt;=20,2,IF(J83&gt;=10,1.5,IF(J83&gt;=5,1,IF(J83&gt;=1,0.5,0))))),1)),0)</f>
        <v/>
      </c>
      <c r="W83" s="3">
        <f>IFERROR(SWITCH(F83,"Multiple times per day",5,"Daily",4,"Weekly",3,"Monthly",2,"Quarterly",1,"Ad hoc",1,"Unknown",0),0)</f>
        <v/>
      </c>
      <c r="X83" s="3">
        <f>IFERROR(ROUND(AVERAGE(L83,N83),1),0)</f>
        <v/>
      </c>
      <c r="Y83" s="3">
        <f>IFERROR(SWITCH(U83,"High",3,"Medium",2,"Low",0,"Unknown",1,1)+IF(Q83="Yes",2,IF(Q83="Unsure",1,0)),0)</f>
        <v/>
      </c>
      <c r="Z83" s="3">
        <f>IFERROR(ROUND((V83*2)+(W83*1)+(X83*2)+(IF(T83="Easy",2,IF(T83="Medium",1,IF(T83="Hard",-1,0))))-(Y83*2),1),0)</f>
        <v/>
      </c>
      <c r="AA83" s="3">
        <f>IFERROR(IF(S83="Not a fit","Not a Fit",IF(Y83&gt;=5,"High Risk / Needs Review",IF(AND(Z83&gt;=18,T83="Easy"),"Quick Win",IF(AND(Z83&gt;=18,T83&lt;&gt;"Easy"),"Strategic Project",IF(Z83&gt;=10,"Discovery Needed","Process Issue"))))),"")</f>
        <v/>
      </c>
      <c r="AB83" s="3">
        <f>IFERROR(SWITCH(AA83,"Quick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3" s="3" t="n"/>
      <c r="AD83" s="3" t="n"/>
      <c r="AE83" s="3" t="n"/>
    </row>
    <row r="84" ht="25" customHeight="1">
      <c r="A84" s="2" t="n"/>
      <c r="B84" s="2">
        <f>IFERROR(XLOOKUP(A84,'Intake Responses'!$A:$A,'Intake Responses'!$E:$E),"")</f>
        <v/>
      </c>
      <c r="C84" s="2">
        <f>IFERROR(XLOOKUP(A84,'Intake Responses'!$A:$A,'Intake Responses'!$D:$D),"")</f>
        <v/>
      </c>
      <c r="D84" s="2">
        <f>IFERROR(XLOOKUP(A84,'Intake Responses'!$A:$A,'Intake Responses'!$F:$F),"")</f>
        <v/>
      </c>
      <c r="E84" s="2" t="n"/>
      <c r="F84" s="2">
        <f>IFERROR(XLOOKUP(A84,'Intake Responses'!$A:$A,'Intake Responses'!$M:$M),"")</f>
        <v/>
      </c>
      <c r="G84" s="2">
        <f>IFERROR(XLOOKUP(A84,'Intake Responses'!$A:$A,'Intake Responses'!$N:$N),"")</f>
        <v/>
      </c>
      <c r="H84" s="2">
        <f>IFERROR(XLOOKUP(A84,'Intake Responses'!$A:$A,'Intake Responses'!$O:$O),"")</f>
        <v/>
      </c>
      <c r="I84" s="2">
        <f>IFERROR(SWITCH(F84,"Multiple times per day",60,"Daily",20,"Weekly",4,"Monthly",1,"Quarterly",0.33,"Ad hoc",0.5,"Unknown",0),0)</f>
        <v/>
      </c>
      <c r="J84" s="2">
        <f>IFERROR((G84*H84*I84)/60,0)</f>
        <v/>
      </c>
      <c r="K84" s="2">
        <f>IFERROR(J84*12,0)</f>
        <v/>
      </c>
      <c r="L84" s="2">
        <f>IFERROR(XLOOKUP(A84,'Intake Responses'!$A:$A,'Intake Responses'!$T:$T),"")</f>
        <v/>
      </c>
      <c r="M84" s="2">
        <f>IFERROR(XLOOKUP(A84,'Intake Responses'!$A:$A,'Intake Responses'!$U:$U),"")</f>
        <v/>
      </c>
      <c r="N84" s="2">
        <f>IFERROR(XLOOKUP(A84,'Intake Responses'!$A:$A,'Intake Responses'!$V:$V),"")</f>
        <v/>
      </c>
      <c r="O84" s="2">
        <f>IFERROR(XLOOKUP(A84,'Intake Responses'!$A:$A,'Intake Responses'!$W:$W),"")</f>
        <v/>
      </c>
      <c r="P84" s="2">
        <f>IFERROR(XLOOKUP(A84,'Intake Responses'!$A:$A,'Intake Responses'!$X:$X),"")</f>
        <v/>
      </c>
      <c r="Q84" s="2">
        <f>IFERROR(XLOOKUP(A84,'Intake Responses'!$A:$A,'Intake Responses'!$AF:$AF),"")</f>
        <v/>
      </c>
      <c r="R84" s="2">
        <f>IFERROR(XLOOKUP(A84,'Intake Responses'!$A:$A,'Intake Responses'!$S:$S),"")</f>
        <v/>
      </c>
      <c r="S84" s="2" t="n"/>
      <c r="T84" s="2" t="n"/>
      <c r="U84" s="2" t="n"/>
      <c r="V84" s="2">
        <f>IFERROR(MIN(5,ROUND(((M84+O84)/2)+(IF(J84&gt;=20,2,IF(J84&gt;=10,1.5,IF(J84&gt;=5,1,IF(J84&gt;=1,0.5,0))))),1)),0)</f>
        <v/>
      </c>
      <c r="W84" s="2">
        <f>IFERROR(SWITCH(F84,"Multiple times per day",5,"Daily",4,"Weekly",3,"Monthly",2,"Quarterly",1,"Ad hoc",1,"Unknown",0),0)</f>
        <v/>
      </c>
      <c r="X84" s="2">
        <f>IFERROR(ROUND(AVERAGE(L84,N84),1),0)</f>
        <v/>
      </c>
      <c r="Y84" s="2">
        <f>IFERROR(SWITCH(U84,"High",3,"Medium",2,"Low",0,"Unknown",1,1)+IF(Q84="Yes",2,IF(Q84="Unsure",1,0)),0)</f>
        <v/>
      </c>
      <c r="Z84" s="2">
        <f>IFERROR(ROUND((V84*2)+(W84*1)+(X84*2)+(IF(T84="Easy",2,IF(T84="Medium",1,IF(T84="Hard",-1,0))))-(Y84*2),1),0)</f>
        <v/>
      </c>
      <c r="AA84" s="2">
        <f>IFERROR(IF(S84="Not a fit","Not a Fit",IF(Y84&gt;=5,"High Risk / Needs Review",IF(AND(Z84&gt;=18,T84="Easy"),"Quick Win",IF(AND(Z84&gt;=18,T84&lt;&gt;"Easy"),"Strategic Project",IF(Z84&gt;=10,"Discovery Needed","Process Issue"))))),"")</f>
        <v/>
      </c>
      <c r="AB84" s="2">
        <f>IFERROR(SWITCH(AA84,"Quick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4" s="2" t="n"/>
      <c r="AD84" s="2" t="n"/>
      <c r="AE84" s="2" t="n"/>
    </row>
    <row r="85" ht="25" customHeight="1">
      <c r="A85" s="3" t="n"/>
      <c r="B85" s="3">
        <f>IFERROR(XLOOKUP(A85,'Intake Responses'!$A:$A,'Intake Responses'!$E:$E),"")</f>
        <v/>
      </c>
      <c r="C85" s="3">
        <f>IFERROR(XLOOKUP(A85,'Intake Responses'!$A:$A,'Intake Responses'!$D:$D),"")</f>
        <v/>
      </c>
      <c r="D85" s="3">
        <f>IFERROR(XLOOKUP(A85,'Intake Responses'!$A:$A,'Intake Responses'!$F:$F),"")</f>
        <v/>
      </c>
      <c r="E85" s="3" t="n"/>
      <c r="F85" s="3">
        <f>IFERROR(XLOOKUP(A85,'Intake Responses'!$A:$A,'Intake Responses'!$M:$M),"")</f>
        <v/>
      </c>
      <c r="G85" s="3">
        <f>IFERROR(XLOOKUP(A85,'Intake Responses'!$A:$A,'Intake Responses'!$N:$N),"")</f>
        <v/>
      </c>
      <c r="H85" s="3">
        <f>IFERROR(XLOOKUP(A85,'Intake Responses'!$A:$A,'Intake Responses'!$O:$O),"")</f>
        <v/>
      </c>
      <c r="I85" s="3">
        <f>IFERROR(SWITCH(F85,"Multiple times per day",60,"Daily",20,"Weekly",4,"Monthly",1,"Quarterly",0.33,"Ad hoc",0.5,"Unknown",0),0)</f>
        <v/>
      </c>
      <c r="J85" s="3">
        <f>IFERROR((G85*H85*I85)/60,0)</f>
        <v/>
      </c>
      <c r="K85" s="3">
        <f>IFERROR(J85*12,0)</f>
        <v/>
      </c>
      <c r="L85" s="3">
        <f>IFERROR(XLOOKUP(A85,'Intake Responses'!$A:$A,'Intake Responses'!$T:$T),"")</f>
        <v/>
      </c>
      <c r="M85" s="3">
        <f>IFERROR(XLOOKUP(A85,'Intake Responses'!$A:$A,'Intake Responses'!$U:$U),"")</f>
        <v/>
      </c>
      <c r="N85" s="3">
        <f>IFERROR(XLOOKUP(A85,'Intake Responses'!$A:$A,'Intake Responses'!$V:$V),"")</f>
        <v/>
      </c>
      <c r="O85" s="3">
        <f>IFERROR(XLOOKUP(A85,'Intake Responses'!$A:$A,'Intake Responses'!$W:$W),"")</f>
        <v/>
      </c>
      <c r="P85" s="3">
        <f>IFERROR(XLOOKUP(A85,'Intake Responses'!$A:$A,'Intake Responses'!$X:$X),"")</f>
        <v/>
      </c>
      <c r="Q85" s="3">
        <f>IFERROR(XLOOKUP(A85,'Intake Responses'!$A:$A,'Intake Responses'!$AF:$AF),"")</f>
        <v/>
      </c>
      <c r="R85" s="3">
        <f>IFERROR(XLOOKUP(A85,'Intake Responses'!$A:$A,'Intake Responses'!$S:$S),"")</f>
        <v/>
      </c>
      <c r="S85" s="3" t="n"/>
      <c r="T85" s="3" t="n"/>
      <c r="U85" s="3" t="n"/>
      <c r="V85" s="3">
        <f>IFERROR(MIN(5,ROUND(((M85+O85)/2)+(IF(J85&gt;=20,2,IF(J85&gt;=10,1.5,IF(J85&gt;=5,1,IF(J85&gt;=1,0.5,0))))),1)),0)</f>
        <v/>
      </c>
      <c r="W85" s="3">
        <f>IFERROR(SWITCH(F85,"Multiple times per day",5,"Daily",4,"Weekly",3,"Monthly",2,"Quarterly",1,"Ad hoc",1,"Unknown",0),0)</f>
        <v/>
      </c>
      <c r="X85" s="3">
        <f>IFERROR(ROUND(AVERAGE(L85,N85),1),0)</f>
        <v/>
      </c>
      <c r="Y85" s="3">
        <f>IFERROR(SWITCH(U85,"High",3,"Medium",2,"Low",0,"Unknown",1,1)+IF(Q85="Yes",2,IF(Q85="Unsure",1,0)),0)</f>
        <v/>
      </c>
      <c r="Z85" s="3">
        <f>IFERROR(ROUND((V85*2)+(W85*1)+(X85*2)+(IF(T85="Easy",2,IF(T85="Medium",1,IF(T85="Hard",-1,0))))-(Y85*2),1),0)</f>
        <v/>
      </c>
      <c r="AA85" s="3">
        <f>IFERROR(IF(S85="Not a fit","Not a Fit",IF(Y85&gt;=5,"High Risk / Needs Review",IF(AND(Z85&gt;=18,T85="Easy"),"Quick Win",IF(AND(Z85&gt;=18,T85&lt;&gt;"Easy"),"Strategic Project",IF(Z85&gt;=10,"Discovery Needed","Process Issue"))))),"")</f>
        <v/>
      </c>
      <c r="AB85" s="3">
        <f>IFERROR(SWITCH(AA85,"Quick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5" s="3" t="n"/>
      <c r="AD85" s="3" t="n"/>
      <c r="AE85" s="3" t="n"/>
    </row>
    <row r="86" ht="25" customHeight="1">
      <c r="A86" s="2" t="n"/>
      <c r="B86" s="2">
        <f>IFERROR(XLOOKUP(A86,'Intake Responses'!$A:$A,'Intake Responses'!$E:$E),"")</f>
        <v/>
      </c>
      <c r="C86" s="2">
        <f>IFERROR(XLOOKUP(A86,'Intake Responses'!$A:$A,'Intake Responses'!$D:$D),"")</f>
        <v/>
      </c>
      <c r="D86" s="2">
        <f>IFERROR(XLOOKUP(A86,'Intake Responses'!$A:$A,'Intake Responses'!$F:$F),"")</f>
        <v/>
      </c>
      <c r="E86" s="2" t="n"/>
      <c r="F86" s="2">
        <f>IFERROR(XLOOKUP(A86,'Intake Responses'!$A:$A,'Intake Responses'!$M:$M),"")</f>
        <v/>
      </c>
      <c r="G86" s="2">
        <f>IFERROR(XLOOKUP(A86,'Intake Responses'!$A:$A,'Intake Responses'!$N:$N),"")</f>
        <v/>
      </c>
      <c r="H86" s="2">
        <f>IFERROR(XLOOKUP(A86,'Intake Responses'!$A:$A,'Intake Responses'!$O:$O),"")</f>
        <v/>
      </c>
      <c r="I86" s="2">
        <f>IFERROR(SWITCH(F86,"Multiple times per day",60,"Daily",20,"Weekly",4,"Monthly",1,"Quarterly",0.33,"Ad hoc",0.5,"Unknown",0),0)</f>
        <v/>
      </c>
      <c r="J86" s="2">
        <f>IFERROR((G86*H86*I86)/60,0)</f>
        <v/>
      </c>
      <c r="K86" s="2">
        <f>IFERROR(J86*12,0)</f>
        <v/>
      </c>
      <c r="L86" s="2">
        <f>IFERROR(XLOOKUP(A86,'Intake Responses'!$A:$A,'Intake Responses'!$T:$T),"")</f>
        <v/>
      </c>
      <c r="M86" s="2">
        <f>IFERROR(XLOOKUP(A86,'Intake Responses'!$A:$A,'Intake Responses'!$U:$U),"")</f>
        <v/>
      </c>
      <c r="N86" s="2">
        <f>IFERROR(XLOOKUP(A86,'Intake Responses'!$A:$A,'Intake Responses'!$V:$V),"")</f>
        <v/>
      </c>
      <c r="O86" s="2">
        <f>IFERROR(XLOOKUP(A86,'Intake Responses'!$A:$A,'Intake Responses'!$W:$W),"")</f>
        <v/>
      </c>
      <c r="P86" s="2">
        <f>IFERROR(XLOOKUP(A86,'Intake Responses'!$A:$A,'Intake Responses'!$X:$X),"")</f>
        <v/>
      </c>
      <c r="Q86" s="2">
        <f>IFERROR(XLOOKUP(A86,'Intake Responses'!$A:$A,'Intake Responses'!$AF:$AF),"")</f>
        <v/>
      </c>
      <c r="R86" s="2">
        <f>IFERROR(XLOOKUP(A86,'Intake Responses'!$A:$A,'Intake Responses'!$S:$S),"")</f>
        <v/>
      </c>
      <c r="S86" s="2" t="n"/>
      <c r="T86" s="2" t="n"/>
      <c r="U86" s="2" t="n"/>
      <c r="V86" s="2">
        <f>IFERROR(MIN(5,ROUND(((M86+O86)/2)+(IF(J86&gt;=20,2,IF(J86&gt;=10,1.5,IF(J86&gt;=5,1,IF(J86&gt;=1,0.5,0))))),1)),0)</f>
        <v/>
      </c>
      <c r="W86" s="2">
        <f>IFERROR(SWITCH(F86,"Multiple times per day",5,"Daily",4,"Weekly",3,"Monthly",2,"Quarterly",1,"Ad hoc",1,"Unknown",0),0)</f>
        <v/>
      </c>
      <c r="X86" s="2">
        <f>IFERROR(ROUND(AVERAGE(L86,N86),1),0)</f>
        <v/>
      </c>
      <c r="Y86" s="2">
        <f>IFERROR(SWITCH(U86,"High",3,"Medium",2,"Low",0,"Unknown",1,1)+IF(Q86="Yes",2,IF(Q86="Unsure",1,0)),0)</f>
        <v/>
      </c>
      <c r="Z86" s="2">
        <f>IFERROR(ROUND((V86*2)+(W86*1)+(X86*2)+(IF(T86="Easy",2,IF(T86="Medium",1,IF(T86="Hard",-1,0))))-(Y86*2),1),0)</f>
        <v/>
      </c>
      <c r="AA86" s="2">
        <f>IFERROR(IF(S86="Not a fit","Not a Fit",IF(Y86&gt;=5,"High Risk / Needs Review",IF(AND(Z86&gt;=18,T86="Easy"),"Quick Win",IF(AND(Z86&gt;=18,T86&lt;&gt;"Easy"),"Strategic Project",IF(Z86&gt;=10,"Discovery Needed","Process Issue"))))),"")</f>
        <v/>
      </c>
      <c r="AB86" s="2">
        <f>IFERROR(SWITCH(AA86,"Quick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6" s="2" t="n"/>
      <c r="AD86" s="2" t="n"/>
      <c r="AE86" s="2" t="n"/>
    </row>
    <row r="87" ht="25" customHeight="1">
      <c r="A87" s="3" t="n"/>
      <c r="B87" s="3">
        <f>IFERROR(XLOOKUP(A87,'Intake Responses'!$A:$A,'Intake Responses'!$E:$E),"")</f>
        <v/>
      </c>
      <c r="C87" s="3">
        <f>IFERROR(XLOOKUP(A87,'Intake Responses'!$A:$A,'Intake Responses'!$D:$D),"")</f>
        <v/>
      </c>
      <c r="D87" s="3">
        <f>IFERROR(XLOOKUP(A87,'Intake Responses'!$A:$A,'Intake Responses'!$F:$F),"")</f>
        <v/>
      </c>
      <c r="E87" s="3" t="n"/>
      <c r="F87" s="3">
        <f>IFERROR(XLOOKUP(A87,'Intake Responses'!$A:$A,'Intake Responses'!$M:$M),"")</f>
        <v/>
      </c>
      <c r="G87" s="3">
        <f>IFERROR(XLOOKUP(A87,'Intake Responses'!$A:$A,'Intake Responses'!$N:$N),"")</f>
        <v/>
      </c>
      <c r="H87" s="3">
        <f>IFERROR(XLOOKUP(A87,'Intake Responses'!$A:$A,'Intake Responses'!$O:$O),"")</f>
        <v/>
      </c>
      <c r="I87" s="3">
        <f>IFERROR(SWITCH(F87,"Multiple times per day",60,"Daily",20,"Weekly",4,"Monthly",1,"Quarterly",0.33,"Ad hoc",0.5,"Unknown",0),0)</f>
        <v/>
      </c>
      <c r="J87" s="3">
        <f>IFERROR((G87*H87*I87)/60,0)</f>
        <v/>
      </c>
      <c r="K87" s="3">
        <f>IFERROR(J87*12,0)</f>
        <v/>
      </c>
      <c r="L87" s="3">
        <f>IFERROR(XLOOKUP(A87,'Intake Responses'!$A:$A,'Intake Responses'!$T:$T),"")</f>
        <v/>
      </c>
      <c r="M87" s="3">
        <f>IFERROR(XLOOKUP(A87,'Intake Responses'!$A:$A,'Intake Responses'!$U:$U),"")</f>
        <v/>
      </c>
      <c r="N87" s="3">
        <f>IFERROR(XLOOKUP(A87,'Intake Responses'!$A:$A,'Intake Responses'!$V:$V),"")</f>
        <v/>
      </c>
      <c r="O87" s="3">
        <f>IFERROR(XLOOKUP(A87,'Intake Responses'!$A:$A,'Intake Responses'!$W:$W),"")</f>
        <v/>
      </c>
      <c r="P87" s="3">
        <f>IFERROR(XLOOKUP(A87,'Intake Responses'!$A:$A,'Intake Responses'!$X:$X),"")</f>
        <v/>
      </c>
      <c r="Q87" s="3">
        <f>IFERROR(XLOOKUP(A87,'Intake Responses'!$A:$A,'Intake Responses'!$AF:$AF),"")</f>
        <v/>
      </c>
      <c r="R87" s="3">
        <f>IFERROR(XLOOKUP(A87,'Intake Responses'!$A:$A,'Intake Responses'!$S:$S),"")</f>
        <v/>
      </c>
      <c r="S87" s="3" t="n"/>
      <c r="T87" s="3" t="n"/>
      <c r="U87" s="3" t="n"/>
      <c r="V87" s="3">
        <f>IFERROR(MIN(5,ROUND(((M87+O87)/2)+(IF(J87&gt;=20,2,IF(J87&gt;=10,1.5,IF(J87&gt;=5,1,IF(J87&gt;=1,0.5,0))))),1)),0)</f>
        <v/>
      </c>
      <c r="W87" s="3">
        <f>IFERROR(SWITCH(F87,"Multiple times per day",5,"Daily",4,"Weekly",3,"Monthly",2,"Quarterly",1,"Ad hoc",1,"Unknown",0),0)</f>
        <v/>
      </c>
      <c r="X87" s="3">
        <f>IFERROR(ROUND(AVERAGE(L87,N87),1),0)</f>
        <v/>
      </c>
      <c r="Y87" s="3">
        <f>IFERROR(SWITCH(U87,"High",3,"Medium",2,"Low",0,"Unknown",1,1)+IF(Q87="Yes",2,IF(Q87="Unsure",1,0)),0)</f>
        <v/>
      </c>
      <c r="Z87" s="3">
        <f>IFERROR(ROUND((V87*2)+(W87*1)+(X87*2)+(IF(T87="Easy",2,IF(T87="Medium",1,IF(T87="Hard",-1,0))))-(Y87*2),1),0)</f>
        <v/>
      </c>
      <c r="AA87" s="3">
        <f>IFERROR(IF(S87="Not a fit","Not a Fit",IF(Y87&gt;=5,"High Risk / Needs Review",IF(AND(Z87&gt;=18,T87="Easy"),"Quick Win",IF(AND(Z87&gt;=18,T87&lt;&gt;"Easy"),"Strategic Project",IF(Z87&gt;=10,"Discovery Needed","Process Issue"))))),"")</f>
        <v/>
      </c>
      <c r="AB87" s="3">
        <f>IFERROR(SWITCH(AA87,"Quick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7" s="3" t="n"/>
      <c r="AD87" s="3" t="n"/>
      <c r="AE87" s="3" t="n"/>
    </row>
    <row r="88" ht="25" customHeight="1">
      <c r="A88" s="2" t="n"/>
      <c r="B88" s="2">
        <f>IFERROR(XLOOKUP(A88,'Intake Responses'!$A:$A,'Intake Responses'!$E:$E),"")</f>
        <v/>
      </c>
      <c r="C88" s="2">
        <f>IFERROR(XLOOKUP(A88,'Intake Responses'!$A:$A,'Intake Responses'!$D:$D),"")</f>
        <v/>
      </c>
      <c r="D88" s="2">
        <f>IFERROR(XLOOKUP(A88,'Intake Responses'!$A:$A,'Intake Responses'!$F:$F),"")</f>
        <v/>
      </c>
      <c r="E88" s="2" t="n"/>
      <c r="F88" s="2">
        <f>IFERROR(XLOOKUP(A88,'Intake Responses'!$A:$A,'Intake Responses'!$M:$M),"")</f>
        <v/>
      </c>
      <c r="G88" s="2">
        <f>IFERROR(XLOOKUP(A88,'Intake Responses'!$A:$A,'Intake Responses'!$N:$N),"")</f>
        <v/>
      </c>
      <c r="H88" s="2">
        <f>IFERROR(XLOOKUP(A88,'Intake Responses'!$A:$A,'Intake Responses'!$O:$O),"")</f>
        <v/>
      </c>
      <c r="I88" s="2">
        <f>IFERROR(SWITCH(F88,"Multiple times per day",60,"Daily",20,"Weekly",4,"Monthly",1,"Quarterly",0.33,"Ad hoc",0.5,"Unknown",0),0)</f>
        <v/>
      </c>
      <c r="J88" s="2">
        <f>IFERROR((G88*H88*I88)/60,0)</f>
        <v/>
      </c>
      <c r="K88" s="2">
        <f>IFERROR(J88*12,0)</f>
        <v/>
      </c>
      <c r="L88" s="2">
        <f>IFERROR(XLOOKUP(A88,'Intake Responses'!$A:$A,'Intake Responses'!$T:$T),"")</f>
        <v/>
      </c>
      <c r="M88" s="2">
        <f>IFERROR(XLOOKUP(A88,'Intake Responses'!$A:$A,'Intake Responses'!$U:$U),"")</f>
        <v/>
      </c>
      <c r="N88" s="2">
        <f>IFERROR(XLOOKUP(A88,'Intake Responses'!$A:$A,'Intake Responses'!$V:$V),"")</f>
        <v/>
      </c>
      <c r="O88" s="2">
        <f>IFERROR(XLOOKUP(A88,'Intake Responses'!$A:$A,'Intake Responses'!$W:$W),"")</f>
        <v/>
      </c>
      <c r="P88" s="2">
        <f>IFERROR(XLOOKUP(A88,'Intake Responses'!$A:$A,'Intake Responses'!$X:$X),"")</f>
        <v/>
      </c>
      <c r="Q88" s="2">
        <f>IFERROR(XLOOKUP(A88,'Intake Responses'!$A:$A,'Intake Responses'!$AF:$AF),"")</f>
        <v/>
      </c>
      <c r="R88" s="2">
        <f>IFERROR(XLOOKUP(A88,'Intake Responses'!$A:$A,'Intake Responses'!$S:$S),"")</f>
        <v/>
      </c>
      <c r="S88" s="2" t="n"/>
      <c r="T88" s="2" t="n"/>
      <c r="U88" s="2" t="n"/>
      <c r="V88" s="2">
        <f>IFERROR(MIN(5,ROUND(((M88+O88)/2)+(IF(J88&gt;=20,2,IF(J88&gt;=10,1.5,IF(J88&gt;=5,1,IF(J88&gt;=1,0.5,0))))),1)),0)</f>
        <v/>
      </c>
      <c r="W88" s="2">
        <f>IFERROR(SWITCH(F88,"Multiple times per day",5,"Daily",4,"Weekly",3,"Monthly",2,"Quarterly",1,"Ad hoc",1,"Unknown",0),0)</f>
        <v/>
      </c>
      <c r="X88" s="2">
        <f>IFERROR(ROUND(AVERAGE(L88,N88),1),0)</f>
        <v/>
      </c>
      <c r="Y88" s="2">
        <f>IFERROR(SWITCH(U88,"High",3,"Medium",2,"Low",0,"Unknown",1,1)+IF(Q88="Yes",2,IF(Q88="Unsure",1,0)),0)</f>
        <v/>
      </c>
      <c r="Z88" s="2">
        <f>IFERROR(ROUND((V88*2)+(W88*1)+(X88*2)+(IF(T88="Easy",2,IF(T88="Medium",1,IF(T88="Hard",-1,0))))-(Y88*2),1),0)</f>
        <v/>
      </c>
      <c r="AA88" s="2">
        <f>IFERROR(IF(S88="Not a fit","Not a Fit",IF(Y88&gt;=5,"High Risk / Needs Review",IF(AND(Z88&gt;=18,T88="Easy"),"Quick Win",IF(AND(Z88&gt;=18,T88&lt;&gt;"Easy"),"Strategic Project",IF(Z88&gt;=10,"Discovery Needed","Process Issue"))))),"")</f>
        <v/>
      </c>
      <c r="AB88" s="2">
        <f>IFERROR(SWITCH(AA88,"Quick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8" s="2" t="n"/>
      <c r="AD88" s="2" t="n"/>
      <c r="AE88" s="2" t="n"/>
    </row>
    <row r="89" ht="25" customHeight="1">
      <c r="A89" s="3" t="n"/>
      <c r="B89" s="3">
        <f>IFERROR(XLOOKUP(A89,'Intake Responses'!$A:$A,'Intake Responses'!$E:$E),"")</f>
        <v/>
      </c>
      <c r="C89" s="3">
        <f>IFERROR(XLOOKUP(A89,'Intake Responses'!$A:$A,'Intake Responses'!$D:$D),"")</f>
        <v/>
      </c>
      <c r="D89" s="3">
        <f>IFERROR(XLOOKUP(A89,'Intake Responses'!$A:$A,'Intake Responses'!$F:$F),"")</f>
        <v/>
      </c>
      <c r="E89" s="3" t="n"/>
      <c r="F89" s="3">
        <f>IFERROR(XLOOKUP(A89,'Intake Responses'!$A:$A,'Intake Responses'!$M:$M),"")</f>
        <v/>
      </c>
      <c r="G89" s="3">
        <f>IFERROR(XLOOKUP(A89,'Intake Responses'!$A:$A,'Intake Responses'!$N:$N),"")</f>
        <v/>
      </c>
      <c r="H89" s="3">
        <f>IFERROR(XLOOKUP(A89,'Intake Responses'!$A:$A,'Intake Responses'!$O:$O),"")</f>
        <v/>
      </c>
      <c r="I89" s="3">
        <f>IFERROR(SWITCH(F89,"Multiple times per day",60,"Daily",20,"Weekly",4,"Monthly",1,"Quarterly",0.33,"Ad hoc",0.5,"Unknown",0),0)</f>
        <v/>
      </c>
      <c r="J89" s="3">
        <f>IFERROR((G89*H89*I89)/60,0)</f>
        <v/>
      </c>
      <c r="K89" s="3">
        <f>IFERROR(J89*12,0)</f>
        <v/>
      </c>
      <c r="L89" s="3">
        <f>IFERROR(XLOOKUP(A89,'Intake Responses'!$A:$A,'Intake Responses'!$T:$T),"")</f>
        <v/>
      </c>
      <c r="M89" s="3">
        <f>IFERROR(XLOOKUP(A89,'Intake Responses'!$A:$A,'Intake Responses'!$U:$U),"")</f>
        <v/>
      </c>
      <c r="N89" s="3">
        <f>IFERROR(XLOOKUP(A89,'Intake Responses'!$A:$A,'Intake Responses'!$V:$V),"")</f>
        <v/>
      </c>
      <c r="O89" s="3">
        <f>IFERROR(XLOOKUP(A89,'Intake Responses'!$A:$A,'Intake Responses'!$W:$W),"")</f>
        <v/>
      </c>
      <c r="P89" s="3">
        <f>IFERROR(XLOOKUP(A89,'Intake Responses'!$A:$A,'Intake Responses'!$X:$X),"")</f>
        <v/>
      </c>
      <c r="Q89" s="3">
        <f>IFERROR(XLOOKUP(A89,'Intake Responses'!$A:$A,'Intake Responses'!$AF:$AF),"")</f>
        <v/>
      </c>
      <c r="R89" s="3">
        <f>IFERROR(XLOOKUP(A89,'Intake Responses'!$A:$A,'Intake Responses'!$S:$S),"")</f>
        <v/>
      </c>
      <c r="S89" s="3" t="n"/>
      <c r="T89" s="3" t="n"/>
      <c r="U89" s="3" t="n"/>
      <c r="V89" s="3">
        <f>IFERROR(MIN(5,ROUND(((M89+O89)/2)+(IF(J89&gt;=20,2,IF(J89&gt;=10,1.5,IF(J89&gt;=5,1,IF(J89&gt;=1,0.5,0))))),1)),0)</f>
        <v/>
      </c>
      <c r="W89" s="3">
        <f>IFERROR(SWITCH(F89,"Multiple times per day",5,"Daily",4,"Weekly",3,"Monthly",2,"Quarterly",1,"Ad hoc",1,"Unknown",0),0)</f>
        <v/>
      </c>
      <c r="X89" s="3">
        <f>IFERROR(ROUND(AVERAGE(L89,N89),1),0)</f>
        <v/>
      </c>
      <c r="Y89" s="3">
        <f>IFERROR(SWITCH(U89,"High",3,"Medium",2,"Low",0,"Unknown",1,1)+IF(Q89="Yes",2,IF(Q89="Unsure",1,0)),0)</f>
        <v/>
      </c>
      <c r="Z89" s="3">
        <f>IFERROR(ROUND((V89*2)+(W89*1)+(X89*2)+(IF(T89="Easy",2,IF(T89="Medium",1,IF(T89="Hard",-1,0))))-(Y89*2),1),0)</f>
        <v/>
      </c>
      <c r="AA89" s="3">
        <f>IFERROR(IF(S89="Not a fit","Not a Fit",IF(Y89&gt;=5,"High Risk / Needs Review",IF(AND(Z89&gt;=18,T89="Easy"),"Quick Win",IF(AND(Z89&gt;=18,T89&lt;&gt;"Easy"),"Strategic Project",IF(Z89&gt;=10,"Discovery Needed","Process Issue"))))),"")</f>
        <v/>
      </c>
      <c r="AB89" s="3">
        <f>IFERROR(SWITCH(AA89,"Quick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89" s="3" t="n"/>
      <c r="AD89" s="3" t="n"/>
      <c r="AE89" s="3" t="n"/>
    </row>
    <row r="90" ht="25" customHeight="1">
      <c r="A90" s="2" t="n"/>
      <c r="B90" s="2">
        <f>IFERROR(XLOOKUP(A90,'Intake Responses'!$A:$A,'Intake Responses'!$E:$E),"")</f>
        <v/>
      </c>
      <c r="C90" s="2">
        <f>IFERROR(XLOOKUP(A90,'Intake Responses'!$A:$A,'Intake Responses'!$D:$D),"")</f>
        <v/>
      </c>
      <c r="D90" s="2">
        <f>IFERROR(XLOOKUP(A90,'Intake Responses'!$A:$A,'Intake Responses'!$F:$F),"")</f>
        <v/>
      </c>
      <c r="E90" s="2" t="n"/>
      <c r="F90" s="2">
        <f>IFERROR(XLOOKUP(A90,'Intake Responses'!$A:$A,'Intake Responses'!$M:$M),"")</f>
        <v/>
      </c>
      <c r="G90" s="2">
        <f>IFERROR(XLOOKUP(A90,'Intake Responses'!$A:$A,'Intake Responses'!$N:$N),"")</f>
        <v/>
      </c>
      <c r="H90" s="2">
        <f>IFERROR(XLOOKUP(A90,'Intake Responses'!$A:$A,'Intake Responses'!$O:$O),"")</f>
        <v/>
      </c>
      <c r="I90" s="2">
        <f>IFERROR(SWITCH(F90,"Multiple times per day",60,"Daily",20,"Weekly",4,"Monthly",1,"Quarterly",0.33,"Ad hoc",0.5,"Unknown",0),0)</f>
        <v/>
      </c>
      <c r="J90" s="2">
        <f>IFERROR((G90*H90*I90)/60,0)</f>
        <v/>
      </c>
      <c r="K90" s="2">
        <f>IFERROR(J90*12,0)</f>
        <v/>
      </c>
      <c r="L90" s="2">
        <f>IFERROR(XLOOKUP(A90,'Intake Responses'!$A:$A,'Intake Responses'!$T:$T),"")</f>
        <v/>
      </c>
      <c r="M90" s="2">
        <f>IFERROR(XLOOKUP(A90,'Intake Responses'!$A:$A,'Intake Responses'!$U:$U),"")</f>
        <v/>
      </c>
      <c r="N90" s="2">
        <f>IFERROR(XLOOKUP(A90,'Intake Responses'!$A:$A,'Intake Responses'!$V:$V),"")</f>
        <v/>
      </c>
      <c r="O90" s="2">
        <f>IFERROR(XLOOKUP(A90,'Intake Responses'!$A:$A,'Intake Responses'!$W:$W),"")</f>
        <v/>
      </c>
      <c r="P90" s="2">
        <f>IFERROR(XLOOKUP(A90,'Intake Responses'!$A:$A,'Intake Responses'!$X:$X),"")</f>
        <v/>
      </c>
      <c r="Q90" s="2">
        <f>IFERROR(XLOOKUP(A90,'Intake Responses'!$A:$A,'Intake Responses'!$AF:$AF),"")</f>
        <v/>
      </c>
      <c r="R90" s="2">
        <f>IFERROR(XLOOKUP(A90,'Intake Responses'!$A:$A,'Intake Responses'!$S:$S),"")</f>
        <v/>
      </c>
      <c r="S90" s="2" t="n"/>
      <c r="T90" s="2" t="n"/>
      <c r="U90" s="2" t="n"/>
      <c r="V90" s="2">
        <f>IFERROR(MIN(5,ROUND(((M90+O90)/2)+(IF(J90&gt;=20,2,IF(J90&gt;=10,1.5,IF(J90&gt;=5,1,IF(J90&gt;=1,0.5,0))))),1)),0)</f>
        <v/>
      </c>
      <c r="W90" s="2">
        <f>IFERROR(SWITCH(F90,"Multiple times per day",5,"Daily",4,"Weekly",3,"Monthly",2,"Quarterly",1,"Ad hoc",1,"Unknown",0),0)</f>
        <v/>
      </c>
      <c r="X90" s="2">
        <f>IFERROR(ROUND(AVERAGE(L90,N90),1),0)</f>
        <v/>
      </c>
      <c r="Y90" s="2">
        <f>IFERROR(SWITCH(U90,"High",3,"Medium",2,"Low",0,"Unknown",1,1)+IF(Q90="Yes",2,IF(Q90="Unsure",1,0)),0)</f>
        <v/>
      </c>
      <c r="Z90" s="2">
        <f>IFERROR(ROUND((V90*2)+(W90*1)+(X90*2)+(IF(T90="Easy",2,IF(T90="Medium",1,IF(T90="Hard",-1,0))))-(Y90*2),1),0)</f>
        <v/>
      </c>
      <c r="AA90" s="2">
        <f>IFERROR(IF(S90="Not a fit","Not a Fit",IF(Y90&gt;=5,"High Risk / Needs Review",IF(AND(Z90&gt;=18,T90="Easy"),"Quick Win",IF(AND(Z90&gt;=18,T90&lt;&gt;"Easy"),"Strategic Project",IF(Z90&gt;=10,"Discovery Needed","Process Issue"))))),"")</f>
        <v/>
      </c>
      <c r="AB90" s="2">
        <f>IFERROR(SWITCH(AA90,"Quick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0" s="2" t="n"/>
      <c r="AD90" s="2" t="n"/>
      <c r="AE90" s="2" t="n"/>
    </row>
    <row r="91" ht="25" customHeight="1">
      <c r="A91" s="3" t="n"/>
      <c r="B91" s="3">
        <f>IFERROR(XLOOKUP(A91,'Intake Responses'!$A:$A,'Intake Responses'!$E:$E),"")</f>
        <v/>
      </c>
      <c r="C91" s="3">
        <f>IFERROR(XLOOKUP(A91,'Intake Responses'!$A:$A,'Intake Responses'!$D:$D),"")</f>
        <v/>
      </c>
      <c r="D91" s="3">
        <f>IFERROR(XLOOKUP(A91,'Intake Responses'!$A:$A,'Intake Responses'!$F:$F),"")</f>
        <v/>
      </c>
      <c r="E91" s="3" t="n"/>
      <c r="F91" s="3">
        <f>IFERROR(XLOOKUP(A91,'Intake Responses'!$A:$A,'Intake Responses'!$M:$M),"")</f>
        <v/>
      </c>
      <c r="G91" s="3">
        <f>IFERROR(XLOOKUP(A91,'Intake Responses'!$A:$A,'Intake Responses'!$N:$N),"")</f>
        <v/>
      </c>
      <c r="H91" s="3">
        <f>IFERROR(XLOOKUP(A91,'Intake Responses'!$A:$A,'Intake Responses'!$O:$O),"")</f>
        <v/>
      </c>
      <c r="I91" s="3">
        <f>IFERROR(SWITCH(F91,"Multiple times per day",60,"Daily",20,"Weekly",4,"Monthly",1,"Quarterly",0.33,"Ad hoc",0.5,"Unknown",0),0)</f>
        <v/>
      </c>
      <c r="J91" s="3">
        <f>IFERROR((G91*H91*I91)/60,0)</f>
        <v/>
      </c>
      <c r="K91" s="3">
        <f>IFERROR(J91*12,0)</f>
        <v/>
      </c>
      <c r="L91" s="3">
        <f>IFERROR(XLOOKUP(A91,'Intake Responses'!$A:$A,'Intake Responses'!$T:$T),"")</f>
        <v/>
      </c>
      <c r="M91" s="3">
        <f>IFERROR(XLOOKUP(A91,'Intake Responses'!$A:$A,'Intake Responses'!$U:$U),"")</f>
        <v/>
      </c>
      <c r="N91" s="3">
        <f>IFERROR(XLOOKUP(A91,'Intake Responses'!$A:$A,'Intake Responses'!$V:$V),"")</f>
        <v/>
      </c>
      <c r="O91" s="3">
        <f>IFERROR(XLOOKUP(A91,'Intake Responses'!$A:$A,'Intake Responses'!$W:$W),"")</f>
        <v/>
      </c>
      <c r="P91" s="3">
        <f>IFERROR(XLOOKUP(A91,'Intake Responses'!$A:$A,'Intake Responses'!$X:$X),"")</f>
        <v/>
      </c>
      <c r="Q91" s="3">
        <f>IFERROR(XLOOKUP(A91,'Intake Responses'!$A:$A,'Intake Responses'!$AF:$AF),"")</f>
        <v/>
      </c>
      <c r="R91" s="3">
        <f>IFERROR(XLOOKUP(A91,'Intake Responses'!$A:$A,'Intake Responses'!$S:$S),"")</f>
        <v/>
      </c>
      <c r="S91" s="3" t="n"/>
      <c r="T91" s="3" t="n"/>
      <c r="U91" s="3" t="n"/>
      <c r="V91" s="3">
        <f>IFERROR(MIN(5,ROUND(((M91+O91)/2)+(IF(J91&gt;=20,2,IF(J91&gt;=10,1.5,IF(J91&gt;=5,1,IF(J91&gt;=1,0.5,0))))),1)),0)</f>
        <v/>
      </c>
      <c r="W91" s="3">
        <f>IFERROR(SWITCH(F91,"Multiple times per day",5,"Daily",4,"Weekly",3,"Monthly",2,"Quarterly",1,"Ad hoc",1,"Unknown",0),0)</f>
        <v/>
      </c>
      <c r="X91" s="3">
        <f>IFERROR(ROUND(AVERAGE(L91,N91),1),0)</f>
        <v/>
      </c>
      <c r="Y91" s="3">
        <f>IFERROR(SWITCH(U91,"High",3,"Medium",2,"Low",0,"Unknown",1,1)+IF(Q91="Yes",2,IF(Q91="Unsure",1,0)),0)</f>
        <v/>
      </c>
      <c r="Z91" s="3">
        <f>IFERROR(ROUND((V91*2)+(W91*1)+(X91*2)+(IF(T91="Easy",2,IF(T91="Medium",1,IF(T91="Hard",-1,0))))-(Y91*2),1),0)</f>
        <v/>
      </c>
      <c r="AA91" s="3">
        <f>IFERROR(IF(S91="Not a fit","Not a Fit",IF(Y91&gt;=5,"High Risk / Needs Review",IF(AND(Z91&gt;=18,T91="Easy"),"Quick Win",IF(AND(Z91&gt;=18,T91&lt;&gt;"Easy"),"Strategic Project",IF(Z91&gt;=10,"Discovery Needed","Process Issue"))))),"")</f>
        <v/>
      </c>
      <c r="AB91" s="3">
        <f>IFERROR(SWITCH(AA91,"Quick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1" s="3" t="n"/>
      <c r="AD91" s="3" t="n"/>
      <c r="AE91" s="3" t="n"/>
    </row>
    <row r="92" ht="25" customHeight="1">
      <c r="A92" s="2" t="n"/>
      <c r="B92" s="2">
        <f>IFERROR(XLOOKUP(A92,'Intake Responses'!$A:$A,'Intake Responses'!$E:$E),"")</f>
        <v/>
      </c>
      <c r="C92" s="2">
        <f>IFERROR(XLOOKUP(A92,'Intake Responses'!$A:$A,'Intake Responses'!$D:$D),"")</f>
        <v/>
      </c>
      <c r="D92" s="2">
        <f>IFERROR(XLOOKUP(A92,'Intake Responses'!$A:$A,'Intake Responses'!$F:$F),"")</f>
        <v/>
      </c>
      <c r="E92" s="2" t="n"/>
      <c r="F92" s="2">
        <f>IFERROR(XLOOKUP(A92,'Intake Responses'!$A:$A,'Intake Responses'!$M:$M),"")</f>
        <v/>
      </c>
      <c r="G92" s="2">
        <f>IFERROR(XLOOKUP(A92,'Intake Responses'!$A:$A,'Intake Responses'!$N:$N),"")</f>
        <v/>
      </c>
      <c r="H92" s="2">
        <f>IFERROR(XLOOKUP(A92,'Intake Responses'!$A:$A,'Intake Responses'!$O:$O),"")</f>
        <v/>
      </c>
      <c r="I92" s="2">
        <f>IFERROR(SWITCH(F92,"Multiple times per day",60,"Daily",20,"Weekly",4,"Monthly",1,"Quarterly",0.33,"Ad hoc",0.5,"Unknown",0),0)</f>
        <v/>
      </c>
      <c r="J92" s="2">
        <f>IFERROR((G92*H92*I92)/60,0)</f>
        <v/>
      </c>
      <c r="K92" s="2">
        <f>IFERROR(J92*12,0)</f>
        <v/>
      </c>
      <c r="L92" s="2">
        <f>IFERROR(XLOOKUP(A92,'Intake Responses'!$A:$A,'Intake Responses'!$T:$T),"")</f>
        <v/>
      </c>
      <c r="M92" s="2">
        <f>IFERROR(XLOOKUP(A92,'Intake Responses'!$A:$A,'Intake Responses'!$U:$U),"")</f>
        <v/>
      </c>
      <c r="N92" s="2">
        <f>IFERROR(XLOOKUP(A92,'Intake Responses'!$A:$A,'Intake Responses'!$V:$V),"")</f>
        <v/>
      </c>
      <c r="O92" s="2">
        <f>IFERROR(XLOOKUP(A92,'Intake Responses'!$A:$A,'Intake Responses'!$W:$W),"")</f>
        <v/>
      </c>
      <c r="P92" s="2">
        <f>IFERROR(XLOOKUP(A92,'Intake Responses'!$A:$A,'Intake Responses'!$X:$X),"")</f>
        <v/>
      </c>
      <c r="Q92" s="2">
        <f>IFERROR(XLOOKUP(A92,'Intake Responses'!$A:$A,'Intake Responses'!$AF:$AF),"")</f>
        <v/>
      </c>
      <c r="R92" s="2">
        <f>IFERROR(XLOOKUP(A92,'Intake Responses'!$A:$A,'Intake Responses'!$S:$S),"")</f>
        <v/>
      </c>
      <c r="S92" s="2" t="n"/>
      <c r="T92" s="2" t="n"/>
      <c r="U92" s="2" t="n"/>
      <c r="V92" s="2">
        <f>IFERROR(MIN(5,ROUND(((M92+O92)/2)+(IF(J92&gt;=20,2,IF(J92&gt;=10,1.5,IF(J92&gt;=5,1,IF(J92&gt;=1,0.5,0))))),1)),0)</f>
        <v/>
      </c>
      <c r="W92" s="2">
        <f>IFERROR(SWITCH(F92,"Multiple times per day",5,"Daily",4,"Weekly",3,"Monthly",2,"Quarterly",1,"Ad hoc",1,"Unknown",0),0)</f>
        <v/>
      </c>
      <c r="X92" s="2">
        <f>IFERROR(ROUND(AVERAGE(L92,N92),1),0)</f>
        <v/>
      </c>
      <c r="Y92" s="2">
        <f>IFERROR(SWITCH(U92,"High",3,"Medium",2,"Low",0,"Unknown",1,1)+IF(Q92="Yes",2,IF(Q92="Unsure",1,0)),0)</f>
        <v/>
      </c>
      <c r="Z92" s="2">
        <f>IFERROR(ROUND((V92*2)+(W92*1)+(X92*2)+(IF(T92="Easy",2,IF(T92="Medium",1,IF(T92="Hard",-1,0))))-(Y92*2),1),0)</f>
        <v/>
      </c>
      <c r="AA92" s="2">
        <f>IFERROR(IF(S92="Not a fit","Not a Fit",IF(Y92&gt;=5,"High Risk / Needs Review",IF(AND(Z92&gt;=18,T92="Easy"),"Quick Win",IF(AND(Z92&gt;=18,T92&lt;&gt;"Easy"),"Strategic Project",IF(Z92&gt;=10,"Discovery Needed","Process Issue"))))),"")</f>
        <v/>
      </c>
      <c r="AB92" s="2">
        <f>IFERROR(SWITCH(AA92,"Quick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2" s="2" t="n"/>
      <c r="AD92" s="2" t="n"/>
      <c r="AE92" s="2" t="n"/>
    </row>
    <row r="93" ht="25" customHeight="1">
      <c r="A93" s="3" t="n"/>
      <c r="B93" s="3">
        <f>IFERROR(XLOOKUP(A93,'Intake Responses'!$A:$A,'Intake Responses'!$E:$E),"")</f>
        <v/>
      </c>
      <c r="C93" s="3">
        <f>IFERROR(XLOOKUP(A93,'Intake Responses'!$A:$A,'Intake Responses'!$D:$D),"")</f>
        <v/>
      </c>
      <c r="D93" s="3">
        <f>IFERROR(XLOOKUP(A93,'Intake Responses'!$A:$A,'Intake Responses'!$F:$F),"")</f>
        <v/>
      </c>
      <c r="E93" s="3" t="n"/>
      <c r="F93" s="3">
        <f>IFERROR(XLOOKUP(A93,'Intake Responses'!$A:$A,'Intake Responses'!$M:$M),"")</f>
        <v/>
      </c>
      <c r="G93" s="3">
        <f>IFERROR(XLOOKUP(A93,'Intake Responses'!$A:$A,'Intake Responses'!$N:$N),"")</f>
        <v/>
      </c>
      <c r="H93" s="3">
        <f>IFERROR(XLOOKUP(A93,'Intake Responses'!$A:$A,'Intake Responses'!$O:$O),"")</f>
        <v/>
      </c>
      <c r="I93" s="3">
        <f>IFERROR(SWITCH(F93,"Multiple times per day",60,"Daily",20,"Weekly",4,"Monthly",1,"Quarterly",0.33,"Ad hoc",0.5,"Unknown",0),0)</f>
        <v/>
      </c>
      <c r="J93" s="3">
        <f>IFERROR((G93*H93*I93)/60,0)</f>
        <v/>
      </c>
      <c r="K93" s="3">
        <f>IFERROR(J93*12,0)</f>
        <v/>
      </c>
      <c r="L93" s="3">
        <f>IFERROR(XLOOKUP(A93,'Intake Responses'!$A:$A,'Intake Responses'!$T:$T),"")</f>
        <v/>
      </c>
      <c r="M93" s="3">
        <f>IFERROR(XLOOKUP(A93,'Intake Responses'!$A:$A,'Intake Responses'!$U:$U),"")</f>
        <v/>
      </c>
      <c r="N93" s="3">
        <f>IFERROR(XLOOKUP(A93,'Intake Responses'!$A:$A,'Intake Responses'!$V:$V),"")</f>
        <v/>
      </c>
      <c r="O93" s="3">
        <f>IFERROR(XLOOKUP(A93,'Intake Responses'!$A:$A,'Intake Responses'!$W:$W),"")</f>
        <v/>
      </c>
      <c r="P93" s="3">
        <f>IFERROR(XLOOKUP(A93,'Intake Responses'!$A:$A,'Intake Responses'!$X:$X),"")</f>
        <v/>
      </c>
      <c r="Q93" s="3">
        <f>IFERROR(XLOOKUP(A93,'Intake Responses'!$A:$A,'Intake Responses'!$AF:$AF),"")</f>
        <v/>
      </c>
      <c r="R93" s="3">
        <f>IFERROR(XLOOKUP(A93,'Intake Responses'!$A:$A,'Intake Responses'!$S:$S),"")</f>
        <v/>
      </c>
      <c r="S93" s="3" t="n"/>
      <c r="T93" s="3" t="n"/>
      <c r="U93" s="3" t="n"/>
      <c r="V93" s="3">
        <f>IFERROR(MIN(5,ROUND(((M93+O93)/2)+(IF(J93&gt;=20,2,IF(J93&gt;=10,1.5,IF(J93&gt;=5,1,IF(J93&gt;=1,0.5,0))))),1)),0)</f>
        <v/>
      </c>
      <c r="W93" s="3">
        <f>IFERROR(SWITCH(F93,"Multiple times per day",5,"Daily",4,"Weekly",3,"Monthly",2,"Quarterly",1,"Ad hoc",1,"Unknown",0),0)</f>
        <v/>
      </c>
      <c r="X93" s="3">
        <f>IFERROR(ROUND(AVERAGE(L93,N93),1),0)</f>
        <v/>
      </c>
      <c r="Y93" s="3">
        <f>IFERROR(SWITCH(U93,"High",3,"Medium",2,"Low",0,"Unknown",1,1)+IF(Q93="Yes",2,IF(Q93="Unsure",1,0)),0)</f>
        <v/>
      </c>
      <c r="Z93" s="3">
        <f>IFERROR(ROUND((V93*2)+(W93*1)+(X93*2)+(IF(T93="Easy",2,IF(T93="Medium",1,IF(T93="Hard",-1,0))))-(Y93*2),1),0)</f>
        <v/>
      </c>
      <c r="AA93" s="3">
        <f>IFERROR(IF(S93="Not a fit","Not a Fit",IF(Y93&gt;=5,"High Risk / Needs Review",IF(AND(Z93&gt;=18,T93="Easy"),"Quick Win",IF(AND(Z93&gt;=18,T93&lt;&gt;"Easy"),"Strategic Project",IF(Z93&gt;=10,"Discovery Needed","Process Issue"))))),"")</f>
        <v/>
      </c>
      <c r="AB93" s="3">
        <f>IFERROR(SWITCH(AA93,"Quick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3" s="3" t="n"/>
      <c r="AD93" s="3" t="n"/>
      <c r="AE93" s="3" t="n"/>
    </row>
    <row r="94" ht="25" customHeight="1">
      <c r="A94" s="2" t="n"/>
      <c r="B94" s="2">
        <f>IFERROR(XLOOKUP(A94,'Intake Responses'!$A:$A,'Intake Responses'!$E:$E),"")</f>
        <v/>
      </c>
      <c r="C94" s="2">
        <f>IFERROR(XLOOKUP(A94,'Intake Responses'!$A:$A,'Intake Responses'!$D:$D),"")</f>
        <v/>
      </c>
      <c r="D94" s="2">
        <f>IFERROR(XLOOKUP(A94,'Intake Responses'!$A:$A,'Intake Responses'!$F:$F),"")</f>
        <v/>
      </c>
      <c r="E94" s="2" t="n"/>
      <c r="F94" s="2">
        <f>IFERROR(XLOOKUP(A94,'Intake Responses'!$A:$A,'Intake Responses'!$M:$M),"")</f>
        <v/>
      </c>
      <c r="G94" s="2">
        <f>IFERROR(XLOOKUP(A94,'Intake Responses'!$A:$A,'Intake Responses'!$N:$N),"")</f>
        <v/>
      </c>
      <c r="H94" s="2">
        <f>IFERROR(XLOOKUP(A94,'Intake Responses'!$A:$A,'Intake Responses'!$O:$O),"")</f>
        <v/>
      </c>
      <c r="I94" s="2">
        <f>IFERROR(SWITCH(F94,"Multiple times per day",60,"Daily",20,"Weekly",4,"Monthly",1,"Quarterly",0.33,"Ad hoc",0.5,"Unknown",0),0)</f>
        <v/>
      </c>
      <c r="J94" s="2">
        <f>IFERROR((G94*H94*I94)/60,0)</f>
        <v/>
      </c>
      <c r="K94" s="2">
        <f>IFERROR(J94*12,0)</f>
        <v/>
      </c>
      <c r="L94" s="2">
        <f>IFERROR(XLOOKUP(A94,'Intake Responses'!$A:$A,'Intake Responses'!$T:$T),"")</f>
        <v/>
      </c>
      <c r="M94" s="2">
        <f>IFERROR(XLOOKUP(A94,'Intake Responses'!$A:$A,'Intake Responses'!$U:$U),"")</f>
        <v/>
      </c>
      <c r="N94" s="2">
        <f>IFERROR(XLOOKUP(A94,'Intake Responses'!$A:$A,'Intake Responses'!$V:$V),"")</f>
        <v/>
      </c>
      <c r="O94" s="2">
        <f>IFERROR(XLOOKUP(A94,'Intake Responses'!$A:$A,'Intake Responses'!$W:$W),"")</f>
        <v/>
      </c>
      <c r="P94" s="2">
        <f>IFERROR(XLOOKUP(A94,'Intake Responses'!$A:$A,'Intake Responses'!$X:$X),"")</f>
        <v/>
      </c>
      <c r="Q94" s="2">
        <f>IFERROR(XLOOKUP(A94,'Intake Responses'!$A:$A,'Intake Responses'!$AF:$AF),"")</f>
        <v/>
      </c>
      <c r="R94" s="2">
        <f>IFERROR(XLOOKUP(A94,'Intake Responses'!$A:$A,'Intake Responses'!$S:$S),"")</f>
        <v/>
      </c>
      <c r="S94" s="2" t="n"/>
      <c r="T94" s="2" t="n"/>
      <c r="U94" s="2" t="n"/>
      <c r="V94" s="2">
        <f>IFERROR(MIN(5,ROUND(((M94+O94)/2)+(IF(J94&gt;=20,2,IF(J94&gt;=10,1.5,IF(J94&gt;=5,1,IF(J94&gt;=1,0.5,0))))),1)),0)</f>
        <v/>
      </c>
      <c r="W94" s="2">
        <f>IFERROR(SWITCH(F94,"Multiple times per day",5,"Daily",4,"Weekly",3,"Monthly",2,"Quarterly",1,"Ad hoc",1,"Unknown",0),0)</f>
        <v/>
      </c>
      <c r="X94" s="2">
        <f>IFERROR(ROUND(AVERAGE(L94,N94),1),0)</f>
        <v/>
      </c>
      <c r="Y94" s="2">
        <f>IFERROR(SWITCH(U94,"High",3,"Medium",2,"Low",0,"Unknown",1,1)+IF(Q94="Yes",2,IF(Q94="Unsure",1,0)),0)</f>
        <v/>
      </c>
      <c r="Z94" s="2">
        <f>IFERROR(ROUND((V94*2)+(W94*1)+(X94*2)+(IF(T94="Easy",2,IF(T94="Medium",1,IF(T94="Hard",-1,0))))-(Y94*2),1),0)</f>
        <v/>
      </c>
      <c r="AA94" s="2">
        <f>IFERROR(IF(S94="Not a fit","Not a Fit",IF(Y94&gt;=5,"High Risk / Needs Review",IF(AND(Z94&gt;=18,T94="Easy"),"Quick Win",IF(AND(Z94&gt;=18,T94&lt;&gt;"Easy"),"Strategic Project",IF(Z94&gt;=10,"Discovery Needed","Process Issue"))))),"")</f>
        <v/>
      </c>
      <c r="AB94" s="2">
        <f>IFERROR(SWITCH(AA94,"Quick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4" s="2" t="n"/>
      <c r="AD94" s="2" t="n"/>
      <c r="AE94" s="2" t="n"/>
    </row>
    <row r="95" ht="25" customHeight="1">
      <c r="A95" s="3" t="n"/>
      <c r="B95" s="3">
        <f>IFERROR(XLOOKUP(A95,'Intake Responses'!$A:$A,'Intake Responses'!$E:$E),"")</f>
        <v/>
      </c>
      <c r="C95" s="3">
        <f>IFERROR(XLOOKUP(A95,'Intake Responses'!$A:$A,'Intake Responses'!$D:$D),"")</f>
        <v/>
      </c>
      <c r="D95" s="3">
        <f>IFERROR(XLOOKUP(A95,'Intake Responses'!$A:$A,'Intake Responses'!$F:$F),"")</f>
        <v/>
      </c>
      <c r="E95" s="3" t="n"/>
      <c r="F95" s="3">
        <f>IFERROR(XLOOKUP(A95,'Intake Responses'!$A:$A,'Intake Responses'!$M:$M),"")</f>
        <v/>
      </c>
      <c r="G95" s="3">
        <f>IFERROR(XLOOKUP(A95,'Intake Responses'!$A:$A,'Intake Responses'!$N:$N),"")</f>
        <v/>
      </c>
      <c r="H95" s="3">
        <f>IFERROR(XLOOKUP(A95,'Intake Responses'!$A:$A,'Intake Responses'!$O:$O),"")</f>
        <v/>
      </c>
      <c r="I95" s="3">
        <f>IFERROR(SWITCH(F95,"Multiple times per day",60,"Daily",20,"Weekly",4,"Monthly",1,"Quarterly",0.33,"Ad hoc",0.5,"Unknown",0),0)</f>
        <v/>
      </c>
      <c r="J95" s="3">
        <f>IFERROR((G95*H95*I95)/60,0)</f>
        <v/>
      </c>
      <c r="K95" s="3">
        <f>IFERROR(J95*12,0)</f>
        <v/>
      </c>
      <c r="L95" s="3">
        <f>IFERROR(XLOOKUP(A95,'Intake Responses'!$A:$A,'Intake Responses'!$T:$T),"")</f>
        <v/>
      </c>
      <c r="M95" s="3">
        <f>IFERROR(XLOOKUP(A95,'Intake Responses'!$A:$A,'Intake Responses'!$U:$U),"")</f>
        <v/>
      </c>
      <c r="N95" s="3">
        <f>IFERROR(XLOOKUP(A95,'Intake Responses'!$A:$A,'Intake Responses'!$V:$V),"")</f>
        <v/>
      </c>
      <c r="O95" s="3">
        <f>IFERROR(XLOOKUP(A95,'Intake Responses'!$A:$A,'Intake Responses'!$W:$W),"")</f>
        <v/>
      </c>
      <c r="P95" s="3">
        <f>IFERROR(XLOOKUP(A95,'Intake Responses'!$A:$A,'Intake Responses'!$X:$X),"")</f>
        <v/>
      </c>
      <c r="Q95" s="3">
        <f>IFERROR(XLOOKUP(A95,'Intake Responses'!$A:$A,'Intake Responses'!$AF:$AF),"")</f>
        <v/>
      </c>
      <c r="R95" s="3">
        <f>IFERROR(XLOOKUP(A95,'Intake Responses'!$A:$A,'Intake Responses'!$S:$S),"")</f>
        <v/>
      </c>
      <c r="S95" s="3" t="n"/>
      <c r="T95" s="3" t="n"/>
      <c r="U95" s="3" t="n"/>
      <c r="V95" s="3">
        <f>IFERROR(MIN(5,ROUND(((M95+O95)/2)+(IF(J95&gt;=20,2,IF(J95&gt;=10,1.5,IF(J95&gt;=5,1,IF(J95&gt;=1,0.5,0))))),1)),0)</f>
        <v/>
      </c>
      <c r="W95" s="3">
        <f>IFERROR(SWITCH(F95,"Multiple times per day",5,"Daily",4,"Weekly",3,"Monthly",2,"Quarterly",1,"Ad hoc",1,"Unknown",0),0)</f>
        <v/>
      </c>
      <c r="X95" s="3">
        <f>IFERROR(ROUND(AVERAGE(L95,N95),1),0)</f>
        <v/>
      </c>
      <c r="Y95" s="3">
        <f>IFERROR(SWITCH(U95,"High",3,"Medium",2,"Low",0,"Unknown",1,1)+IF(Q95="Yes",2,IF(Q95="Unsure",1,0)),0)</f>
        <v/>
      </c>
      <c r="Z95" s="3">
        <f>IFERROR(ROUND((V95*2)+(W95*1)+(X95*2)+(IF(T95="Easy",2,IF(T95="Medium",1,IF(T95="Hard",-1,0))))-(Y95*2),1),0)</f>
        <v/>
      </c>
      <c r="AA95" s="3">
        <f>IFERROR(IF(S95="Not a fit","Not a Fit",IF(Y95&gt;=5,"High Risk / Needs Review",IF(AND(Z95&gt;=18,T95="Easy"),"Quick Win",IF(AND(Z95&gt;=18,T95&lt;&gt;"Easy"),"Strategic Project",IF(Z95&gt;=10,"Discovery Needed","Process Issue"))))),"")</f>
        <v/>
      </c>
      <c r="AB95" s="3">
        <f>IFERROR(SWITCH(AA95,"Quick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5" s="3" t="n"/>
      <c r="AD95" s="3" t="n"/>
      <c r="AE95" s="3" t="n"/>
    </row>
    <row r="96" ht="25" customHeight="1">
      <c r="A96" s="2" t="n"/>
      <c r="B96" s="2">
        <f>IFERROR(XLOOKUP(A96,'Intake Responses'!$A:$A,'Intake Responses'!$E:$E),"")</f>
        <v/>
      </c>
      <c r="C96" s="2">
        <f>IFERROR(XLOOKUP(A96,'Intake Responses'!$A:$A,'Intake Responses'!$D:$D),"")</f>
        <v/>
      </c>
      <c r="D96" s="2">
        <f>IFERROR(XLOOKUP(A96,'Intake Responses'!$A:$A,'Intake Responses'!$F:$F),"")</f>
        <v/>
      </c>
      <c r="E96" s="2" t="n"/>
      <c r="F96" s="2">
        <f>IFERROR(XLOOKUP(A96,'Intake Responses'!$A:$A,'Intake Responses'!$M:$M),"")</f>
        <v/>
      </c>
      <c r="G96" s="2">
        <f>IFERROR(XLOOKUP(A96,'Intake Responses'!$A:$A,'Intake Responses'!$N:$N),"")</f>
        <v/>
      </c>
      <c r="H96" s="2">
        <f>IFERROR(XLOOKUP(A96,'Intake Responses'!$A:$A,'Intake Responses'!$O:$O),"")</f>
        <v/>
      </c>
      <c r="I96" s="2">
        <f>IFERROR(SWITCH(F96,"Multiple times per day",60,"Daily",20,"Weekly",4,"Monthly",1,"Quarterly",0.33,"Ad hoc",0.5,"Unknown",0),0)</f>
        <v/>
      </c>
      <c r="J96" s="2">
        <f>IFERROR((G96*H96*I96)/60,0)</f>
        <v/>
      </c>
      <c r="K96" s="2">
        <f>IFERROR(J96*12,0)</f>
        <v/>
      </c>
      <c r="L96" s="2">
        <f>IFERROR(XLOOKUP(A96,'Intake Responses'!$A:$A,'Intake Responses'!$T:$T),"")</f>
        <v/>
      </c>
      <c r="M96" s="2">
        <f>IFERROR(XLOOKUP(A96,'Intake Responses'!$A:$A,'Intake Responses'!$U:$U),"")</f>
        <v/>
      </c>
      <c r="N96" s="2">
        <f>IFERROR(XLOOKUP(A96,'Intake Responses'!$A:$A,'Intake Responses'!$V:$V),"")</f>
        <v/>
      </c>
      <c r="O96" s="2">
        <f>IFERROR(XLOOKUP(A96,'Intake Responses'!$A:$A,'Intake Responses'!$W:$W),"")</f>
        <v/>
      </c>
      <c r="P96" s="2">
        <f>IFERROR(XLOOKUP(A96,'Intake Responses'!$A:$A,'Intake Responses'!$X:$X),"")</f>
        <v/>
      </c>
      <c r="Q96" s="2">
        <f>IFERROR(XLOOKUP(A96,'Intake Responses'!$A:$A,'Intake Responses'!$AF:$AF),"")</f>
        <v/>
      </c>
      <c r="R96" s="2">
        <f>IFERROR(XLOOKUP(A96,'Intake Responses'!$A:$A,'Intake Responses'!$S:$S),"")</f>
        <v/>
      </c>
      <c r="S96" s="2" t="n"/>
      <c r="T96" s="2" t="n"/>
      <c r="U96" s="2" t="n"/>
      <c r="V96" s="2">
        <f>IFERROR(MIN(5,ROUND(((M96+O96)/2)+(IF(J96&gt;=20,2,IF(J96&gt;=10,1.5,IF(J96&gt;=5,1,IF(J96&gt;=1,0.5,0))))),1)),0)</f>
        <v/>
      </c>
      <c r="W96" s="2">
        <f>IFERROR(SWITCH(F96,"Multiple times per day",5,"Daily",4,"Weekly",3,"Monthly",2,"Quarterly",1,"Ad hoc",1,"Unknown",0),0)</f>
        <v/>
      </c>
      <c r="X96" s="2">
        <f>IFERROR(ROUND(AVERAGE(L96,N96),1),0)</f>
        <v/>
      </c>
      <c r="Y96" s="2">
        <f>IFERROR(SWITCH(U96,"High",3,"Medium",2,"Low",0,"Unknown",1,1)+IF(Q96="Yes",2,IF(Q96="Unsure",1,0)),0)</f>
        <v/>
      </c>
      <c r="Z96" s="2">
        <f>IFERROR(ROUND((V96*2)+(W96*1)+(X96*2)+(IF(T96="Easy",2,IF(T96="Medium",1,IF(T96="Hard",-1,0))))-(Y96*2),1),0)</f>
        <v/>
      </c>
      <c r="AA96" s="2">
        <f>IFERROR(IF(S96="Not a fit","Not a Fit",IF(Y96&gt;=5,"High Risk / Needs Review",IF(AND(Z96&gt;=18,T96="Easy"),"Quick Win",IF(AND(Z96&gt;=18,T96&lt;&gt;"Easy"),"Strategic Project",IF(Z96&gt;=10,"Discovery Needed","Process Issue"))))),"")</f>
        <v/>
      </c>
      <c r="AB96" s="2">
        <f>IFERROR(SWITCH(AA96,"Quick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6" s="2" t="n"/>
      <c r="AD96" s="2" t="n"/>
      <c r="AE96" s="2" t="n"/>
    </row>
    <row r="97" ht="25" customHeight="1">
      <c r="A97" s="3" t="n"/>
      <c r="B97" s="3">
        <f>IFERROR(XLOOKUP(A97,'Intake Responses'!$A:$A,'Intake Responses'!$E:$E),"")</f>
        <v/>
      </c>
      <c r="C97" s="3">
        <f>IFERROR(XLOOKUP(A97,'Intake Responses'!$A:$A,'Intake Responses'!$D:$D),"")</f>
        <v/>
      </c>
      <c r="D97" s="3">
        <f>IFERROR(XLOOKUP(A97,'Intake Responses'!$A:$A,'Intake Responses'!$F:$F),"")</f>
        <v/>
      </c>
      <c r="E97" s="3" t="n"/>
      <c r="F97" s="3">
        <f>IFERROR(XLOOKUP(A97,'Intake Responses'!$A:$A,'Intake Responses'!$M:$M),"")</f>
        <v/>
      </c>
      <c r="G97" s="3">
        <f>IFERROR(XLOOKUP(A97,'Intake Responses'!$A:$A,'Intake Responses'!$N:$N),"")</f>
        <v/>
      </c>
      <c r="H97" s="3">
        <f>IFERROR(XLOOKUP(A97,'Intake Responses'!$A:$A,'Intake Responses'!$O:$O),"")</f>
        <v/>
      </c>
      <c r="I97" s="3">
        <f>IFERROR(SWITCH(F97,"Multiple times per day",60,"Daily",20,"Weekly",4,"Monthly",1,"Quarterly",0.33,"Ad hoc",0.5,"Unknown",0),0)</f>
        <v/>
      </c>
      <c r="J97" s="3">
        <f>IFERROR((G97*H97*I97)/60,0)</f>
        <v/>
      </c>
      <c r="K97" s="3">
        <f>IFERROR(J97*12,0)</f>
        <v/>
      </c>
      <c r="L97" s="3">
        <f>IFERROR(XLOOKUP(A97,'Intake Responses'!$A:$A,'Intake Responses'!$T:$T),"")</f>
        <v/>
      </c>
      <c r="M97" s="3">
        <f>IFERROR(XLOOKUP(A97,'Intake Responses'!$A:$A,'Intake Responses'!$U:$U),"")</f>
        <v/>
      </c>
      <c r="N97" s="3">
        <f>IFERROR(XLOOKUP(A97,'Intake Responses'!$A:$A,'Intake Responses'!$V:$V),"")</f>
        <v/>
      </c>
      <c r="O97" s="3">
        <f>IFERROR(XLOOKUP(A97,'Intake Responses'!$A:$A,'Intake Responses'!$W:$W),"")</f>
        <v/>
      </c>
      <c r="P97" s="3">
        <f>IFERROR(XLOOKUP(A97,'Intake Responses'!$A:$A,'Intake Responses'!$X:$X),"")</f>
        <v/>
      </c>
      <c r="Q97" s="3">
        <f>IFERROR(XLOOKUP(A97,'Intake Responses'!$A:$A,'Intake Responses'!$AF:$AF),"")</f>
        <v/>
      </c>
      <c r="R97" s="3">
        <f>IFERROR(XLOOKUP(A97,'Intake Responses'!$A:$A,'Intake Responses'!$S:$S),"")</f>
        <v/>
      </c>
      <c r="S97" s="3" t="n"/>
      <c r="T97" s="3" t="n"/>
      <c r="U97" s="3" t="n"/>
      <c r="V97" s="3">
        <f>IFERROR(MIN(5,ROUND(((M97+O97)/2)+(IF(J97&gt;=20,2,IF(J97&gt;=10,1.5,IF(J97&gt;=5,1,IF(J97&gt;=1,0.5,0))))),1)),0)</f>
        <v/>
      </c>
      <c r="W97" s="3">
        <f>IFERROR(SWITCH(F97,"Multiple times per day",5,"Daily",4,"Weekly",3,"Monthly",2,"Quarterly",1,"Ad hoc",1,"Unknown",0),0)</f>
        <v/>
      </c>
      <c r="X97" s="3">
        <f>IFERROR(ROUND(AVERAGE(L97,N97),1),0)</f>
        <v/>
      </c>
      <c r="Y97" s="3">
        <f>IFERROR(SWITCH(U97,"High",3,"Medium",2,"Low",0,"Unknown",1,1)+IF(Q97="Yes",2,IF(Q97="Unsure",1,0)),0)</f>
        <v/>
      </c>
      <c r="Z97" s="3">
        <f>IFERROR(ROUND((V97*2)+(W97*1)+(X97*2)+(IF(T97="Easy",2,IF(T97="Medium",1,IF(T97="Hard",-1,0))))-(Y97*2),1),0)</f>
        <v/>
      </c>
      <c r="AA97" s="3">
        <f>IFERROR(IF(S97="Not a fit","Not a Fit",IF(Y97&gt;=5,"High Risk / Needs Review",IF(AND(Z97&gt;=18,T97="Easy"),"Quick Win",IF(AND(Z97&gt;=18,T97&lt;&gt;"Easy"),"Strategic Project",IF(Z97&gt;=10,"Discovery Needed","Process Issue"))))),"")</f>
        <v/>
      </c>
      <c r="AB97" s="3">
        <f>IFERROR(SWITCH(AA97,"Quick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7" s="3" t="n"/>
      <c r="AD97" s="3" t="n"/>
      <c r="AE97" s="3" t="n"/>
    </row>
    <row r="98" ht="25" customHeight="1">
      <c r="A98" s="2" t="n"/>
      <c r="B98" s="2">
        <f>IFERROR(XLOOKUP(A98,'Intake Responses'!$A:$A,'Intake Responses'!$E:$E),"")</f>
        <v/>
      </c>
      <c r="C98" s="2">
        <f>IFERROR(XLOOKUP(A98,'Intake Responses'!$A:$A,'Intake Responses'!$D:$D),"")</f>
        <v/>
      </c>
      <c r="D98" s="2">
        <f>IFERROR(XLOOKUP(A98,'Intake Responses'!$A:$A,'Intake Responses'!$F:$F),"")</f>
        <v/>
      </c>
      <c r="E98" s="2" t="n"/>
      <c r="F98" s="2">
        <f>IFERROR(XLOOKUP(A98,'Intake Responses'!$A:$A,'Intake Responses'!$M:$M),"")</f>
        <v/>
      </c>
      <c r="G98" s="2">
        <f>IFERROR(XLOOKUP(A98,'Intake Responses'!$A:$A,'Intake Responses'!$N:$N),"")</f>
        <v/>
      </c>
      <c r="H98" s="2">
        <f>IFERROR(XLOOKUP(A98,'Intake Responses'!$A:$A,'Intake Responses'!$O:$O),"")</f>
        <v/>
      </c>
      <c r="I98" s="2">
        <f>IFERROR(SWITCH(F98,"Multiple times per day",60,"Daily",20,"Weekly",4,"Monthly",1,"Quarterly",0.33,"Ad hoc",0.5,"Unknown",0),0)</f>
        <v/>
      </c>
      <c r="J98" s="2">
        <f>IFERROR((G98*H98*I98)/60,0)</f>
        <v/>
      </c>
      <c r="K98" s="2">
        <f>IFERROR(J98*12,0)</f>
        <v/>
      </c>
      <c r="L98" s="2">
        <f>IFERROR(XLOOKUP(A98,'Intake Responses'!$A:$A,'Intake Responses'!$T:$T),"")</f>
        <v/>
      </c>
      <c r="M98" s="2">
        <f>IFERROR(XLOOKUP(A98,'Intake Responses'!$A:$A,'Intake Responses'!$U:$U),"")</f>
        <v/>
      </c>
      <c r="N98" s="2">
        <f>IFERROR(XLOOKUP(A98,'Intake Responses'!$A:$A,'Intake Responses'!$V:$V),"")</f>
        <v/>
      </c>
      <c r="O98" s="2">
        <f>IFERROR(XLOOKUP(A98,'Intake Responses'!$A:$A,'Intake Responses'!$W:$W),"")</f>
        <v/>
      </c>
      <c r="P98" s="2">
        <f>IFERROR(XLOOKUP(A98,'Intake Responses'!$A:$A,'Intake Responses'!$X:$X),"")</f>
        <v/>
      </c>
      <c r="Q98" s="2">
        <f>IFERROR(XLOOKUP(A98,'Intake Responses'!$A:$A,'Intake Responses'!$AF:$AF),"")</f>
        <v/>
      </c>
      <c r="R98" s="2">
        <f>IFERROR(XLOOKUP(A98,'Intake Responses'!$A:$A,'Intake Responses'!$S:$S),"")</f>
        <v/>
      </c>
      <c r="S98" s="2" t="n"/>
      <c r="T98" s="2" t="n"/>
      <c r="U98" s="2" t="n"/>
      <c r="V98" s="2">
        <f>IFERROR(MIN(5,ROUND(((M98+O98)/2)+(IF(J98&gt;=20,2,IF(J98&gt;=10,1.5,IF(J98&gt;=5,1,IF(J98&gt;=1,0.5,0))))),1)),0)</f>
        <v/>
      </c>
      <c r="W98" s="2">
        <f>IFERROR(SWITCH(F98,"Multiple times per day",5,"Daily",4,"Weekly",3,"Monthly",2,"Quarterly",1,"Ad hoc",1,"Unknown",0),0)</f>
        <v/>
      </c>
      <c r="X98" s="2">
        <f>IFERROR(ROUND(AVERAGE(L98,N98),1),0)</f>
        <v/>
      </c>
      <c r="Y98" s="2">
        <f>IFERROR(SWITCH(U98,"High",3,"Medium",2,"Low",0,"Unknown",1,1)+IF(Q98="Yes",2,IF(Q98="Unsure",1,0)),0)</f>
        <v/>
      </c>
      <c r="Z98" s="2">
        <f>IFERROR(ROUND((V98*2)+(W98*1)+(X98*2)+(IF(T98="Easy",2,IF(T98="Medium",1,IF(T98="Hard",-1,0))))-(Y98*2),1),0)</f>
        <v/>
      </c>
      <c r="AA98" s="2">
        <f>IFERROR(IF(S98="Not a fit","Not a Fit",IF(Y98&gt;=5,"High Risk / Needs Review",IF(AND(Z98&gt;=18,T98="Easy"),"Quick Win",IF(AND(Z98&gt;=18,T98&lt;&gt;"Easy"),"Strategic Project",IF(Z98&gt;=10,"Discovery Needed","Process Issue"))))),"")</f>
        <v/>
      </c>
      <c r="AB98" s="2">
        <f>IFERROR(SWITCH(AA98,"Quick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8" s="2" t="n"/>
      <c r="AD98" s="2" t="n"/>
      <c r="AE98" s="2" t="n"/>
    </row>
    <row r="99" ht="25" customHeight="1">
      <c r="A99" s="3" t="n"/>
      <c r="B99" s="3">
        <f>IFERROR(XLOOKUP(A99,'Intake Responses'!$A:$A,'Intake Responses'!$E:$E),"")</f>
        <v/>
      </c>
      <c r="C99" s="3">
        <f>IFERROR(XLOOKUP(A99,'Intake Responses'!$A:$A,'Intake Responses'!$D:$D),"")</f>
        <v/>
      </c>
      <c r="D99" s="3">
        <f>IFERROR(XLOOKUP(A99,'Intake Responses'!$A:$A,'Intake Responses'!$F:$F),"")</f>
        <v/>
      </c>
      <c r="E99" s="3" t="n"/>
      <c r="F99" s="3">
        <f>IFERROR(XLOOKUP(A99,'Intake Responses'!$A:$A,'Intake Responses'!$M:$M),"")</f>
        <v/>
      </c>
      <c r="G99" s="3">
        <f>IFERROR(XLOOKUP(A99,'Intake Responses'!$A:$A,'Intake Responses'!$N:$N),"")</f>
        <v/>
      </c>
      <c r="H99" s="3">
        <f>IFERROR(XLOOKUP(A99,'Intake Responses'!$A:$A,'Intake Responses'!$O:$O),"")</f>
        <v/>
      </c>
      <c r="I99" s="3">
        <f>IFERROR(SWITCH(F99,"Multiple times per day",60,"Daily",20,"Weekly",4,"Monthly",1,"Quarterly",0.33,"Ad hoc",0.5,"Unknown",0),0)</f>
        <v/>
      </c>
      <c r="J99" s="3">
        <f>IFERROR((G99*H99*I99)/60,0)</f>
        <v/>
      </c>
      <c r="K99" s="3">
        <f>IFERROR(J99*12,0)</f>
        <v/>
      </c>
      <c r="L99" s="3">
        <f>IFERROR(XLOOKUP(A99,'Intake Responses'!$A:$A,'Intake Responses'!$T:$T),"")</f>
        <v/>
      </c>
      <c r="M99" s="3">
        <f>IFERROR(XLOOKUP(A99,'Intake Responses'!$A:$A,'Intake Responses'!$U:$U),"")</f>
        <v/>
      </c>
      <c r="N99" s="3">
        <f>IFERROR(XLOOKUP(A99,'Intake Responses'!$A:$A,'Intake Responses'!$V:$V),"")</f>
        <v/>
      </c>
      <c r="O99" s="3">
        <f>IFERROR(XLOOKUP(A99,'Intake Responses'!$A:$A,'Intake Responses'!$W:$W),"")</f>
        <v/>
      </c>
      <c r="P99" s="3">
        <f>IFERROR(XLOOKUP(A99,'Intake Responses'!$A:$A,'Intake Responses'!$X:$X),"")</f>
        <v/>
      </c>
      <c r="Q99" s="3">
        <f>IFERROR(XLOOKUP(A99,'Intake Responses'!$A:$A,'Intake Responses'!$AF:$AF),"")</f>
        <v/>
      </c>
      <c r="R99" s="3">
        <f>IFERROR(XLOOKUP(A99,'Intake Responses'!$A:$A,'Intake Responses'!$S:$S),"")</f>
        <v/>
      </c>
      <c r="S99" s="3" t="n"/>
      <c r="T99" s="3" t="n"/>
      <c r="U99" s="3" t="n"/>
      <c r="V99" s="3">
        <f>IFERROR(MIN(5,ROUND(((M99+O99)/2)+(IF(J99&gt;=20,2,IF(J99&gt;=10,1.5,IF(J99&gt;=5,1,IF(J99&gt;=1,0.5,0))))),1)),0)</f>
        <v/>
      </c>
      <c r="W99" s="3">
        <f>IFERROR(SWITCH(F99,"Multiple times per day",5,"Daily",4,"Weekly",3,"Monthly",2,"Quarterly",1,"Ad hoc",1,"Unknown",0),0)</f>
        <v/>
      </c>
      <c r="X99" s="3">
        <f>IFERROR(ROUND(AVERAGE(L99,N99),1),0)</f>
        <v/>
      </c>
      <c r="Y99" s="3">
        <f>IFERROR(SWITCH(U99,"High",3,"Medium",2,"Low",0,"Unknown",1,1)+IF(Q99="Yes",2,IF(Q99="Unsure",1,0)),0)</f>
        <v/>
      </c>
      <c r="Z99" s="3">
        <f>IFERROR(ROUND((V99*2)+(W99*1)+(X99*2)+(IF(T99="Easy",2,IF(T99="Medium",1,IF(T99="Hard",-1,0))))-(Y99*2),1),0)</f>
        <v/>
      </c>
      <c r="AA99" s="3">
        <f>IFERROR(IF(S99="Not a fit","Not a Fit",IF(Y99&gt;=5,"High Risk / Needs Review",IF(AND(Z99&gt;=18,T99="Easy"),"Quick Win",IF(AND(Z99&gt;=18,T99&lt;&gt;"Easy"),"Strategic Project",IF(Z99&gt;=10,"Discovery Needed","Process Issue"))))),"")</f>
        <v/>
      </c>
      <c r="AB99" s="3">
        <f>IFERROR(SWITCH(AA99,"Quick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99" s="3" t="n"/>
      <c r="AD99" s="3" t="n"/>
      <c r="AE99" s="3" t="n"/>
    </row>
    <row r="100" ht="25" customHeight="1">
      <c r="A100" s="2" t="n"/>
      <c r="B100" s="2">
        <f>IFERROR(XLOOKUP(A100,'Intake Responses'!$A:$A,'Intake Responses'!$E:$E),"")</f>
        <v/>
      </c>
      <c r="C100" s="2">
        <f>IFERROR(XLOOKUP(A100,'Intake Responses'!$A:$A,'Intake Responses'!$D:$D),"")</f>
        <v/>
      </c>
      <c r="D100" s="2">
        <f>IFERROR(XLOOKUP(A100,'Intake Responses'!$A:$A,'Intake Responses'!$F:$F),"")</f>
        <v/>
      </c>
      <c r="E100" s="2" t="n"/>
      <c r="F100" s="2">
        <f>IFERROR(XLOOKUP(A100,'Intake Responses'!$A:$A,'Intake Responses'!$M:$M),"")</f>
        <v/>
      </c>
      <c r="G100" s="2">
        <f>IFERROR(XLOOKUP(A100,'Intake Responses'!$A:$A,'Intake Responses'!$N:$N),"")</f>
        <v/>
      </c>
      <c r="H100" s="2">
        <f>IFERROR(XLOOKUP(A100,'Intake Responses'!$A:$A,'Intake Responses'!$O:$O),"")</f>
        <v/>
      </c>
      <c r="I100" s="2">
        <f>IFERROR(SWITCH(F100,"Multiple times per day",60,"Daily",20,"Weekly",4,"Monthly",1,"Quarterly",0.33,"Ad hoc",0.5,"Unknown",0),0)</f>
        <v/>
      </c>
      <c r="J100" s="2">
        <f>IFERROR((G100*H100*I100)/60,0)</f>
        <v/>
      </c>
      <c r="K100" s="2">
        <f>IFERROR(J100*12,0)</f>
        <v/>
      </c>
      <c r="L100" s="2">
        <f>IFERROR(XLOOKUP(A100,'Intake Responses'!$A:$A,'Intake Responses'!$T:$T),"")</f>
        <v/>
      </c>
      <c r="M100" s="2">
        <f>IFERROR(XLOOKUP(A100,'Intake Responses'!$A:$A,'Intake Responses'!$U:$U),"")</f>
        <v/>
      </c>
      <c r="N100" s="2">
        <f>IFERROR(XLOOKUP(A100,'Intake Responses'!$A:$A,'Intake Responses'!$V:$V),"")</f>
        <v/>
      </c>
      <c r="O100" s="2">
        <f>IFERROR(XLOOKUP(A100,'Intake Responses'!$A:$A,'Intake Responses'!$W:$W),"")</f>
        <v/>
      </c>
      <c r="P100" s="2">
        <f>IFERROR(XLOOKUP(A100,'Intake Responses'!$A:$A,'Intake Responses'!$X:$X),"")</f>
        <v/>
      </c>
      <c r="Q100" s="2">
        <f>IFERROR(XLOOKUP(A100,'Intake Responses'!$A:$A,'Intake Responses'!$AF:$AF),"")</f>
        <v/>
      </c>
      <c r="R100" s="2">
        <f>IFERROR(XLOOKUP(A100,'Intake Responses'!$A:$A,'Intake Responses'!$S:$S),"")</f>
        <v/>
      </c>
      <c r="S100" s="2" t="n"/>
      <c r="T100" s="2" t="n"/>
      <c r="U100" s="2" t="n"/>
      <c r="V100" s="2">
        <f>IFERROR(MIN(5,ROUND(((M100+O100)/2)+(IF(J100&gt;=20,2,IF(J100&gt;=10,1.5,IF(J100&gt;=5,1,IF(J100&gt;=1,0.5,0))))),1)),0)</f>
        <v/>
      </c>
      <c r="W100" s="2">
        <f>IFERROR(SWITCH(F100,"Multiple times per day",5,"Daily",4,"Weekly",3,"Monthly",2,"Quarterly",1,"Ad hoc",1,"Unknown",0),0)</f>
        <v/>
      </c>
      <c r="X100" s="2">
        <f>IFERROR(ROUND(AVERAGE(L100,N100),1),0)</f>
        <v/>
      </c>
      <c r="Y100" s="2">
        <f>IFERROR(SWITCH(U100,"High",3,"Medium",2,"Low",0,"Unknown",1,1)+IF(Q100="Yes",2,IF(Q100="Unsure",1,0)),0)</f>
        <v/>
      </c>
      <c r="Z100" s="2">
        <f>IFERROR(ROUND((V100*2)+(W100*1)+(X100*2)+(IF(T100="Easy",2,IF(T100="Medium",1,IF(T100="Hard",-1,0))))-(Y100*2),1),0)</f>
        <v/>
      </c>
      <c r="AA100" s="2">
        <f>IFERROR(IF(S100="Not a fit","Not a Fit",IF(Y100&gt;=5,"High Risk / Needs Review",IF(AND(Z100&gt;=18,T100="Easy"),"Quick Win",IF(AND(Z100&gt;=18,T100&lt;&gt;"Easy"),"Strategic Project",IF(Z100&gt;=10,"Discovery Needed","Process Issue"))))),"")</f>
        <v/>
      </c>
      <c r="AB100" s="2">
        <f>IFERROR(SWITCH(AA100,"Quick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0" s="2" t="n"/>
      <c r="AD100" s="2" t="n"/>
      <c r="AE100" s="2" t="n"/>
    </row>
    <row r="101" ht="25" customHeight="1">
      <c r="A101" s="3" t="n"/>
      <c r="B101" s="3">
        <f>IFERROR(XLOOKUP(A101,'Intake Responses'!$A:$A,'Intake Responses'!$E:$E),"")</f>
        <v/>
      </c>
      <c r="C101" s="3">
        <f>IFERROR(XLOOKUP(A101,'Intake Responses'!$A:$A,'Intake Responses'!$D:$D),"")</f>
        <v/>
      </c>
      <c r="D101" s="3">
        <f>IFERROR(XLOOKUP(A101,'Intake Responses'!$A:$A,'Intake Responses'!$F:$F),"")</f>
        <v/>
      </c>
      <c r="E101" s="3" t="n"/>
      <c r="F101" s="3">
        <f>IFERROR(XLOOKUP(A101,'Intake Responses'!$A:$A,'Intake Responses'!$M:$M),"")</f>
        <v/>
      </c>
      <c r="G101" s="3">
        <f>IFERROR(XLOOKUP(A101,'Intake Responses'!$A:$A,'Intake Responses'!$N:$N),"")</f>
        <v/>
      </c>
      <c r="H101" s="3">
        <f>IFERROR(XLOOKUP(A101,'Intake Responses'!$A:$A,'Intake Responses'!$O:$O),"")</f>
        <v/>
      </c>
      <c r="I101" s="3">
        <f>IFERROR(SWITCH(F101,"Multiple times per day",60,"Daily",20,"Weekly",4,"Monthly",1,"Quarterly",0.33,"Ad hoc",0.5,"Unknown",0),0)</f>
        <v/>
      </c>
      <c r="J101" s="3">
        <f>IFERROR((G101*H101*I101)/60,0)</f>
        <v/>
      </c>
      <c r="K101" s="3">
        <f>IFERROR(J101*12,0)</f>
        <v/>
      </c>
      <c r="L101" s="3">
        <f>IFERROR(XLOOKUP(A101,'Intake Responses'!$A:$A,'Intake Responses'!$T:$T),"")</f>
        <v/>
      </c>
      <c r="M101" s="3">
        <f>IFERROR(XLOOKUP(A101,'Intake Responses'!$A:$A,'Intake Responses'!$U:$U),"")</f>
        <v/>
      </c>
      <c r="N101" s="3">
        <f>IFERROR(XLOOKUP(A101,'Intake Responses'!$A:$A,'Intake Responses'!$V:$V),"")</f>
        <v/>
      </c>
      <c r="O101" s="3">
        <f>IFERROR(XLOOKUP(A101,'Intake Responses'!$A:$A,'Intake Responses'!$W:$W),"")</f>
        <v/>
      </c>
      <c r="P101" s="3">
        <f>IFERROR(XLOOKUP(A101,'Intake Responses'!$A:$A,'Intake Responses'!$X:$X),"")</f>
        <v/>
      </c>
      <c r="Q101" s="3">
        <f>IFERROR(XLOOKUP(A101,'Intake Responses'!$A:$A,'Intake Responses'!$AF:$AF),"")</f>
        <v/>
      </c>
      <c r="R101" s="3">
        <f>IFERROR(XLOOKUP(A101,'Intake Responses'!$A:$A,'Intake Responses'!$S:$S),"")</f>
        <v/>
      </c>
      <c r="S101" s="3" t="n"/>
      <c r="T101" s="3" t="n"/>
      <c r="U101" s="3" t="n"/>
      <c r="V101" s="3">
        <f>IFERROR(MIN(5,ROUND(((M101+O101)/2)+(IF(J101&gt;=20,2,IF(J101&gt;=10,1.5,IF(J101&gt;=5,1,IF(J101&gt;=1,0.5,0))))),1)),0)</f>
        <v/>
      </c>
      <c r="W101" s="3">
        <f>IFERROR(SWITCH(F101,"Multiple times per day",5,"Daily",4,"Weekly",3,"Monthly",2,"Quarterly",1,"Ad hoc",1,"Unknown",0),0)</f>
        <v/>
      </c>
      <c r="X101" s="3">
        <f>IFERROR(ROUND(AVERAGE(L101,N101),1),0)</f>
        <v/>
      </c>
      <c r="Y101" s="3">
        <f>IFERROR(SWITCH(U101,"High",3,"Medium",2,"Low",0,"Unknown",1,1)+IF(Q101="Yes",2,IF(Q101="Unsure",1,0)),0)</f>
        <v/>
      </c>
      <c r="Z101" s="3">
        <f>IFERROR(ROUND((V101*2)+(W101*1)+(X101*2)+(IF(T101="Easy",2,IF(T101="Medium",1,IF(T101="Hard",-1,0))))-(Y101*2),1),0)</f>
        <v/>
      </c>
      <c r="AA101" s="3">
        <f>IFERROR(IF(S101="Not a fit","Not a Fit",IF(Y101&gt;=5,"High Risk / Needs Review",IF(AND(Z101&gt;=18,T101="Easy"),"Quick Win",IF(AND(Z101&gt;=18,T101&lt;&gt;"Easy"),"Strategic Project",IF(Z101&gt;=10,"Discovery Needed","Process Issue"))))),"")</f>
        <v/>
      </c>
      <c r="AB101" s="3">
        <f>IFERROR(SWITCH(AA101,"Quick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1" s="3" t="n"/>
      <c r="AD101" s="3" t="n"/>
      <c r="AE101" s="3" t="n"/>
    </row>
    <row r="102" ht="25" customHeight="1">
      <c r="A102" s="2" t="n"/>
      <c r="B102" s="2">
        <f>IFERROR(XLOOKUP(A102,'Intake Responses'!$A:$A,'Intake Responses'!$E:$E),"")</f>
        <v/>
      </c>
      <c r="C102" s="2">
        <f>IFERROR(XLOOKUP(A102,'Intake Responses'!$A:$A,'Intake Responses'!$D:$D),"")</f>
        <v/>
      </c>
      <c r="D102" s="2">
        <f>IFERROR(XLOOKUP(A102,'Intake Responses'!$A:$A,'Intake Responses'!$F:$F),"")</f>
        <v/>
      </c>
      <c r="E102" s="2" t="n"/>
      <c r="F102" s="2">
        <f>IFERROR(XLOOKUP(A102,'Intake Responses'!$A:$A,'Intake Responses'!$M:$M),"")</f>
        <v/>
      </c>
      <c r="G102" s="2">
        <f>IFERROR(XLOOKUP(A102,'Intake Responses'!$A:$A,'Intake Responses'!$N:$N),"")</f>
        <v/>
      </c>
      <c r="H102" s="2">
        <f>IFERROR(XLOOKUP(A102,'Intake Responses'!$A:$A,'Intake Responses'!$O:$O),"")</f>
        <v/>
      </c>
      <c r="I102" s="2">
        <f>IFERROR(SWITCH(F102,"Multiple times per day",60,"Daily",20,"Weekly",4,"Monthly",1,"Quarterly",0.33,"Ad hoc",0.5,"Unknown",0),0)</f>
        <v/>
      </c>
      <c r="J102" s="2">
        <f>IFERROR((G102*H102*I102)/60,0)</f>
        <v/>
      </c>
      <c r="K102" s="2">
        <f>IFERROR(J102*12,0)</f>
        <v/>
      </c>
      <c r="L102" s="2">
        <f>IFERROR(XLOOKUP(A102,'Intake Responses'!$A:$A,'Intake Responses'!$T:$T),"")</f>
        <v/>
      </c>
      <c r="M102" s="2">
        <f>IFERROR(XLOOKUP(A102,'Intake Responses'!$A:$A,'Intake Responses'!$U:$U),"")</f>
        <v/>
      </c>
      <c r="N102" s="2">
        <f>IFERROR(XLOOKUP(A102,'Intake Responses'!$A:$A,'Intake Responses'!$V:$V),"")</f>
        <v/>
      </c>
      <c r="O102" s="2">
        <f>IFERROR(XLOOKUP(A102,'Intake Responses'!$A:$A,'Intake Responses'!$W:$W),"")</f>
        <v/>
      </c>
      <c r="P102" s="2">
        <f>IFERROR(XLOOKUP(A102,'Intake Responses'!$A:$A,'Intake Responses'!$X:$X),"")</f>
        <v/>
      </c>
      <c r="Q102" s="2">
        <f>IFERROR(XLOOKUP(A102,'Intake Responses'!$A:$A,'Intake Responses'!$AF:$AF),"")</f>
        <v/>
      </c>
      <c r="R102" s="2">
        <f>IFERROR(XLOOKUP(A102,'Intake Responses'!$A:$A,'Intake Responses'!$S:$S),"")</f>
        <v/>
      </c>
      <c r="S102" s="2" t="n"/>
      <c r="T102" s="2" t="n"/>
      <c r="U102" s="2" t="n"/>
      <c r="V102" s="2">
        <f>IFERROR(MIN(5,ROUND(((M102+O102)/2)+(IF(J102&gt;=20,2,IF(J102&gt;=10,1.5,IF(J102&gt;=5,1,IF(J102&gt;=1,0.5,0))))),1)),0)</f>
        <v/>
      </c>
      <c r="W102" s="2">
        <f>IFERROR(SWITCH(F102,"Multiple times per day",5,"Daily",4,"Weekly",3,"Monthly",2,"Quarterly",1,"Ad hoc",1,"Unknown",0),0)</f>
        <v/>
      </c>
      <c r="X102" s="2">
        <f>IFERROR(ROUND(AVERAGE(L102,N102),1),0)</f>
        <v/>
      </c>
      <c r="Y102" s="2">
        <f>IFERROR(SWITCH(U102,"High",3,"Medium",2,"Low",0,"Unknown",1,1)+IF(Q102="Yes",2,IF(Q102="Unsure",1,0)),0)</f>
        <v/>
      </c>
      <c r="Z102" s="2">
        <f>IFERROR(ROUND((V102*2)+(W102*1)+(X102*2)+(IF(T102="Easy",2,IF(T102="Medium",1,IF(T102="Hard",-1,0))))-(Y102*2),1),0)</f>
        <v/>
      </c>
      <c r="AA102" s="2">
        <f>IFERROR(IF(S102="Not a fit","Not a Fit",IF(Y102&gt;=5,"High Risk / Needs Review",IF(AND(Z102&gt;=18,T102="Easy"),"Quick Win",IF(AND(Z102&gt;=18,T102&lt;&gt;"Easy"),"Strategic Project",IF(Z102&gt;=10,"Discovery Needed","Process Issue"))))),"")</f>
        <v/>
      </c>
      <c r="AB102" s="2">
        <f>IFERROR(SWITCH(AA102,"Quick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2" s="2" t="n"/>
      <c r="AD102" s="2" t="n"/>
      <c r="AE102" s="2" t="n"/>
    </row>
    <row r="103" ht="25" customHeight="1">
      <c r="A103" s="3" t="n"/>
      <c r="B103" s="3">
        <f>IFERROR(XLOOKUP(A103,'Intake Responses'!$A:$A,'Intake Responses'!$E:$E),"")</f>
        <v/>
      </c>
      <c r="C103" s="3">
        <f>IFERROR(XLOOKUP(A103,'Intake Responses'!$A:$A,'Intake Responses'!$D:$D),"")</f>
        <v/>
      </c>
      <c r="D103" s="3">
        <f>IFERROR(XLOOKUP(A103,'Intake Responses'!$A:$A,'Intake Responses'!$F:$F),"")</f>
        <v/>
      </c>
      <c r="E103" s="3" t="n"/>
      <c r="F103" s="3">
        <f>IFERROR(XLOOKUP(A103,'Intake Responses'!$A:$A,'Intake Responses'!$M:$M),"")</f>
        <v/>
      </c>
      <c r="G103" s="3">
        <f>IFERROR(XLOOKUP(A103,'Intake Responses'!$A:$A,'Intake Responses'!$N:$N),"")</f>
        <v/>
      </c>
      <c r="H103" s="3">
        <f>IFERROR(XLOOKUP(A103,'Intake Responses'!$A:$A,'Intake Responses'!$O:$O),"")</f>
        <v/>
      </c>
      <c r="I103" s="3">
        <f>IFERROR(SWITCH(F103,"Multiple times per day",60,"Daily",20,"Weekly",4,"Monthly",1,"Quarterly",0.33,"Ad hoc",0.5,"Unknown",0),0)</f>
        <v/>
      </c>
      <c r="J103" s="3">
        <f>IFERROR((G103*H103*I103)/60,0)</f>
        <v/>
      </c>
      <c r="K103" s="3">
        <f>IFERROR(J103*12,0)</f>
        <v/>
      </c>
      <c r="L103" s="3">
        <f>IFERROR(XLOOKUP(A103,'Intake Responses'!$A:$A,'Intake Responses'!$T:$T),"")</f>
        <v/>
      </c>
      <c r="M103" s="3">
        <f>IFERROR(XLOOKUP(A103,'Intake Responses'!$A:$A,'Intake Responses'!$U:$U),"")</f>
        <v/>
      </c>
      <c r="N103" s="3">
        <f>IFERROR(XLOOKUP(A103,'Intake Responses'!$A:$A,'Intake Responses'!$V:$V),"")</f>
        <v/>
      </c>
      <c r="O103" s="3">
        <f>IFERROR(XLOOKUP(A103,'Intake Responses'!$A:$A,'Intake Responses'!$W:$W),"")</f>
        <v/>
      </c>
      <c r="P103" s="3">
        <f>IFERROR(XLOOKUP(A103,'Intake Responses'!$A:$A,'Intake Responses'!$X:$X),"")</f>
        <v/>
      </c>
      <c r="Q103" s="3">
        <f>IFERROR(XLOOKUP(A103,'Intake Responses'!$A:$A,'Intake Responses'!$AF:$AF),"")</f>
        <v/>
      </c>
      <c r="R103" s="3">
        <f>IFERROR(XLOOKUP(A103,'Intake Responses'!$A:$A,'Intake Responses'!$S:$S),"")</f>
        <v/>
      </c>
      <c r="S103" s="3" t="n"/>
      <c r="T103" s="3" t="n"/>
      <c r="U103" s="3" t="n"/>
      <c r="V103" s="3">
        <f>IFERROR(MIN(5,ROUND(((M103+O103)/2)+(IF(J103&gt;=20,2,IF(J103&gt;=10,1.5,IF(J103&gt;=5,1,IF(J103&gt;=1,0.5,0))))),1)),0)</f>
        <v/>
      </c>
      <c r="W103" s="3">
        <f>IFERROR(SWITCH(F103,"Multiple times per day",5,"Daily",4,"Weekly",3,"Monthly",2,"Quarterly",1,"Ad hoc",1,"Unknown",0),0)</f>
        <v/>
      </c>
      <c r="X103" s="3">
        <f>IFERROR(ROUND(AVERAGE(L103,N103),1),0)</f>
        <v/>
      </c>
      <c r="Y103" s="3">
        <f>IFERROR(SWITCH(U103,"High",3,"Medium",2,"Low",0,"Unknown",1,1)+IF(Q103="Yes",2,IF(Q103="Unsure",1,0)),0)</f>
        <v/>
      </c>
      <c r="Z103" s="3">
        <f>IFERROR(ROUND((V103*2)+(W103*1)+(X103*2)+(IF(T103="Easy",2,IF(T103="Medium",1,IF(T103="Hard",-1,0))))-(Y103*2),1),0)</f>
        <v/>
      </c>
      <c r="AA103" s="3">
        <f>IFERROR(IF(S103="Not a fit","Not a Fit",IF(Y103&gt;=5,"High Risk / Needs Review",IF(AND(Z103&gt;=18,T103="Easy"),"Quick Win",IF(AND(Z103&gt;=18,T103&lt;&gt;"Easy"),"Strategic Project",IF(Z103&gt;=10,"Discovery Needed","Process Issue"))))),"")</f>
        <v/>
      </c>
      <c r="AB103" s="3">
        <f>IFERROR(SWITCH(AA103,"Quick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3" s="3" t="n"/>
      <c r="AD103" s="3" t="n"/>
      <c r="AE103" s="3" t="n"/>
    </row>
    <row r="104" ht="25" customHeight="1">
      <c r="A104" s="2" t="n"/>
      <c r="B104" s="2">
        <f>IFERROR(XLOOKUP(A104,'Intake Responses'!$A:$A,'Intake Responses'!$E:$E),"")</f>
        <v/>
      </c>
      <c r="C104" s="2">
        <f>IFERROR(XLOOKUP(A104,'Intake Responses'!$A:$A,'Intake Responses'!$D:$D),"")</f>
        <v/>
      </c>
      <c r="D104" s="2">
        <f>IFERROR(XLOOKUP(A104,'Intake Responses'!$A:$A,'Intake Responses'!$F:$F),"")</f>
        <v/>
      </c>
      <c r="E104" s="2" t="n"/>
      <c r="F104" s="2">
        <f>IFERROR(XLOOKUP(A104,'Intake Responses'!$A:$A,'Intake Responses'!$M:$M),"")</f>
        <v/>
      </c>
      <c r="G104" s="2">
        <f>IFERROR(XLOOKUP(A104,'Intake Responses'!$A:$A,'Intake Responses'!$N:$N),"")</f>
        <v/>
      </c>
      <c r="H104" s="2">
        <f>IFERROR(XLOOKUP(A104,'Intake Responses'!$A:$A,'Intake Responses'!$O:$O),"")</f>
        <v/>
      </c>
      <c r="I104" s="2">
        <f>IFERROR(SWITCH(F104,"Multiple times per day",60,"Daily",20,"Weekly",4,"Monthly",1,"Quarterly",0.33,"Ad hoc",0.5,"Unknown",0),0)</f>
        <v/>
      </c>
      <c r="J104" s="2">
        <f>IFERROR((G104*H104*I104)/60,0)</f>
        <v/>
      </c>
      <c r="K104" s="2">
        <f>IFERROR(J104*12,0)</f>
        <v/>
      </c>
      <c r="L104" s="2">
        <f>IFERROR(XLOOKUP(A104,'Intake Responses'!$A:$A,'Intake Responses'!$T:$T),"")</f>
        <v/>
      </c>
      <c r="M104" s="2">
        <f>IFERROR(XLOOKUP(A104,'Intake Responses'!$A:$A,'Intake Responses'!$U:$U),"")</f>
        <v/>
      </c>
      <c r="N104" s="2">
        <f>IFERROR(XLOOKUP(A104,'Intake Responses'!$A:$A,'Intake Responses'!$V:$V),"")</f>
        <v/>
      </c>
      <c r="O104" s="2">
        <f>IFERROR(XLOOKUP(A104,'Intake Responses'!$A:$A,'Intake Responses'!$W:$W),"")</f>
        <v/>
      </c>
      <c r="P104" s="2">
        <f>IFERROR(XLOOKUP(A104,'Intake Responses'!$A:$A,'Intake Responses'!$X:$X),"")</f>
        <v/>
      </c>
      <c r="Q104" s="2">
        <f>IFERROR(XLOOKUP(A104,'Intake Responses'!$A:$A,'Intake Responses'!$AF:$AF),"")</f>
        <v/>
      </c>
      <c r="R104" s="2">
        <f>IFERROR(XLOOKUP(A104,'Intake Responses'!$A:$A,'Intake Responses'!$S:$S),"")</f>
        <v/>
      </c>
      <c r="S104" s="2" t="n"/>
      <c r="T104" s="2" t="n"/>
      <c r="U104" s="2" t="n"/>
      <c r="V104" s="2">
        <f>IFERROR(MIN(5,ROUND(((M104+O104)/2)+(IF(J104&gt;=20,2,IF(J104&gt;=10,1.5,IF(J104&gt;=5,1,IF(J104&gt;=1,0.5,0))))),1)),0)</f>
        <v/>
      </c>
      <c r="W104" s="2">
        <f>IFERROR(SWITCH(F104,"Multiple times per day",5,"Daily",4,"Weekly",3,"Monthly",2,"Quarterly",1,"Ad hoc",1,"Unknown",0),0)</f>
        <v/>
      </c>
      <c r="X104" s="2">
        <f>IFERROR(ROUND(AVERAGE(L104,N104),1),0)</f>
        <v/>
      </c>
      <c r="Y104" s="2">
        <f>IFERROR(SWITCH(U104,"High",3,"Medium",2,"Low",0,"Unknown",1,1)+IF(Q104="Yes",2,IF(Q104="Unsure",1,0)),0)</f>
        <v/>
      </c>
      <c r="Z104" s="2">
        <f>IFERROR(ROUND((V104*2)+(W104*1)+(X104*2)+(IF(T104="Easy",2,IF(T104="Medium",1,IF(T104="Hard",-1,0))))-(Y104*2),1),0)</f>
        <v/>
      </c>
      <c r="AA104" s="2">
        <f>IFERROR(IF(S104="Not a fit","Not a Fit",IF(Y104&gt;=5,"High Risk / Needs Review",IF(AND(Z104&gt;=18,T104="Easy"),"Quick Win",IF(AND(Z104&gt;=18,T104&lt;&gt;"Easy"),"Strategic Project",IF(Z104&gt;=10,"Discovery Needed","Process Issue"))))),"")</f>
        <v/>
      </c>
      <c r="AB104" s="2">
        <f>IFERROR(SWITCH(AA104,"Quick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4" s="2" t="n"/>
      <c r="AD104" s="2" t="n"/>
      <c r="AE104" s="2" t="n"/>
    </row>
    <row r="105" ht="25" customHeight="1">
      <c r="A105" s="3" t="n"/>
      <c r="B105" s="3">
        <f>IFERROR(XLOOKUP(A105,'Intake Responses'!$A:$A,'Intake Responses'!$E:$E),"")</f>
        <v/>
      </c>
      <c r="C105" s="3">
        <f>IFERROR(XLOOKUP(A105,'Intake Responses'!$A:$A,'Intake Responses'!$D:$D),"")</f>
        <v/>
      </c>
      <c r="D105" s="3">
        <f>IFERROR(XLOOKUP(A105,'Intake Responses'!$A:$A,'Intake Responses'!$F:$F),"")</f>
        <v/>
      </c>
      <c r="E105" s="3" t="n"/>
      <c r="F105" s="3">
        <f>IFERROR(XLOOKUP(A105,'Intake Responses'!$A:$A,'Intake Responses'!$M:$M),"")</f>
        <v/>
      </c>
      <c r="G105" s="3">
        <f>IFERROR(XLOOKUP(A105,'Intake Responses'!$A:$A,'Intake Responses'!$N:$N),"")</f>
        <v/>
      </c>
      <c r="H105" s="3">
        <f>IFERROR(XLOOKUP(A105,'Intake Responses'!$A:$A,'Intake Responses'!$O:$O),"")</f>
        <v/>
      </c>
      <c r="I105" s="3">
        <f>IFERROR(SWITCH(F105,"Multiple times per day",60,"Daily",20,"Weekly",4,"Monthly",1,"Quarterly",0.33,"Ad hoc",0.5,"Unknown",0),0)</f>
        <v/>
      </c>
      <c r="J105" s="3">
        <f>IFERROR((G105*H105*I105)/60,0)</f>
        <v/>
      </c>
      <c r="K105" s="3">
        <f>IFERROR(J105*12,0)</f>
        <v/>
      </c>
      <c r="L105" s="3">
        <f>IFERROR(XLOOKUP(A105,'Intake Responses'!$A:$A,'Intake Responses'!$T:$T),"")</f>
        <v/>
      </c>
      <c r="M105" s="3">
        <f>IFERROR(XLOOKUP(A105,'Intake Responses'!$A:$A,'Intake Responses'!$U:$U),"")</f>
        <v/>
      </c>
      <c r="N105" s="3">
        <f>IFERROR(XLOOKUP(A105,'Intake Responses'!$A:$A,'Intake Responses'!$V:$V),"")</f>
        <v/>
      </c>
      <c r="O105" s="3">
        <f>IFERROR(XLOOKUP(A105,'Intake Responses'!$A:$A,'Intake Responses'!$W:$W),"")</f>
        <v/>
      </c>
      <c r="P105" s="3">
        <f>IFERROR(XLOOKUP(A105,'Intake Responses'!$A:$A,'Intake Responses'!$X:$X),"")</f>
        <v/>
      </c>
      <c r="Q105" s="3">
        <f>IFERROR(XLOOKUP(A105,'Intake Responses'!$A:$A,'Intake Responses'!$AF:$AF),"")</f>
        <v/>
      </c>
      <c r="R105" s="3">
        <f>IFERROR(XLOOKUP(A105,'Intake Responses'!$A:$A,'Intake Responses'!$S:$S),"")</f>
        <v/>
      </c>
      <c r="S105" s="3" t="n"/>
      <c r="T105" s="3" t="n"/>
      <c r="U105" s="3" t="n"/>
      <c r="V105" s="3">
        <f>IFERROR(MIN(5,ROUND(((M105+O105)/2)+(IF(J105&gt;=20,2,IF(J105&gt;=10,1.5,IF(J105&gt;=5,1,IF(J105&gt;=1,0.5,0))))),1)),0)</f>
        <v/>
      </c>
      <c r="W105" s="3">
        <f>IFERROR(SWITCH(F105,"Multiple times per day",5,"Daily",4,"Weekly",3,"Monthly",2,"Quarterly",1,"Ad hoc",1,"Unknown",0),0)</f>
        <v/>
      </c>
      <c r="X105" s="3">
        <f>IFERROR(ROUND(AVERAGE(L105,N105),1),0)</f>
        <v/>
      </c>
      <c r="Y105" s="3">
        <f>IFERROR(SWITCH(U105,"High",3,"Medium",2,"Low",0,"Unknown",1,1)+IF(Q105="Yes",2,IF(Q105="Unsure",1,0)),0)</f>
        <v/>
      </c>
      <c r="Z105" s="3">
        <f>IFERROR(ROUND((V105*2)+(W105*1)+(X105*2)+(IF(T105="Easy",2,IF(T105="Medium",1,IF(T105="Hard",-1,0))))-(Y105*2),1),0)</f>
        <v/>
      </c>
      <c r="AA105" s="3">
        <f>IFERROR(IF(S105="Not a fit","Not a Fit",IF(Y105&gt;=5,"High Risk / Needs Review",IF(AND(Z105&gt;=18,T105="Easy"),"Quick Win",IF(AND(Z105&gt;=18,T105&lt;&gt;"Easy"),"Strategic Project",IF(Z105&gt;=10,"Discovery Needed","Process Issue"))))),"")</f>
        <v/>
      </c>
      <c r="AB105" s="3">
        <f>IFERROR(SWITCH(AA105,"Quick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5" s="3" t="n"/>
      <c r="AD105" s="3" t="n"/>
      <c r="AE105" s="3" t="n"/>
    </row>
    <row r="106" ht="25" customHeight="1">
      <c r="A106" s="2" t="n"/>
      <c r="B106" s="2">
        <f>IFERROR(XLOOKUP(A106,'Intake Responses'!$A:$A,'Intake Responses'!$E:$E),"")</f>
        <v/>
      </c>
      <c r="C106" s="2">
        <f>IFERROR(XLOOKUP(A106,'Intake Responses'!$A:$A,'Intake Responses'!$D:$D),"")</f>
        <v/>
      </c>
      <c r="D106" s="2">
        <f>IFERROR(XLOOKUP(A106,'Intake Responses'!$A:$A,'Intake Responses'!$F:$F),"")</f>
        <v/>
      </c>
      <c r="E106" s="2" t="n"/>
      <c r="F106" s="2">
        <f>IFERROR(XLOOKUP(A106,'Intake Responses'!$A:$A,'Intake Responses'!$M:$M),"")</f>
        <v/>
      </c>
      <c r="G106" s="2">
        <f>IFERROR(XLOOKUP(A106,'Intake Responses'!$A:$A,'Intake Responses'!$N:$N),"")</f>
        <v/>
      </c>
      <c r="H106" s="2">
        <f>IFERROR(XLOOKUP(A106,'Intake Responses'!$A:$A,'Intake Responses'!$O:$O),"")</f>
        <v/>
      </c>
      <c r="I106" s="2">
        <f>IFERROR(SWITCH(F106,"Multiple times per day",60,"Daily",20,"Weekly",4,"Monthly",1,"Quarterly",0.33,"Ad hoc",0.5,"Unknown",0),0)</f>
        <v/>
      </c>
      <c r="J106" s="2">
        <f>IFERROR((G106*H106*I106)/60,0)</f>
        <v/>
      </c>
      <c r="K106" s="2">
        <f>IFERROR(J106*12,0)</f>
        <v/>
      </c>
      <c r="L106" s="2">
        <f>IFERROR(XLOOKUP(A106,'Intake Responses'!$A:$A,'Intake Responses'!$T:$T),"")</f>
        <v/>
      </c>
      <c r="M106" s="2">
        <f>IFERROR(XLOOKUP(A106,'Intake Responses'!$A:$A,'Intake Responses'!$U:$U),"")</f>
        <v/>
      </c>
      <c r="N106" s="2">
        <f>IFERROR(XLOOKUP(A106,'Intake Responses'!$A:$A,'Intake Responses'!$V:$V),"")</f>
        <v/>
      </c>
      <c r="O106" s="2">
        <f>IFERROR(XLOOKUP(A106,'Intake Responses'!$A:$A,'Intake Responses'!$W:$W),"")</f>
        <v/>
      </c>
      <c r="P106" s="2">
        <f>IFERROR(XLOOKUP(A106,'Intake Responses'!$A:$A,'Intake Responses'!$X:$X),"")</f>
        <v/>
      </c>
      <c r="Q106" s="2">
        <f>IFERROR(XLOOKUP(A106,'Intake Responses'!$A:$A,'Intake Responses'!$AF:$AF),"")</f>
        <v/>
      </c>
      <c r="R106" s="2">
        <f>IFERROR(XLOOKUP(A106,'Intake Responses'!$A:$A,'Intake Responses'!$S:$S),"")</f>
        <v/>
      </c>
      <c r="S106" s="2" t="n"/>
      <c r="T106" s="2" t="n"/>
      <c r="U106" s="2" t="n"/>
      <c r="V106" s="2">
        <f>IFERROR(MIN(5,ROUND(((M106+O106)/2)+(IF(J106&gt;=20,2,IF(J106&gt;=10,1.5,IF(J106&gt;=5,1,IF(J106&gt;=1,0.5,0))))),1)),0)</f>
        <v/>
      </c>
      <c r="W106" s="2">
        <f>IFERROR(SWITCH(F106,"Multiple times per day",5,"Daily",4,"Weekly",3,"Monthly",2,"Quarterly",1,"Ad hoc",1,"Unknown",0),0)</f>
        <v/>
      </c>
      <c r="X106" s="2">
        <f>IFERROR(ROUND(AVERAGE(L106,N106),1),0)</f>
        <v/>
      </c>
      <c r="Y106" s="2">
        <f>IFERROR(SWITCH(U106,"High",3,"Medium",2,"Low",0,"Unknown",1,1)+IF(Q106="Yes",2,IF(Q106="Unsure",1,0)),0)</f>
        <v/>
      </c>
      <c r="Z106" s="2">
        <f>IFERROR(ROUND((V106*2)+(W106*1)+(X106*2)+(IF(T106="Easy",2,IF(T106="Medium",1,IF(T106="Hard",-1,0))))-(Y106*2),1),0)</f>
        <v/>
      </c>
      <c r="AA106" s="2">
        <f>IFERROR(IF(S106="Not a fit","Not a Fit",IF(Y106&gt;=5,"High Risk / Needs Review",IF(AND(Z106&gt;=18,T106="Easy"),"Quick Win",IF(AND(Z106&gt;=18,T106&lt;&gt;"Easy"),"Strategic Project",IF(Z106&gt;=10,"Discovery Needed","Process Issue"))))),"")</f>
        <v/>
      </c>
      <c r="AB106" s="2">
        <f>IFERROR(SWITCH(AA106,"Quick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6" s="2" t="n"/>
      <c r="AD106" s="2" t="n"/>
      <c r="AE106" s="2" t="n"/>
    </row>
    <row r="107" ht="25" customHeight="1">
      <c r="A107" s="3" t="n"/>
      <c r="B107" s="3">
        <f>IFERROR(XLOOKUP(A107,'Intake Responses'!$A:$A,'Intake Responses'!$E:$E),"")</f>
        <v/>
      </c>
      <c r="C107" s="3">
        <f>IFERROR(XLOOKUP(A107,'Intake Responses'!$A:$A,'Intake Responses'!$D:$D),"")</f>
        <v/>
      </c>
      <c r="D107" s="3">
        <f>IFERROR(XLOOKUP(A107,'Intake Responses'!$A:$A,'Intake Responses'!$F:$F),"")</f>
        <v/>
      </c>
      <c r="E107" s="3" t="n"/>
      <c r="F107" s="3">
        <f>IFERROR(XLOOKUP(A107,'Intake Responses'!$A:$A,'Intake Responses'!$M:$M),"")</f>
        <v/>
      </c>
      <c r="G107" s="3">
        <f>IFERROR(XLOOKUP(A107,'Intake Responses'!$A:$A,'Intake Responses'!$N:$N),"")</f>
        <v/>
      </c>
      <c r="H107" s="3">
        <f>IFERROR(XLOOKUP(A107,'Intake Responses'!$A:$A,'Intake Responses'!$O:$O),"")</f>
        <v/>
      </c>
      <c r="I107" s="3">
        <f>IFERROR(SWITCH(F107,"Multiple times per day",60,"Daily",20,"Weekly",4,"Monthly",1,"Quarterly",0.33,"Ad hoc",0.5,"Unknown",0),0)</f>
        <v/>
      </c>
      <c r="J107" s="3">
        <f>IFERROR((G107*H107*I107)/60,0)</f>
        <v/>
      </c>
      <c r="K107" s="3">
        <f>IFERROR(J107*12,0)</f>
        <v/>
      </c>
      <c r="L107" s="3">
        <f>IFERROR(XLOOKUP(A107,'Intake Responses'!$A:$A,'Intake Responses'!$T:$T),"")</f>
        <v/>
      </c>
      <c r="M107" s="3">
        <f>IFERROR(XLOOKUP(A107,'Intake Responses'!$A:$A,'Intake Responses'!$U:$U),"")</f>
        <v/>
      </c>
      <c r="N107" s="3">
        <f>IFERROR(XLOOKUP(A107,'Intake Responses'!$A:$A,'Intake Responses'!$V:$V),"")</f>
        <v/>
      </c>
      <c r="O107" s="3">
        <f>IFERROR(XLOOKUP(A107,'Intake Responses'!$A:$A,'Intake Responses'!$W:$W),"")</f>
        <v/>
      </c>
      <c r="P107" s="3">
        <f>IFERROR(XLOOKUP(A107,'Intake Responses'!$A:$A,'Intake Responses'!$X:$X),"")</f>
        <v/>
      </c>
      <c r="Q107" s="3">
        <f>IFERROR(XLOOKUP(A107,'Intake Responses'!$A:$A,'Intake Responses'!$AF:$AF),"")</f>
        <v/>
      </c>
      <c r="R107" s="3">
        <f>IFERROR(XLOOKUP(A107,'Intake Responses'!$A:$A,'Intake Responses'!$S:$S),"")</f>
        <v/>
      </c>
      <c r="S107" s="3" t="n"/>
      <c r="T107" s="3" t="n"/>
      <c r="U107" s="3" t="n"/>
      <c r="V107" s="3">
        <f>IFERROR(MIN(5,ROUND(((M107+O107)/2)+(IF(J107&gt;=20,2,IF(J107&gt;=10,1.5,IF(J107&gt;=5,1,IF(J107&gt;=1,0.5,0))))),1)),0)</f>
        <v/>
      </c>
      <c r="W107" s="3">
        <f>IFERROR(SWITCH(F107,"Multiple times per day",5,"Daily",4,"Weekly",3,"Monthly",2,"Quarterly",1,"Ad hoc",1,"Unknown",0),0)</f>
        <v/>
      </c>
      <c r="X107" s="3">
        <f>IFERROR(ROUND(AVERAGE(L107,N107),1),0)</f>
        <v/>
      </c>
      <c r="Y107" s="3">
        <f>IFERROR(SWITCH(U107,"High",3,"Medium",2,"Low",0,"Unknown",1,1)+IF(Q107="Yes",2,IF(Q107="Unsure",1,0)),0)</f>
        <v/>
      </c>
      <c r="Z107" s="3">
        <f>IFERROR(ROUND((V107*2)+(W107*1)+(X107*2)+(IF(T107="Easy",2,IF(T107="Medium",1,IF(T107="Hard",-1,0))))-(Y107*2),1),0)</f>
        <v/>
      </c>
      <c r="AA107" s="3">
        <f>IFERROR(IF(S107="Not a fit","Not a Fit",IF(Y107&gt;=5,"High Risk / Needs Review",IF(AND(Z107&gt;=18,T107="Easy"),"Quick Win",IF(AND(Z107&gt;=18,T107&lt;&gt;"Easy"),"Strategic Project",IF(Z107&gt;=10,"Discovery Needed","Process Issue"))))),"")</f>
        <v/>
      </c>
      <c r="AB107" s="3">
        <f>IFERROR(SWITCH(AA107,"Quick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7" s="3" t="n"/>
      <c r="AD107" s="3" t="n"/>
      <c r="AE107" s="3" t="n"/>
    </row>
    <row r="108" ht="25" customHeight="1">
      <c r="A108" s="2" t="n"/>
      <c r="B108" s="2">
        <f>IFERROR(XLOOKUP(A108,'Intake Responses'!$A:$A,'Intake Responses'!$E:$E),"")</f>
        <v/>
      </c>
      <c r="C108" s="2">
        <f>IFERROR(XLOOKUP(A108,'Intake Responses'!$A:$A,'Intake Responses'!$D:$D),"")</f>
        <v/>
      </c>
      <c r="D108" s="2">
        <f>IFERROR(XLOOKUP(A108,'Intake Responses'!$A:$A,'Intake Responses'!$F:$F),"")</f>
        <v/>
      </c>
      <c r="E108" s="2" t="n"/>
      <c r="F108" s="2">
        <f>IFERROR(XLOOKUP(A108,'Intake Responses'!$A:$A,'Intake Responses'!$M:$M),"")</f>
        <v/>
      </c>
      <c r="G108" s="2">
        <f>IFERROR(XLOOKUP(A108,'Intake Responses'!$A:$A,'Intake Responses'!$N:$N),"")</f>
        <v/>
      </c>
      <c r="H108" s="2">
        <f>IFERROR(XLOOKUP(A108,'Intake Responses'!$A:$A,'Intake Responses'!$O:$O),"")</f>
        <v/>
      </c>
      <c r="I108" s="2">
        <f>IFERROR(SWITCH(F108,"Multiple times per day",60,"Daily",20,"Weekly",4,"Monthly",1,"Quarterly",0.33,"Ad hoc",0.5,"Unknown",0),0)</f>
        <v/>
      </c>
      <c r="J108" s="2">
        <f>IFERROR((G108*H108*I108)/60,0)</f>
        <v/>
      </c>
      <c r="K108" s="2">
        <f>IFERROR(J108*12,0)</f>
        <v/>
      </c>
      <c r="L108" s="2">
        <f>IFERROR(XLOOKUP(A108,'Intake Responses'!$A:$A,'Intake Responses'!$T:$T),"")</f>
        <v/>
      </c>
      <c r="M108" s="2">
        <f>IFERROR(XLOOKUP(A108,'Intake Responses'!$A:$A,'Intake Responses'!$U:$U),"")</f>
        <v/>
      </c>
      <c r="N108" s="2">
        <f>IFERROR(XLOOKUP(A108,'Intake Responses'!$A:$A,'Intake Responses'!$V:$V),"")</f>
        <v/>
      </c>
      <c r="O108" s="2">
        <f>IFERROR(XLOOKUP(A108,'Intake Responses'!$A:$A,'Intake Responses'!$W:$W),"")</f>
        <v/>
      </c>
      <c r="P108" s="2">
        <f>IFERROR(XLOOKUP(A108,'Intake Responses'!$A:$A,'Intake Responses'!$X:$X),"")</f>
        <v/>
      </c>
      <c r="Q108" s="2">
        <f>IFERROR(XLOOKUP(A108,'Intake Responses'!$A:$A,'Intake Responses'!$AF:$AF),"")</f>
        <v/>
      </c>
      <c r="R108" s="2">
        <f>IFERROR(XLOOKUP(A108,'Intake Responses'!$A:$A,'Intake Responses'!$S:$S),"")</f>
        <v/>
      </c>
      <c r="S108" s="2" t="n"/>
      <c r="T108" s="2" t="n"/>
      <c r="U108" s="2" t="n"/>
      <c r="V108" s="2">
        <f>IFERROR(MIN(5,ROUND(((M108+O108)/2)+(IF(J108&gt;=20,2,IF(J108&gt;=10,1.5,IF(J108&gt;=5,1,IF(J108&gt;=1,0.5,0))))),1)),0)</f>
        <v/>
      </c>
      <c r="W108" s="2">
        <f>IFERROR(SWITCH(F108,"Multiple times per day",5,"Daily",4,"Weekly",3,"Monthly",2,"Quarterly",1,"Ad hoc",1,"Unknown",0),0)</f>
        <v/>
      </c>
      <c r="X108" s="2">
        <f>IFERROR(ROUND(AVERAGE(L108,N108),1),0)</f>
        <v/>
      </c>
      <c r="Y108" s="2">
        <f>IFERROR(SWITCH(U108,"High",3,"Medium",2,"Low",0,"Unknown",1,1)+IF(Q108="Yes",2,IF(Q108="Unsure",1,0)),0)</f>
        <v/>
      </c>
      <c r="Z108" s="2">
        <f>IFERROR(ROUND((V108*2)+(W108*1)+(X108*2)+(IF(T108="Easy",2,IF(T108="Medium",1,IF(T108="Hard",-1,0))))-(Y108*2),1),0)</f>
        <v/>
      </c>
      <c r="AA108" s="2">
        <f>IFERROR(IF(S108="Not a fit","Not a Fit",IF(Y108&gt;=5,"High Risk / Needs Review",IF(AND(Z108&gt;=18,T108="Easy"),"Quick Win",IF(AND(Z108&gt;=18,T108&lt;&gt;"Easy"),"Strategic Project",IF(Z108&gt;=10,"Discovery Needed","Process Issue"))))),"")</f>
        <v/>
      </c>
      <c r="AB108" s="2">
        <f>IFERROR(SWITCH(AA108,"Quick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8" s="2" t="n"/>
      <c r="AD108" s="2" t="n"/>
      <c r="AE108" s="2" t="n"/>
    </row>
    <row r="109" ht="25" customHeight="1">
      <c r="A109" s="3" t="n"/>
      <c r="B109" s="3">
        <f>IFERROR(XLOOKUP(A109,'Intake Responses'!$A:$A,'Intake Responses'!$E:$E),"")</f>
        <v/>
      </c>
      <c r="C109" s="3">
        <f>IFERROR(XLOOKUP(A109,'Intake Responses'!$A:$A,'Intake Responses'!$D:$D),"")</f>
        <v/>
      </c>
      <c r="D109" s="3">
        <f>IFERROR(XLOOKUP(A109,'Intake Responses'!$A:$A,'Intake Responses'!$F:$F),"")</f>
        <v/>
      </c>
      <c r="E109" s="3" t="n"/>
      <c r="F109" s="3">
        <f>IFERROR(XLOOKUP(A109,'Intake Responses'!$A:$A,'Intake Responses'!$M:$M),"")</f>
        <v/>
      </c>
      <c r="G109" s="3">
        <f>IFERROR(XLOOKUP(A109,'Intake Responses'!$A:$A,'Intake Responses'!$N:$N),"")</f>
        <v/>
      </c>
      <c r="H109" s="3">
        <f>IFERROR(XLOOKUP(A109,'Intake Responses'!$A:$A,'Intake Responses'!$O:$O),"")</f>
        <v/>
      </c>
      <c r="I109" s="3">
        <f>IFERROR(SWITCH(F109,"Multiple times per day",60,"Daily",20,"Weekly",4,"Monthly",1,"Quarterly",0.33,"Ad hoc",0.5,"Unknown",0),0)</f>
        <v/>
      </c>
      <c r="J109" s="3">
        <f>IFERROR((G109*H109*I109)/60,0)</f>
        <v/>
      </c>
      <c r="K109" s="3">
        <f>IFERROR(J109*12,0)</f>
        <v/>
      </c>
      <c r="L109" s="3">
        <f>IFERROR(XLOOKUP(A109,'Intake Responses'!$A:$A,'Intake Responses'!$T:$T),"")</f>
        <v/>
      </c>
      <c r="M109" s="3">
        <f>IFERROR(XLOOKUP(A109,'Intake Responses'!$A:$A,'Intake Responses'!$U:$U),"")</f>
        <v/>
      </c>
      <c r="N109" s="3">
        <f>IFERROR(XLOOKUP(A109,'Intake Responses'!$A:$A,'Intake Responses'!$V:$V),"")</f>
        <v/>
      </c>
      <c r="O109" s="3">
        <f>IFERROR(XLOOKUP(A109,'Intake Responses'!$A:$A,'Intake Responses'!$W:$W),"")</f>
        <v/>
      </c>
      <c r="P109" s="3">
        <f>IFERROR(XLOOKUP(A109,'Intake Responses'!$A:$A,'Intake Responses'!$X:$X),"")</f>
        <v/>
      </c>
      <c r="Q109" s="3">
        <f>IFERROR(XLOOKUP(A109,'Intake Responses'!$A:$A,'Intake Responses'!$AF:$AF),"")</f>
        <v/>
      </c>
      <c r="R109" s="3">
        <f>IFERROR(XLOOKUP(A109,'Intake Responses'!$A:$A,'Intake Responses'!$S:$S),"")</f>
        <v/>
      </c>
      <c r="S109" s="3" t="n"/>
      <c r="T109" s="3" t="n"/>
      <c r="U109" s="3" t="n"/>
      <c r="V109" s="3">
        <f>IFERROR(MIN(5,ROUND(((M109+O109)/2)+(IF(J109&gt;=20,2,IF(J109&gt;=10,1.5,IF(J109&gt;=5,1,IF(J109&gt;=1,0.5,0))))),1)),0)</f>
        <v/>
      </c>
      <c r="W109" s="3">
        <f>IFERROR(SWITCH(F109,"Multiple times per day",5,"Daily",4,"Weekly",3,"Monthly",2,"Quarterly",1,"Ad hoc",1,"Unknown",0),0)</f>
        <v/>
      </c>
      <c r="X109" s="3">
        <f>IFERROR(ROUND(AVERAGE(L109,N109),1),0)</f>
        <v/>
      </c>
      <c r="Y109" s="3">
        <f>IFERROR(SWITCH(U109,"High",3,"Medium",2,"Low",0,"Unknown",1,1)+IF(Q109="Yes",2,IF(Q109="Unsure",1,0)),0)</f>
        <v/>
      </c>
      <c r="Z109" s="3">
        <f>IFERROR(ROUND((V109*2)+(W109*1)+(X109*2)+(IF(T109="Easy",2,IF(T109="Medium",1,IF(T109="Hard",-1,0))))-(Y109*2),1),0)</f>
        <v/>
      </c>
      <c r="AA109" s="3">
        <f>IFERROR(IF(S109="Not a fit","Not a Fit",IF(Y109&gt;=5,"High Risk / Needs Review",IF(AND(Z109&gt;=18,T109="Easy"),"Quick Win",IF(AND(Z109&gt;=18,T109&lt;&gt;"Easy"),"Strategic Project",IF(Z109&gt;=10,"Discovery Needed","Process Issue"))))),"")</f>
        <v/>
      </c>
      <c r="AB109" s="3">
        <f>IFERROR(SWITCH(AA109,"Quick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09" s="3" t="n"/>
      <c r="AD109" s="3" t="n"/>
      <c r="AE109" s="3" t="n"/>
    </row>
    <row r="110" ht="25" customHeight="1">
      <c r="A110" s="2" t="n"/>
      <c r="B110" s="2">
        <f>IFERROR(XLOOKUP(A110,'Intake Responses'!$A:$A,'Intake Responses'!$E:$E),"")</f>
        <v/>
      </c>
      <c r="C110" s="2">
        <f>IFERROR(XLOOKUP(A110,'Intake Responses'!$A:$A,'Intake Responses'!$D:$D),"")</f>
        <v/>
      </c>
      <c r="D110" s="2">
        <f>IFERROR(XLOOKUP(A110,'Intake Responses'!$A:$A,'Intake Responses'!$F:$F),"")</f>
        <v/>
      </c>
      <c r="E110" s="2" t="n"/>
      <c r="F110" s="2">
        <f>IFERROR(XLOOKUP(A110,'Intake Responses'!$A:$A,'Intake Responses'!$M:$M),"")</f>
        <v/>
      </c>
      <c r="G110" s="2">
        <f>IFERROR(XLOOKUP(A110,'Intake Responses'!$A:$A,'Intake Responses'!$N:$N),"")</f>
        <v/>
      </c>
      <c r="H110" s="2">
        <f>IFERROR(XLOOKUP(A110,'Intake Responses'!$A:$A,'Intake Responses'!$O:$O),"")</f>
        <v/>
      </c>
      <c r="I110" s="2">
        <f>IFERROR(SWITCH(F110,"Multiple times per day",60,"Daily",20,"Weekly",4,"Monthly",1,"Quarterly",0.33,"Ad hoc",0.5,"Unknown",0),0)</f>
        <v/>
      </c>
      <c r="J110" s="2">
        <f>IFERROR((G110*H110*I110)/60,0)</f>
        <v/>
      </c>
      <c r="K110" s="2">
        <f>IFERROR(J110*12,0)</f>
        <v/>
      </c>
      <c r="L110" s="2">
        <f>IFERROR(XLOOKUP(A110,'Intake Responses'!$A:$A,'Intake Responses'!$T:$T),"")</f>
        <v/>
      </c>
      <c r="M110" s="2">
        <f>IFERROR(XLOOKUP(A110,'Intake Responses'!$A:$A,'Intake Responses'!$U:$U),"")</f>
        <v/>
      </c>
      <c r="N110" s="2">
        <f>IFERROR(XLOOKUP(A110,'Intake Responses'!$A:$A,'Intake Responses'!$V:$V),"")</f>
        <v/>
      </c>
      <c r="O110" s="2">
        <f>IFERROR(XLOOKUP(A110,'Intake Responses'!$A:$A,'Intake Responses'!$W:$W),"")</f>
        <v/>
      </c>
      <c r="P110" s="2">
        <f>IFERROR(XLOOKUP(A110,'Intake Responses'!$A:$A,'Intake Responses'!$X:$X),"")</f>
        <v/>
      </c>
      <c r="Q110" s="2">
        <f>IFERROR(XLOOKUP(A110,'Intake Responses'!$A:$A,'Intake Responses'!$AF:$AF),"")</f>
        <v/>
      </c>
      <c r="R110" s="2">
        <f>IFERROR(XLOOKUP(A110,'Intake Responses'!$A:$A,'Intake Responses'!$S:$S),"")</f>
        <v/>
      </c>
      <c r="S110" s="2" t="n"/>
      <c r="T110" s="2" t="n"/>
      <c r="U110" s="2" t="n"/>
      <c r="V110" s="2">
        <f>IFERROR(MIN(5,ROUND(((M110+O110)/2)+(IF(J110&gt;=20,2,IF(J110&gt;=10,1.5,IF(J110&gt;=5,1,IF(J110&gt;=1,0.5,0))))),1)),0)</f>
        <v/>
      </c>
      <c r="W110" s="2">
        <f>IFERROR(SWITCH(F110,"Multiple times per day",5,"Daily",4,"Weekly",3,"Monthly",2,"Quarterly",1,"Ad hoc",1,"Unknown",0),0)</f>
        <v/>
      </c>
      <c r="X110" s="2">
        <f>IFERROR(ROUND(AVERAGE(L110,N110),1),0)</f>
        <v/>
      </c>
      <c r="Y110" s="2">
        <f>IFERROR(SWITCH(U110,"High",3,"Medium",2,"Low",0,"Unknown",1,1)+IF(Q110="Yes",2,IF(Q110="Unsure",1,0)),0)</f>
        <v/>
      </c>
      <c r="Z110" s="2">
        <f>IFERROR(ROUND((V110*2)+(W110*1)+(X110*2)+(IF(T110="Easy",2,IF(T110="Medium",1,IF(T110="Hard",-1,0))))-(Y110*2),1),0)</f>
        <v/>
      </c>
      <c r="AA110" s="2">
        <f>IFERROR(IF(S110="Not a fit","Not a Fit",IF(Y110&gt;=5,"High Risk / Needs Review",IF(AND(Z110&gt;=18,T110="Easy"),"Quick Win",IF(AND(Z110&gt;=18,T110&lt;&gt;"Easy"),"Strategic Project",IF(Z110&gt;=10,"Discovery Needed","Process Issue"))))),"")</f>
        <v/>
      </c>
      <c r="AB110" s="2">
        <f>IFERROR(SWITCH(AA110,"Quick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0" s="2" t="n"/>
      <c r="AD110" s="2" t="n"/>
      <c r="AE110" s="2" t="n"/>
    </row>
    <row r="111" ht="25" customHeight="1">
      <c r="A111" s="3" t="n"/>
      <c r="B111" s="3">
        <f>IFERROR(XLOOKUP(A111,'Intake Responses'!$A:$A,'Intake Responses'!$E:$E),"")</f>
        <v/>
      </c>
      <c r="C111" s="3">
        <f>IFERROR(XLOOKUP(A111,'Intake Responses'!$A:$A,'Intake Responses'!$D:$D),"")</f>
        <v/>
      </c>
      <c r="D111" s="3">
        <f>IFERROR(XLOOKUP(A111,'Intake Responses'!$A:$A,'Intake Responses'!$F:$F),"")</f>
        <v/>
      </c>
      <c r="E111" s="3" t="n"/>
      <c r="F111" s="3">
        <f>IFERROR(XLOOKUP(A111,'Intake Responses'!$A:$A,'Intake Responses'!$M:$M),"")</f>
        <v/>
      </c>
      <c r="G111" s="3">
        <f>IFERROR(XLOOKUP(A111,'Intake Responses'!$A:$A,'Intake Responses'!$N:$N),"")</f>
        <v/>
      </c>
      <c r="H111" s="3">
        <f>IFERROR(XLOOKUP(A111,'Intake Responses'!$A:$A,'Intake Responses'!$O:$O),"")</f>
        <v/>
      </c>
      <c r="I111" s="3">
        <f>IFERROR(SWITCH(F111,"Multiple times per day",60,"Daily",20,"Weekly",4,"Monthly",1,"Quarterly",0.33,"Ad hoc",0.5,"Unknown",0),0)</f>
        <v/>
      </c>
      <c r="J111" s="3">
        <f>IFERROR((G111*H111*I111)/60,0)</f>
        <v/>
      </c>
      <c r="K111" s="3">
        <f>IFERROR(J111*12,0)</f>
        <v/>
      </c>
      <c r="L111" s="3">
        <f>IFERROR(XLOOKUP(A111,'Intake Responses'!$A:$A,'Intake Responses'!$T:$T),"")</f>
        <v/>
      </c>
      <c r="M111" s="3">
        <f>IFERROR(XLOOKUP(A111,'Intake Responses'!$A:$A,'Intake Responses'!$U:$U),"")</f>
        <v/>
      </c>
      <c r="N111" s="3">
        <f>IFERROR(XLOOKUP(A111,'Intake Responses'!$A:$A,'Intake Responses'!$V:$V),"")</f>
        <v/>
      </c>
      <c r="O111" s="3">
        <f>IFERROR(XLOOKUP(A111,'Intake Responses'!$A:$A,'Intake Responses'!$W:$W),"")</f>
        <v/>
      </c>
      <c r="P111" s="3">
        <f>IFERROR(XLOOKUP(A111,'Intake Responses'!$A:$A,'Intake Responses'!$X:$X),"")</f>
        <v/>
      </c>
      <c r="Q111" s="3">
        <f>IFERROR(XLOOKUP(A111,'Intake Responses'!$A:$A,'Intake Responses'!$AF:$AF),"")</f>
        <v/>
      </c>
      <c r="R111" s="3">
        <f>IFERROR(XLOOKUP(A111,'Intake Responses'!$A:$A,'Intake Responses'!$S:$S),"")</f>
        <v/>
      </c>
      <c r="S111" s="3" t="n"/>
      <c r="T111" s="3" t="n"/>
      <c r="U111" s="3" t="n"/>
      <c r="V111" s="3">
        <f>IFERROR(MIN(5,ROUND(((M111+O111)/2)+(IF(J111&gt;=20,2,IF(J111&gt;=10,1.5,IF(J111&gt;=5,1,IF(J111&gt;=1,0.5,0))))),1)),0)</f>
        <v/>
      </c>
      <c r="W111" s="3">
        <f>IFERROR(SWITCH(F111,"Multiple times per day",5,"Daily",4,"Weekly",3,"Monthly",2,"Quarterly",1,"Ad hoc",1,"Unknown",0),0)</f>
        <v/>
      </c>
      <c r="X111" s="3">
        <f>IFERROR(ROUND(AVERAGE(L111,N111),1),0)</f>
        <v/>
      </c>
      <c r="Y111" s="3">
        <f>IFERROR(SWITCH(U111,"High",3,"Medium",2,"Low",0,"Unknown",1,1)+IF(Q111="Yes",2,IF(Q111="Unsure",1,0)),0)</f>
        <v/>
      </c>
      <c r="Z111" s="3">
        <f>IFERROR(ROUND((V111*2)+(W111*1)+(X111*2)+(IF(T111="Easy",2,IF(T111="Medium",1,IF(T111="Hard",-1,0))))-(Y111*2),1),0)</f>
        <v/>
      </c>
      <c r="AA111" s="3">
        <f>IFERROR(IF(S111="Not a fit","Not a Fit",IF(Y111&gt;=5,"High Risk / Needs Review",IF(AND(Z111&gt;=18,T111="Easy"),"Quick Win",IF(AND(Z111&gt;=18,T111&lt;&gt;"Easy"),"Strategic Project",IF(Z111&gt;=10,"Discovery Needed","Process Issue"))))),"")</f>
        <v/>
      </c>
      <c r="AB111" s="3">
        <f>IFERROR(SWITCH(AA111,"Quick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1" s="3" t="n"/>
      <c r="AD111" s="3" t="n"/>
      <c r="AE111" s="3" t="n"/>
    </row>
    <row r="112" ht="25" customHeight="1">
      <c r="A112" s="2" t="n"/>
      <c r="B112" s="2">
        <f>IFERROR(XLOOKUP(A112,'Intake Responses'!$A:$A,'Intake Responses'!$E:$E),"")</f>
        <v/>
      </c>
      <c r="C112" s="2">
        <f>IFERROR(XLOOKUP(A112,'Intake Responses'!$A:$A,'Intake Responses'!$D:$D),"")</f>
        <v/>
      </c>
      <c r="D112" s="2">
        <f>IFERROR(XLOOKUP(A112,'Intake Responses'!$A:$A,'Intake Responses'!$F:$F),"")</f>
        <v/>
      </c>
      <c r="E112" s="2" t="n"/>
      <c r="F112" s="2">
        <f>IFERROR(XLOOKUP(A112,'Intake Responses'!$A:$A,'Intake Responses'!$M:$M),"")</f>
        <v/>
      </c>
      <c r="G112" s="2">
        <f>IFERROR(XLOOKUP(A112,'Intake Responses'!$A:$A,'Intake Responses'!$N:$N),"")</f>
        <v/>
      </c>
      <c r="H112" s="2">
        <f>IFERROR(XLOOKUP(A112,'Intake Responses'!$A:$A,'Intake Responses'!$O:$O),"")</f>
        <v/>
      </c>
      <c r="I112" s="2">
        <f>IFERROR(SWITCH(F112,"Multiple times per day",60,"Daily",20,"Weekly",4,"Monthly",1,"Quarterly",0.33,"Ad hoc",0.5,"Unknown",0),0)</f>
        <v/>
      </c>
      <c r="J112" s="2">
        <f>IFERROR((G112*H112*I112)/60,0)</f>
        <v/>
      </c>
      <c r="K112" s="2">
        <f>IFERROR(J112*12,0)</f>
        <v/>
      </c>
      <c r="L112" s="2">
        <f>IFERROR(XLOOKUP(A112,'Intake Responses'!$A:$A,'Intake Responses'!$T:$T),"")</f>
        <v/>
      </c>
      <c r="M112" s="2">
        <f>IFERROR(XLOOKUP(A112,'Intake Responses'!$A:$A,'Intake Responses'!$U:$U),"")</f>
        <v/>
      </c>
      <c r="N112" s="2">
        <f>IFERROR(XLOOKUP(A112,'Intake Responses'!$A:$A,'Intake Responses'!$V:$V),"")</f>
        <v/>
      </c>
      <c r="O112" s="2">
        <f>IFERROR(XLOOKUP(A112,'Intake Responses'!$A:$A,'Intake Responses'!$W:$W),"")</f>
        <v/>
      </c>
      <c r="P112" s="2">
        <f>IFERROR(XLOOKUP(A112,'Intake Responses'!$A:$A,'Intake Responses'!$X:$X),"")</f>
        <v/>
      </c>
      <c r="Q112" s="2">
        <f>IFERROR(XLOOKUP(A112,'Intake Responses'!$A:$A,'Intake Responses'!$AF:$AF),"")</f>
        <v/>
      </c>
      <c r="R112" s="2">
        <f>IFERROR(XLOOKUP(A112,'Intake Responses'!$A:$A,'Intake Responses'!$S:$S),"")</f>
        <v/>
      </c>
      <c r="S112" s="2" t="n"/>
      <c r="T112" s="2" t="n"/>
      <c r="U112" s="2" t="n"/>
      <c r="V112" s="2">
        <f>IFERROR(MIN(5,ROUND(((M112+O112)/2)+(IF(J112&gt;=20,2,IF(J112&gt;=10,1.5,IF(J112&gt;=5,1,IF(J112&gt;=1,0.5,0))))),1)),0)</f>
        <v/>
      </c>
      <c r="W112" s="2">
        <f>IFERROR(SWITCH(F112,"Multiple times per day",5,"Daily",4,"Weekly",3,"Monthly",2,"Quarterly",1,"Ad hoc",1,"Unknown",0),0)</f>
        <v/>
      </c>
      <c r="X112" s="2">
        <f>IFERROR(ROUND(AVERAGE(L112,N112),1),0)</f>
        <v/>
      </c>
      <c r="Y112" s="2">
        <f>IFERROR(SWITCH(U112,"High",3,"Medium",2,"Low",0,"Unknown",1,1)+IF(Q112="Yes",2,IF(Q112="Unsure",1,0)),0)</f>
        <v/>
      </c>
      <c r="Z112" s="2">
        <f>IFERROR(ROUND((V112*2)+(W112*1)+(X112*2)+(IF(T112="Easy",2,IF(T112="Medium",1,IF(T112="Hard",-1,0))))-(Y112*2),1),0)</f>
        <v/>
      </c>
      <c r="AA112" s="2">
        <f>IFERROR(IF(S112="Not a fit","Not a Fit",IF(Y112&gt;=5,"High Risk / Needs Review",IF(AND(Z112&gt;=18,T112="Easy"),"Quick Win",IF(AND(Z112&gt;=18,T112&lt;&gt;"Easy"),"Strategic Project",IF(Z112&gt;=10,"Discovery Needed","Process Issue"))))),"")</f>
        <v/>
      </c>
      <c r="AB112" s="2">
        <f>IFERROR(SWITCH(AA112,"Quick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2" s="2" t="n"/>
      <c r="AD112" s="2" t="n"/>
      <c r="AE112" s="2" t="n"/>
    </row>
    <row r="113" ht="25" customHeight="1">
      <c r="A113" s="3" t="n"/>
      <c r="B113" s="3">
        <f>IFERROR(XLOOKUP(A113,'Intake Responses'!$A:$A,'Intake Responses'!$E:$E),"")</f>
        <v/>
      </c>
      <c r="C113" s="3">
        <f>IFERROR(XLOOKUP(A113,'Intake Responses'!$A:$A,'Intake Responses'!$D:$D),"")</f>
        <v/>
      </c>
      <c r="D113" s="3">
        <f>IFERROR(XLOOKUP(A113,'Intake Responses'!$A:$A,'Intake Responses'!$F:$F),"")</f>
        <v/>
      </c>
      <c r="E113" s="3" t="n"/>
      <c r="F113" s="3">
        <f>IFERROR(XLOOKUP(A113,'Intake Responses'!$A:$A,'Intake Responses'!$M:$M),"")</f>
        <v/>
      </c>
      <c r="G113" s="3">
        <f>IFERROR(XLOOKUP(A113,'Intake Responses'!$A:$A,'Intake Responses'!$N:$N),"")</f>
        <v/>
      </c>
      <c r="H113" s="3">
        <f>IFERROR(XLOOKUP(A113,'Intake Responses'!$A:$A,'Intake Responses'!$O:$O),"")</f>
        <v/>
      </c>
      <c r="I113" s="3">
        <f>IFERROR(SWITCH(F113,"Multiple times per day",60,"Daily",20,"Weekly",4,"Monthly",1,"Quarterly",0.33,"Ad hoc",0.5,"Unknown",0),0)</f>
        <v/>
      </c>
      <c r="J113" s="3">
        <f>IFERROR((G113*H113*I113)/60,0)</f>
        <v/>
      </c>
      <c r="K113" s="3">
        <f>IFERROR(J113*12,0)</f>
        <v/>
      </c>
      <c r="L113" s="3">
        <f>IFERROR(XLOOKUP(A113,'Intake Responses'!$A:$A,'Intake Responses'!$T:$T),"")</f>
        <v/>
      </c>
      <c r="M113" s="3">
        <f>IFERROR(XLOOKUP(A113,'Intake Responses'!$A:$A,'Intake Responses'!$U:$U),"")</f>
        <v/>
      </c>
      <c r="N113" s="3">
        <f>IFERROR(XLOOKUP(A113,'Intake Responses'!$A:$A,'Intake Responses'!$V:$V),"")</f>
        <v/>
      </c>
      <c r="O113" s="3">
        <f>IFERROR(XLOOKUP(A113,'Intake Responses'!$A:$A,'Intake Responses'!$W:$W),"")</f>
        <v/>
      </c>
      <c r="P113" s="3">
        <f>IFERROR(XLOOKUP(A113,'Intake Responses'!$A:$A,'Intake Responses'!$X:$X),"")</f>
        <v/>
      </c>
      <c r="Q113" s="3">
        <f>IFERROR(XLOOKUP(A113,'Intake Responses'!$A:$A,'Intake Responses'!$AF:$AF),"")</f>
        <v/>
      </c>
      <c r="R113" s="3">
        <f>IFERROR(XLOOKUP(A113,'Intake Responses'!$A:$A,'Intake Responses'!$S:$S),"")</f>
        <v/>
      </c>
      <c r="S113" s="3" t="n"/>
      <c r="T113" s="3" t="n"/>
      <c r="U113" s="3" t="n"/>
      <c r="V113" s="3">
        <f>IFERROR(MIN(5,ROUND(((M113+O113)/2)+(IF(J113&gt;=20,2,IF(J113&gt;=10,1.5,IF(J113&gt;=5,1,IF(J113&gt;=1,0.5,0))))),1)),0)</f>
        <v/>
      </c>
      <c r="W113" s="3">
        <f>IFERROR(SWITCH(F113,"Multiple times per day",5,"Daily",4,"Weekly",3,"Monthly",2,"Quarterly",1,"Ad hoc",1,"Unknown",0),0)</f>
        <v/>
      </c>
      <c r="X113" s="3">
        <f>IFERROR(ROUND(AVERAGE(L113,N113),1),0)</f>
        <v/>
      </c>
      <c r="Y113" s="3">
        <f>IFERROR(SWITCH(U113,"High",3,"Medium",2,"Low",0,"Unknown",1,1)+IF(Q113="Yes",2,IF(Q113="Unsure",1,0)),0)</f>
        <v/>
      </c>
      <c r="Z113" s="3">
        <f>IFERROR(ROUND((V113*2)+(W113*1)+(X113*2)+(IF(T113="Easy",2,IF(T113="Medium",1,IF(T113="Hard",-1,0))))-(Y113*2),1),0)</f>
        <v/>
      </c>
      <c r="AA113" s="3">
        <f>IFERROR(IF(S113="Not a fit","Not a Fit",IF(Y113&gt;=5,"High Risk / Needs Review",IF(AND(Z113&gt;=18,T113="Easy"),"Quick Win",IF(AND(Z113&gt;=18,T113&lt;&gt;"Easy"),"Strategic Project",IF(Z113&gt;=10,"Discovery Needed","Process Issue"))))),"")</f>
        <v/>
      </c>
      <c r="AB113" s="3">
        <f>IFERROR(SWITCH(AA113,"Quick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3" s="3" t="n"/>
      <c r="AD113" s="3" t="n"/>
      <c r="AE113" s="3" t="n"/>
    </row>
    <row r="114" ht="25" customHeight="1">
      <c r="A114" s="2" t="n"/>
      <c r="B114" s="2">
        <f>IFERROR(XLOOKUP(A114,'Intake Responses'!$A:$A,'Intake Responses'!$E:$E),"")</f>
        <v/>
      </c>
      <c r="C114" s="2">
        <f>IFERROR(XLOOKUP(A114,'Intake Responses'!$A:$A,'Intake Responses'!$D:$D),"")</f>
        <v/>
      </c>
      <c r="D114" s="2">
        <f>IFERROR(XLOOKUP(A114,'Intake Responses'!$A:$A,'Intake Responses'!$F:$F),"")</f>
        <v/>
      </c>
      <c r="E114" s="2" t="n"/>
      <c r="F114" s="2">
        <f>IFERROR(XLOOKUP(A114,'Intake Responses'!$A:$A,'Intake Responses'!$M:$M),"")</f>
        <v/>
      </c>
      <c r="G114" s="2">
        <f>IFERROR(XLOOKUP(A114,'Intake Responses'!$A:$A,'Intake Responses'!$N:$N),"")</f>
        <v/>
      </c>
      <c r="H114" s="2">
        <f>IFERROR(XLOOKUP(A114,'Intake Responses'!$A:$A,'Intake Responses'!$O:$O),"")</f>
        <v/>
      </c>
      <c r="I114" s="2">
        <f>IFERROR(SWITCH(F114,"Multiple times per day",60,"Daily",20,"Weekly",4,"Monthly",1,"Quarterly",0.33,"Ad hoc",0.5,"Unknown",0),0)</f>
        <v/>
      </c>
      <c r="J114" s="2">
        <f>IFERROR((G114*H114*I114)/60,0)</f>
        <v/>
      </c>
      <c r="K114" s="2">
        <f>IFERROR(J114*12,0)</f>
        <v/>
      </c>
      <c r="L114" s="2">
        <f>IFERROR(XLOOKUP(A114,'Intake Responses'!$A:$A,'Intake Responses'!$T:$T),"")</f>
        <v/>
      </c>
      <c r="M114" s="2">
        <f>IFERROR(XLOOKUP(A114,'Intake Responses'!$A:$A,'Intake Responses'!$U:$U),"")</f>
        <v/>
      </c>
      <c r="N114" s="2">
        <f>IFERROR(XLOOKUP(A114,'Intake Responses'!$A:$A,'Intake Responses'!$V:$V),"")</f>
        <v/>
      </c>
      <c r="O114" s="2">
        <f>IFERROR(XLOOKUP(A114,'Intake Responses'!$A:$A,'Intake Responses'!$W:$W),"")</f>
        <v/>
      </c>
      <c r="P114" s="2">
        <f>IFERROR(XLOOKUP(A114,'Intake Responses'!$A:$A,'Intake Responses'!$X:$X),"")</f>
        <v/>
      </c>
      <c r="Q114" s="2">
        <f>IFERROR(XLOOKUP(A114,'Intake Responses'!$A:$A,'Intake Responses'!$AF:$AF),"")</f>
        <v/>
      </c>
      <c r="R114" s="2">
        <f>IFERROR(XLOOKUP(A114,'Intake Responses'!$A:$A,'Intake Responses'!$S:$S),"")</f>
        <v/>
      </c>
      <c r="S114" s="2" t="n"/>
      <c r="T114" s="2" t="n"/>
      <c r="U114" s="2" t="n"/>
      <c r="V114" s="2">
        <f>IFERROR(MIN(5,ROUND(((M114+O114)/2)+(IF(J114&gt;=20,2,IF(J114&gt;=10,1.5,IF(J114&gt;=5,1,IF(J114&gt;=1,0.5,0))))),1)),0)</f>
        <v/>
      </c>
      <c r="W114" s="2">
        <f>IFERROR(SWITCH(F114,"Multiple times per day",5,"Daily",4,"Weekly",3,"Monthly",2,"Quarterly",1,"Ad hoc",1,"Unknown",0),0)</f>
        <v/>
      </c>
      <c r="X114" s="2">
        <f>IFERROR(ROUND(AVERAGE(L114,N114),1),0)</f>
        <v/>
      </c>
      <c r="Y114" s="2">
        <f>IFERROR(SWITCH(U114,"High",3,"Medium",2,"Low",0,"Unknown",1,1)+IF(Q114="Yes",2,IF(Q114="Unsure",1,0)),0)</f>
        <v/>
      </c>
      <c r="Z114" s="2">
        <f>IFERROR(ROUND((V114*2)+(W114*1)+(X114*2)+(IF(T114="Easy",2,IF(T114="Medium",1,IF(T114="Hard",-1,0))))-(Y114*2),1),0)</f>
        <v/>
      </c>
      <c r="AA114" s="2">
        <f>IFERROR(IF(S114="Not a fit","Not a Fit",IF(Y114&gt;=5,"High Risk / Needs Review",IF(AND(Z114&gt;=18,T114="Easy"),"Quick Win",IF(AND(Z114&gt;=18,T114&lt;&gt;"Easy"),"Strategic Project",IF(Z114&gt;=10,"Discovery Needed","Process Issue"))))),"")</f>
        <v/>
      </c>
      <c r="AB114" s="2">
        <f>IFERROR(SWITCH(AA114,"Quick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4" s="2" t="n"/>
      <c r="AD114" s="2" t="n"/>
      <c r="AE114" s="2" t="n"/>
    </row>
    <row r="115" ht="25" customHeight="1">
      <c r="A115" s="3" t="n"/>
      <c r="B115" s="3">
        <f>IFERROR(XLOOKUP(A115,'Intake Responses'!$A:$A,'Intake Responses'!$E:$E),"")</f>
        <v/>
      </c>
      <c r="C115" s="3">
        <f>IFERROR(XLOOKUP(A115,'Intake Responses'!$A:$A,'Intake Responses'!$D:$D),"")</f>
        <v/>
      </c>
      <c r="D115" s="3">
        <f>IFERROR(XLOOKUP(A115,'Intake Responses'!$A:$A,'Intake Responses'!$F:$F),"")</f>
        <v/>
      </c>
      <c r="E115" s="3" t="n"/>
      <c r="F115" s="3">
        <f>IFERROR(XLOOKUP(A115,'Intake Responses'!$A:$A,'Intake Responses'!$M:$M),"")</f>
        <v/>
      </c>
      <c r="G115" s="3">
        <f>IFERROR(XLOOKUP(A115,'Intake Responses'!$A:$A,'Intake Responses'!$N:$N),"")</f>
        <v/>
      </c>
      <c r="H115" s="3">
        <f>IFERROR(XLOOKUP(A115,'Intake Responses'!$A:$A,'Intake Responses'!$O:$O),"")</f>
        <v/>
      </c>
      <c r="I115" s="3">
        <f>IFERROR(SWITCH(F115,"Multiple times per day",60,"Daily",20,"Weekly",4,"Monthly",1,"Quarterly",0.33,"Ad hoc",0.5,"Unknown",0),0)</f>
        <v/>
      </c>
      <c r="J115" s="3">
        <f>IFERROR((G115*H115*I115)/60,0)</f>
        <v/>
      </c>
      <c r="K115" s="3">
        <f>IFERROR(J115*12,0)</f>
        <v/>
      </c>
      <c r="L115" s="3">
        <f>IFERROR(XLOOKUP(A115,'Intake Responses'!$A:$A,'Intake Responses'!$T:$T),"")</f>
        <v/>
      </c>
      <c r="M115" s="3">
        <f>IFERROR(XLOOKUP(A115,'Intake Responses'!$A:$A,'Intake Responses'!$U:$U),"")</f>
        <v/>
      </c>
      <c r="N115" s="3">
        <f>IFERROR(XLOOKUP(A115,'Intake Responses'!$A:$A,'Intake Responses'!$V:$V),"")</f>
        <v/>
      </c>
      <c r="O115" s="3">
        <f>IFERROR(XLOOKUP(A115,'Intake Responses'!$A:$A,'Intake Responses'!$W:$W),"")</f>
        <v/>
      </c>
      <c r="P115" s="3">
        <f>IFERROR(XLOOKUP(A115,'Intake Responses'!$A:$A,'Intake Responses'!$X:$X),"")</f>
        <v/>
      </c>
      <c r="Q115" s="3">
        <f>IFERROR(XLOOKUP(A115,'Intake Responses'!$A:$A,'Intake Responses'!$AF:$AF),"")</f>
        <v/>
      </c>
      <c r="R115" s="3">
        <f>IFERROR(XLOOKUP(A115,'Intake Responses'!$A:$A,'Intake Responses'!$S:$S),"")</f>
        <v/>
      </c>
      <c r="S115" s="3" t="n"/>
      <c r="T115" s="3" t="n"/>
      <c r="U115" s="3" t="n"/>
      <c r="V115" s="3">
        <f>IFERROR(MIN(5,ROUND(((M115+O115)/2)+(IF(J115&gt;=20,2,IF(J115&gt;=10,1.5,IF(J115&gt;=5,1,IF(J115&gt;=1,0.5,0))))),1)),0)</f>
        <v/>
      </c>
      <c r="W115" s="3">
        <f>IFERROR(SWITCH(F115,"Multiple times per day",5,"Daily",4,"Weekly",3,"Monthly",2,"Quarterly",1,"Ad hoc",1,"Unknown",0),0)</f>
        <v/>
      </c>
      <c r="X115" s="3">
        <f>IFERROR(ROUND(AVERAGE(L115,N115),1),0)</f>
        <v/>
      </c>
      <c r="Y115" s="3">
        <f>IFERROR(SWITCH(U115,"High",3,"Medium",2,"Low",0,"Unknown",1,1)+IF(Q115="Yes",2,IF(Q115="Unsure",1,0)),0)</f>
        <v/>
      </c>
      <c r="Z115" s="3">
        <f>IFERROR(ROUND((V115*2)+(W115*1)+(X115*2)+(IF(T115="Easy",2,IF(T115="Medium",1,IF(T115="Hard",-1,0))))-(Y115*2),1),0)</f>
        <v/>
      </c>
      <c r="AA115" s="3">
        <f>IFERROR(IF(S115="Not a fit","Not a Fit",IF(Y115&gt;=5,"High Risk / Needs Review",IF(AND(Z115&gt;=18,T115="Easy"),"Quick Win",IF(AND(Z115&gt;=18,T115&lt;&gt;"Easy"),"Strategic Project",IF(Z115&gt;=10,"Discovery Needed","Process Issue"))))),"")</f>
        <v/>
      </c>
      <c r="AB115" s="3">
        <f>IFERROR(SWITCH(AA115,"Quick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5" s="3" t="n"/>
      <c r="AD115" s="3" t="n"/>
      <c r="AE115" s="3" t="n"/>
    </row>
    <row r="116" ht="25" customHeight="1">
      <c r="A116" s="2" t="n"/>
      <c r="B116" s="2">
        <f>IFERROR(XLOOKUP(A116,'Intake Responses'!$A:$A,'Intake Responses'!$E:$E),"")</f>
        <v/>
      </c>
      <c r="C116" s="2">
        <f>IFERROR(XLOOKUP(A116,'Intake Responses'!$A:$A,'Intake Responses'!$D:$D),"")</f>
        <v/>
      </c>
      <c r="D116" s="2">
        <f>IFERROR(XLOOKUP(A116,'Intake Responses'!$A:$A,'Intake Responses'!$F:$F),"")</f>
        <v/>
      </c>
      <c r="E116" s="2" t="n"/>
      <c r="F116" s="2">
        <f>IFERROR(XLOOKUP(A116,'Intake Responses'!$A:$A,'Intake Responses'!$M:$M),"")</f>
        <v/>
      </c>
      <c r="G116" s="2">
        <f>IFERROR(XLOOKUP(A116,'Intake Responses'!$A:$A,'Intake Responses'!$N:$N),"")</f>
        <v/>
      </c>
      <c r="H116" s="2">
        <f>IFERROR(XLOOKUP(A116,'Intake Responses'!$A:$A,'Intake Responses'!$O:$O),"")</f>
        <v/>
      </c>
      <c r="I116" s="2">
        <f>IFERROR(SWITCH(F116,"Multiple times per day",60,"Daily",20,"Weekly",4,"Monthly",1,"Quarterly",0.33,"Ad hoc",0.5,"Unknown",0),0)</f>
        <v/>
      </c>
      <c r="J116" s="2">
        <f>IFERROR((G116*H116*I116)/60,0)</f>
        <v/>
      </c>
      <c r="K116" s="2">
        <f>IFERROR(J116*12,0)</f>
        <v/>
      </c>
      <c r="L116" s="2">
        <f>IFERROR(XLOOKUP(A116,'Intake Responses'!$A:$A,'Intake Responses'!$T:$T),"")</f>
        <v/>
      </c>
      <c r="M116" s="2">
        <f>IFERROR(XLOOKUP(A116,'Intake Responses'!$A:$A,'Intake Responses'!$U:$U),"")</f>
        <v/>
      </c>
      <c r="N116" s="2">
        <f>IFERROR(XLOOKUP(A116,'Intake Responses'!$A:$A,'Intake Responses'!$V:$V),"")</f>
        <v/>
      </c>
      <c r="O116" s="2">
        <f>IFERROR(XLOOKUP(A116,'Intake Responses'!$A:$A,'Intake Responses'!$W:$W),"")</f>
        <v/>
      </c>
      <c r="P116" s="2">
        <f>IFERROR(XLOOKUP(A116,'Intake Responses'!$A:$A,'Intake Responses'!$X:$X),"")</f>
        <v/>
      </c>
      <c r="Q116" s="2">
        <f>IFERROR(XLOOKUP(A116,'Intake Responses'!$A:$A,'Intake Responses'!$AF:$AF),"")</f>
        <v/>
      </c>
      <c r="R116" s="2">
        <f>IFERROR(XLOOKUP(A116,'Intake Responses'!$A:$A,'Intake Responses'!$S:$S),"")</f>
        <v/>
      </c>
      <c r="S116" s="2" t="n"/>
      <c r="T116" s="2" t="n"/>
      <c r="U116" s="2" t="n"/>
      <c r="V116" s="2">
        <f>IFERROR(MIN(5,ROUND(((M116+O116)/2)+(IF(J116&gt;=20,2,IF(J116&gt;=10,1.5,IF(J116&gt;=5,1,IF(J116&gt;=1,0.5,0))))),1)),0)</f>
        <v/>
      </c>
      <c r="W116" s="2">
        <f>IFERROR(SWITCH(F116,"Multiple times per day",5,"Daily",4,"Weekly",3,"Monthly",2,"Quarterly",1,"Ad hoc",1,"Unknown",0),0)</f>
        <v/>
      </c>
      <c r="X116" s="2">
        <f>IFERROR(ROUND(AVERAGE(L116,N116),1),0)</f>
        <v/>
      </c>
      <c r="Y116" s="2">
        <f>IFERROR(SWITCH(U116,"High",3,"Medium",2,"Low",0,"Unknown",1,1)+IF(Q116="Yes",2,IF(Q116="Unsure",1,0)),0)</f>
        <v/>
      </c>
      <c r="Z116" s="2">
        <f>IFERROR(ROUND((V116*2)+(W116*1)+(X116*2)+(IF(T116="Easy",2,IF(T116="Medium",1,IF(T116="Hard",-1,0))))-(Y116*2),1),0)</f>
        <v/>
      </c>
      <c r="AA116" s="2">
        <f>IFERROR(IF(S116="Not a fit","Not a Fit",IF(Y116&gt;=5,"High Risk / Needs Review",IF(AND(Z116&gt;=18,T116="Easy"),"Quick Win",IF(AND(Z116&gt;=18,T116&lt;&gt;"Easy"),"Strategic Project",IF(Z116&gt;=10,"Discovery Needed","Process Issue"))))),"")</f>
        <v/>
      </c>
      <c r="AB116" s="2">
        <f>IFERROR(SWITCH(AA116,"Quick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6" s="2" t="n"/>
      <c r="AD116" s="2" t="n"/>
      <c r="AE116" s="2" t="n"/>
    </row>
    <row r="117" ht="25" customHeight="1">
      <c r="A117" s="3" t="n"/>
      <c r="B117" s="3">
        <f>IFERROR(XLOOKUP(A117,'Intake Responses'!$A:$A,'Intake Responses'!$E:$E),"")</f>
        <v/>
      </c>
      <c r="C117" s="3">
        <f>IFERROR(XLOOKUP(A117,'Intake Responses'!$A:$A,'Intake Responses'!$D:$D),"")</f>
        <v/>
      </c>
      <c r="D117" s="3">
        <f>IFERROR(XLOOKUP(A117,'Intake Responses'!$A:$A,'Intake Responses'!$F:$F),"")</f>
        <v/>
      </c>
      <c r="E117" s="3" t="n"/>
      <c r="F117" s="3">
        <f>IFERROR(XLOOKUP(A117,'Intake Responses'!$A:$A,'Intake Responses'!$M:$M),"")</f>
        <v/>
      </c>
      <c r="G117" s="3">
        <f>IFERROR(XLOOKUP(A117,'Intake Responses'!$A:$A,'Intake Responses'!$N:$N),"")</f>
        <v/>
      </c>
      <c r="H117" s="3">
        <f>IFERROR(XLOOKUP(A117,'Intake Responses'!$A:$A,'Intake Responses'!$O:$O),"")</f>
        <v/>
      </c>
      <c r="I117" s="3">
        <f>IFERROR(SWITCH(F117,"Multiple times per day",60,"Daily",20,"Weekly",4,"Monthly",1,"Quarterly",0.33,"Ad hoc",0.5,"Unknown",0),0)</f>
        <v/>
      </c>
      <c r="J117" s="3">
        <f>IFERROR((G117*H117*I117)/60,0)</f>
        <v/>
      </c>
      <c r="K117" s="3">
        <f>IFERROR(J117*12,0)</f>
        <v/>
      </c>
      <c r="L117" s="3">
        <f>IFERROR(XLOOKUP(A117,'Intake Responses'!$A:$A,'Intake Responses'!$T:$T),"")</f>
        <v/>
      </c>
      <c r="M117" s="3">
        <f>IFERROR(XLOOKUP(A117,'Intake Responses'!$A:$A,'Intake Responses'!$U:$U),"")</f>
        <v/>
      </c>
      <c r="N117" s="3">
        <f>IFERROR(XLOOKUP(A117,'Intake Responses'!$A:$A,'Intake Responses'!$V:$V),"")</f>
        <v/>
      </c>
      <c r="O117" s="3">
        <f>IFERROR(XLOOKUP(A117,'Intake Responses'!$A:$A,'Intake Responses'!$W:$W),"")</f>
        <v/>
      </c>
      <c r="P117" s="3">
        <f>IFERROR(XLOOKUP(A117,'Intake Responses'!$A:$A,'Intake Responses'!$X:$X),"")</f>
        <v/>
      </c>
      <c r="Q117" s="3">
        <f>IFERROR(XLOOKUP(A117,'Intake Responses'!$A:$A,'Intake Responses'!$AF:$AF),"")</f>
        <v/>
      </c>
      <c r="R117" s="3">
        <f>IFERROR(XLOOKUP(A117,'Intake Responses'!$A:$A,'Intake Responses'!$S:$S),"")</f>
        <v/>
      </c>
      <c r="S117" s="3" t="n"/>
      <c r="T117" s="3" t="n"/>
      <c r="U117" s="3" t="n"/>
      <c r="V117" s="3">
        <f>IFERROR(MIN(5,ROUND(((M117+O117)/2)+(IF(J117&gt;=20,2,IF(J117&gt;=10,1.5,IF(J117&gt;=5,1,IF(J117&gt;=1,0.5,0))))),1)),0)</f>
        <v/>
      </c>
      <c r="W117" s="3">
        <f>IFERROR(SWITCH(F117,"Multiple times per day",5,"Daily",4,"Weekly",3,"Monthly",2,"Quarterly",1,"Ad hoc",1,"Unknown",0),0)</f>
        <v/>
      </c>
      <c r="X117" s="3">
        <f>IFERROR(ROUND(AVERAGE(L117,N117),1),0)</f>
        <v/>
      </c>
      <c r="Y117" s="3">
        <f>IFERROR(SWITCH(U117,"High",3,"Medium",2,"Low",0,"Unknown",1,1)+IF(Q117="Yes",2,IF(Q117="Unsure",1,0)),0)</f>
        <v/>
      </c>
      <c r="Z117" s="3">
        <f>IFERROR(ROUND((V117*2)+(W117*1)+(X117*2)+(IF(T117="Easy",2,IF(T117="Medium",1,IF(T117="Hard",-1,0))))-(Y117*2),1),0)</f>
        <v/>
      </c>
      <c r="AA117" s="3">
        <f>IFERROR(IF(S117="Not a fit","Not a Fit",IF(Y117&gt;=5,"High Risk / Needs Review",IF(AND(Z117&gt;=18,T117="Easy"),"Quick Win",IF(AND(Z117&gt;=18,T117&lt;&gt;"Easy"),"Strategic Project",IF(Z117&gt;=10,"Discovery Needed","Process Issue"))))),"")</f>
        <v/>
      </c>
      <c r="AB117" s="3">
        <f>IFERROR(SWITCH(AA117,"Quick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7" s="3" t="n"/>
      <c r="AD117" s="3" t="n"/>
      <c r="AE117" s="3" t="n"/>
    </row>
    <row r="118" ht="25" customHeight="1">
      <c r="A118" s="2" t="n"/>
      <c r="B118" s="2">
        <f>IFERROR(XLOOKUP(A118,'Intake Responses'!$A:$A,'Intake Responses'!$E:$E),"")</f>
        <v/>
      </c>
      <c r="C118" s="2">
        <f>IFERROR(XLOOKUP(A118,'Intake Responses'!$A:$A,'Intake Responses'!$D:$D),"")</f>
        <v/>
      </c>
      <c r="D118" s="2">
        <f>IFERROR(XLOOKUP(A118,'Intake Responses'!$A:$A,'Intake Responses'!$F:$F),"")</f>
        <v/>
      </c>
      <c r="E118" s="2" t="n"/>
      <c r="F118" s="2">
        <f>IFERROR(XLOOKUP(A118,'Intake Responses'!$A:$A,'Intake Responses'!$M:$M),"")</f>
        <v/>
      </c>
      <c r="G118" s="2">
        <f>IFERROR(XLOOKUP(A118,'Intake Responses'!$A:$A,'Intake Responses'!$N:$N),"")</f>
        <v/>
      </c>
      <c r="H118" s="2">
        <f>IFERROR(XLOOKUP(A118,'Intake Responses'!$A:$A,'Intake Responses'!$O:$O),"")</f>
        <v/>
      </c>
      <c r="I118" s="2">
        <f>IFERROR(SWITCH(F118,"Multiple times per day",60,"Daily",20,"Weekly",4,"Monthly",1,"Quarterly",0.33,"Ad hoc",0.5,"Unknown",0),0)</f>
        <v/>
      </c>
      <c r="J118" s="2">
        <f>IFERROR((G118*H118*I118)/60,0)</f>
        <v/>
      </c>
      <c r="K118" s="2">
        <f>IFERROR(J118*12,0)</f>
        <v/>
      </c>
      <c r="L118" s="2">
        <f>IFERROR(XLOOKUP(A118,'Intake Responses'!$A:$A,'Intake Responses'!$T:$T),"")</f>
        <v/>
      </c>
      <c r="M118" s="2">
        <f>IFERROR(XLOOKUP(A118,'Intake Responses'!$A:$A,'Intake Responses'!$U:$U),"")</f>
        <v/>
      </c>
      <c r="N118" s="2">
        <f>IFERROR(XLOOKUP(A118,'Intake Responses'!$A:$A,'Intake Responses'!$V:$V),"")</f>
        <v/>
      </c>
      <c r="O118" s="2">
        <f>IFERROR(XLOOKUP(A118,'Intake Responses'!$A:$A,'Intake Responses'!$W:$W),"")</f>
        <v/>
      </c>
      <c r="P118" s="2">
        <f>IFERROR(XLOOKUP(A118,'Intake Responses'!$A:$A,'Intake Responses'!$X:$X),"")</f>
        <v/>
      </c>
      <c r="Q118" s="2">
        <f>IFERROR(XLOOKUP(A118,'Intake Responses'!$A:$A,'Intake Responses'!$AF:$AF),"")</f>
        <v/>
      </c>
      <c r="R118" s="2">
        <f>IFERROR(XLOOKUP(A118,'Intake Responses'!$A:$A,'Intake Responses'!$S:$S),"")</f>
        <v/>
      </c>
      <c r="S118" s="2" t="n"/>
      <c r="T118" s="2" t="n"/>
      <c r="U118" s="2" t="n"/>
      <c r="V118" s="2">
        <f>IFERROR(MIN(5,ROUND(((M118+O118)/2)+(IF(J118&gt;=20,2,IF(J118&gt;=10,1.5,IF(J118&gt;=5,1,IF(J118&gt;=1,0.5,0))))),1)),0)</f>
        <v/>
      </c>
      <c r="W118" s="2">
        <f>IFERROR(SWITCH(F118,"Multiple times per day",5,"Daily",4,"Weekly",3,"Monthly",2,"Quarterly",1,"Ad hoc",1,"Unknown",0),0)</f>
        <v/>
      </c>
      <c r="X118" s="2">
        <f>IFERROR(ROUND(AVERAGE(L118,N118),1),0)</f>
        <v/>
      </c>
      <c r="Y118" s="2">
        <f>IFERROR(SWITCH(U118,"High",3,"Medium",2,"Low",0,"Unknown",1,1)+IF(Q118="Yes",2,IF(Q118="Unsure",1,0)),0)</f>
        <v/>
      </c>
      <c r="Z118" s="2">
        <f>IFERROR(ROUND((V118*2)+(W118*1)+(X118*2)+(IF(T118="Easy",2,IF(T118="Medium",1,IF(T118="Hard",-1,0))))-(Y118*2),1),0)</f>
        <v/>
      </c>
      <c r="AA118" s="2">
        <f>IFERROR(IF(S118="Not a fit","Not a Fit",IF(Y118&gt;=5,"High Risk / Needs Review",IF(AND(Z118&gt;=18,T118="Easy"),"Quick Win",IF(AND(Z118&gt;=18,T118&lt;&gt;"Easy"),"Strategic Project",IF(Z118&gt;=10,"Discovery Needed","Process Issue"))))),"")</f>
        <v/>
      </c>
      <c r="AB118" s="2">
        <f>IFERROR(SWITCH(AA118,"Quick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8" s="2" t="n"/>
      <c r="AD118" s="2" t="n"/>
      <c r="AE118" s="2" t="n"/>
    </row>
    <row r="119" ht="25" customHeight="1">
      <c r="A119" s="3" t="n"/>
      <c r="B119" s="3">
        <f>IFERROR(XLOOKUP(A119,'Intake Responses'!$A:$A,'Intake Responses'!$E:$E),"")</f>
        <v/>
      </c>
      <c r="C119" s="3">
        <f>IFERROR(XLOOKUP(A119,'Intake Responses'!$A:$A,'Intake Responses'!$D:$D),"")</f>
        <v/>
      </c>
      <c r="D119" s="3">
        <f>IFERROR(XLOOKUP(A119,'Intake Responses'!$A:$A,'Intake Responses'!$F:$F),"")</f>
        <v/>
      </c>
      <c r="E119" s="3" t="n"/>
      <c r="F119" s="3">
        <f>IFERROR(XLOOKUP(A119,'Intake Responses'!$A:$A,'Intake Responses'!$M:$M),"")</f>
        <v/>
      </c>
      <c r="G119" s="3">
        <f>IFERROR(XLOOKUP(A119,'Intake Responses'!$A:$A,'Intake Responses'!$N:$N),"")</f>
        <v/>
      </c>
      <c r="H119" s="3">
        <f>IFERROR(XLOOKUP(A119,'Intake Responses'!$A:$A,'Intake Responses'!$O:$O),"")</f>
        <v/>
      </c>
      <c r="I119" s="3">
        <f>IFERROR(SWITCH(F119,"Multiple times per day",60,"Daily",20,"Weekly",4,"Monthly",1,"Quarterly",0.33,"Ad hoc",0.5,"Unknown",0),0)</f>
        <v/>
      </c>
      <c r="J119" s="3">
        <f>IFERROR((G119*H119*I119)/60,0)</f>
        <v/>
      </c>
      <c r="K119" s="3">
        <f>IFERROR(J119*12,0)</f>
        <v/>
      </c>
      <c r="L119" s="3">
        <f>IFERROR(XLOOKUP(A119,'Intake Responses'!$A:$A,'Intake Responses'!$T:$T),"")</f>
        <v/>
      </c>
      <c r="M119" s="3">
        <f>IFERROR(XLOOKUP(A119,'Intake Responses'!$A:$A,'Intake Responses'!$U:$U),"")</f>
        <v/>
      </c>
      <c r="N119" s="3">
        <f>IFERROR(XLOOKUP(A119,'Intake Responses'!$A:$A,'Intake Responses'!$V:$V),"")</f>
        <v/>
      </c>
      <c r="O119" s="3">
        <f>IFERROR(XLOOKUP(A119,'Intake Responses'!$A:$A,'Intake Responses'!$W:$W),"")</f>
        <v/>
      </c>
      <c r="P119" s="3">
        <f>IFERROR(XLOOKUP(A119,'Intake Responses'!$A:$A,'Intake Responses'!$X:$X),"")</f>
        <v/>
      </c>
      <c r="Q119" s="3">
        <f>IFERROR(XLOOKUP(A119,'Intake Responses'!$A:$A,'Intake Responses'!$AF:$AF),"")</f>
        <v/>
      </c>
      <c r="R119" s="3">
        <f>IFERROR(XLOOKUP(A119,'Intake Responses'!$A:$A,'Intake Responses'!$S:$S),"")</f>
        <v/>
      </c>
      <c r="S119" s="3" t="n"/>
      <c r="T119" s="3" t="n"/>
      <c r="U119" s="3" t="n"/>
      <c r="V119" s="3">
        <f>IFERROR(MIN(5,ROUND(((M119+O119)/2)+(IF(J119&gt;=20,2,IF(J119&gt;=10,1.5,IF(J119&gt;=5,1,IF(J119&gt;=1,0.5,0))))),1)),0)</f>
        <v/>
      </c>
      <c r="W119" s="3">
        <f>IFERROR(SWITCH(F119,"Multiple times per day",5,"Daily",4,"Weekly",3,"Monthly",2,"Quarterly",1,"Ad hoc",1,"Unknown",0),0)</f>
        <v/>
      </c>
      <c r="X119" s="3">
        <f>IFERROR(ROUND(AVERAGE(L119,N119),1),0)</f>
        <v/>
      </c>
      <c r="Y119" s="3">
        <f>IFERROR(SWITCH(U119,"High",3,"Medium",2,"Low",0,"Unknown",1,1)+IF(Q119="Yes",2,IF(Q119="Unsure",1,0)),0)</f>
        <v/>
      </c>
      <c r="Z119" s="3">
        <f>IFERROR(ROUND((V119*2)+(W119*1)+(X119*2)+(IF(T119="Easy",2,IF(T119="Medium",1,IF(T119="Hard",-1,0))))-(Y119*2),1),0)</f>
        <v/>
      </c>
      <c r="AA119" s="3">
        <f>IFERROR(IF(S119="Not a fit","Not a Fit",IF(Y119&gt;=5,"High Risk / Needs Review",IF(AND(Z119&gt;=18,T119="Easy"),"Quick Win",IF(AND(Z119&gt;=18,T119&lt;&gt;"Easy"),"Strategic Project",IF(Z119&gt;=10,"Discovery Needed","Process Issue"))))),"")</f>
        <v/>
      </c>
      <c r="AB119" s="3">
        <f>IFERROR(SWITCH(AA119,"Quick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19" s="3" t="n"/>
      <c r="AD119" s="3" t="n"/>
      <c r="AE119" s="3" t="n"/>
    </row>
    <row r="120" ht="25" customHeight="1">
      <c r="A120" s="2" t="n"/>
      <c r="B120" s="2">
        <f>IFERROR(XLOOKUP(A120,'Intake Responses'!$A:$A,'Intake Responses'!$E:$E),"")</f>
        <v/>
      </c>
      <c r="C120" s="2">
        <f>IFERROR(XLOOKUP(A120,'Intake Responses'!$A:$A,'Intake Responses'!$D:$D),"")</f>
        <v/>
      </c>
      <c r="D120" s="2">
        <f>IFERROR(XLOOKUP(A120,'Intake Responses'!$A:$A,'Intake Responses'!$F:$F),"")</f>
        <v/>
      </c>
      <c r="E120" s="2" t="n"/>
      <c r="F120" s="2">
        <f>IFERROR(XLOOKUP(A120,'Intake Responses'!$A:$A,'Intake Responses'!$M:$M),"")</f>
        <v/>
      </c>
      <c r="G120" s="2">
        <f>IFERROR(XLOOKUP(A120,'Intake Responses'!$A:$A,'Intake Responses'!$N:$N),"")</f>
        <v/>
      </c>
      <c r="H120" s="2">
        <f>IFERROR(XLOOKUP(A120,'Intake Responses'!$A:$A,'Intake Responses'!$O:$O),"")</f>
        <v/>
      </c>
      <c r="I120" s="2">
        <f>IFERROR(SWITCH(F120,"Multiple times per day",60,"Daily",20,"Weekly",4,"Monthly",1,"Quarterly",0.33,"Ad hoc",0.5,"Unknown",0),0)</f>
        <v/>
      </c>
      <c r="J120" s="2">
        <f>IFERROR((G120*H120*I120)/60,0)</f>
        <v/>
      </c>
      <c r="K120" s="2">
        <f>IFERROR(J120*12,0)</f>
        <v/>
      </c>
      <c r="L120" s="2">
        <f>IFERROR(XLOOKUP(A120,'Intake Responses'!$A:$A,'Intake Responses'!$T:$T),"")</f>
        <v/>
      </c>
      <c r="M120" s="2">
        <f>IFERROR(XLOOKUP(A120,'Intake Responses'!$A:$A,'Intake Responses'!$U:$U),"")</f>
        <v/>
      </c>
      <c r="N120" s="2">
        <f>IFERROR(XLOOKUP(A120,'Intake Responses'!$A:$A,'Intake Responses'!$V:$V),"")</f>
        <v/>
      </c>
      <c r="O120" s="2">
        <f>IFERROR(XLOOKUP(A120,'Intake Responses'!$A:$A,'Intake Responses'!$W:$W),"")</f>
        <v/>
      </c>
      <c r="P120" s="2">
        <f>IFERROR(XLOOKUP(A120,'Intake Responses'!$A:$A,'Intake Responses'!$X:$X),"")</f>
        <v/>
      </c>
      <c r="Q120" s="2">
        <f>IFERROR(XLOOKUP(A120,'Intake Responses'!$A:$A,'Intake Responses'!$AF:$AF),"")</f>
        <v/>
      </c>
      <c r="R120" s="2">
        <f>IFERROR(XLOOKUP(A120,'Intake Responses'!$A:$A,'Intake Responses'!$S:$S),"")</f>
        <v/>
      </c>
      <c r="S120" s="2" t="n"/>
      <c r="T120" s="2" t="n"/>
      <c r="U120" s="2" t="n"/>
      <c r="V120" s="2">
        <f>IFERROR(MIN(5,ROUND(((M120+O120)/2)+(IF(J120&gt;=20,2,IF(J120&gt;=10,1.5,IF(J120&gt;=5,1,IF(J120&gt;=1,0.5,0))))),1)),0)</f>
        <v/>
      </c>
      <c r="W120" s="2">
        <f>IFERROR(SWITCH(F120,"Multiple times per day",5,"Daily",4,"Weekly",3,"Monthly",2,"Quarterly",1,"Ad hoc",1,"Unknown",0),0)</f>
        <v/>
      </c>
      <c r="X120" s="2">
        <f>IFERROR(ROUND(AVERAGE(L120,N120),1),0)</f>
        <v/>
      </c>
      <c r="Y120" s="2">
        <f>IFERROR(SWITCH(U120,"High",3,"Medium",2,"Low",0,"Unknown",1,1)+IF(Q120="Yes",2,IF(Q120="Unsure",1,0)),0)</f>
        <v/>
      </c>
      <c r="Z120" s="2">
        <f>IFERROR(ROUND((V120*2)+(W120*1)+(X120*2)+(IF(T120="Easy",2,IF(T120="Medium",1,IF(T120="Hard",-1,0))))-(Y120*2),1),0)</f>
        <v/>
      </c>
      <c r="AA120" s="2">
        <f>IFERROR(IF(S120="Not a fit","Not a Fit",IF(Y120&gt;=5,"High Risk / Needs Review",IF(AND(Z120&gt;=18,T120="Easy"),"Quick Win",IF(AND(Z120&gt;=18,T120&lt;&gt;"Easy"),"Strategic Project",IF(Z120&gt;=10,"Discovery Needed","Process Issue"))))),"")</f>
        <v/>
      </c>
      <c r="AB120" s="2">
        <f>IFERROR(SWITCH(AA120,"Quick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0" s="2" t="n"/>
      <c r="AD120" s="2" t="n"/>
      <c r="AE120" s="2" t="n"/>
    </row>
    <row r="121" ht="25" customHeight="1">
      <c r="A121" s="3" t="n"/>
      <c r="B121" s="3">
        <f>IFERROR(XLOOKUP(A121,'Intake Responses'!$A:$A,'Intake Responses'!$E:$E),"")</f>
        <v/>
      </c>
      <c r="C121" s="3">
        <f>IFERROR(XLOOKUP(A121,'Intake Responses'!$A:$A,'Intake Responses'!$D:$D),"")</f>
        <v/>
      </c>
      <c r="D121" s="3">
        <f>IFERROR(XLOOKUP(A121,'Intake Responses'!$A:$A,'Intake Responses'!$F:$F),"")</f>
        <v/>
      </c>
      <c r="E121" s="3" t="n"/>
      <c r="F121" s="3">
        <f>IFERROR(XLOOKUP(A121,'Intake Responses'!$A:$A,'Intake Responses'!$M:$M),"")</f>
        <v/>
      </c>
      <c r="G121" s="3">
        <f>IFERROR(XLOOKUP(A121,'Intake Responses'!$A:$A,'Intake Responses'!$N:$N),"")</f>
        <v/>
      </c>
      <c r="H121" s="3">
        <f>IFERROR(XLOOKUP(A121,'Intake Responses'!$A:$A,'Intake Responses'!$O:$O),"")</f>
        <v/>
      </c>
      <c r="I121" s="3">
        <f>IFERROR(SWITCH(F121,"Multiple times per day",60,"Daily",20,"Weekly",4,"Monthly",1,"Quarterly",0.33,"Ad hoc",0.5,"Unknown",0),0)</f>
        <v/>
      </c>
      <c r="J121" s="3">
        <f>IFERROR((G121*H121*I121)/60,0)</f>
        <v/>
      </c>
      <c r="K121" s="3">
        <f>IFERROR(J121*12,0)</f>
        <v/>
      </c>
      <c r="L121" s="3">
        <f>IFERROR(XLOOKUP(A121,'Intake Responses'!$A:$A,'Intake Responses'!$T:$T),"")</f>
        <v/>
      </c>
      <c r="M121" s="3">
        <f>IFERROR(XLOOKUP(A121,'Intake Responses'!$A:$A,'Intake Responses'!$U:$U),"")</f>
        <v/>
      </c>
      <c r="N121" s="3">
        <f>IFERROR(XLOOKUP(A121,'Intake Responses'!$A:$A,'Intake Responses'!$V:$V),"")</f>
        <v/>
      </c>
      <c r="O121" s="3">
        <f>IFERROR(XLOOKUP(A121,'Intake Responses'!$A:$A,'Intake Responses'!$W:$W),"")</f>
        <v/>
      </c>
      <c r="P121" s="3">
        <f>IFERROR(XLOOKUP(A121,'Intake Responses'!$A:$A,'Intake Responses'!$X:$X),"")</f>
        <v/>
      </c>
      <c r="Q121" s="3">
        <f>IFERROR(XLOOKUP(A121,'Intake Responses'!$A:$A,'Intake Responses'!$AF:$AF),"")</f>
        <v/>
      </c>
      <c r="R121" s="3">
        <f>IFERROR(XLOOKUP(A121,'Intake Responses'!$A:$A,'Intake Responses'!$S:$S),"")</f>
        <v/>
      </c>
      <c r="S121" s="3" t="n"/>
      <c r="T121" s="3" t="n"/>
      <c r="U121" s="3" t="n"/>
      <c r="V121" s="3">
        <f>IFERROR(MIN(5,ROUND(((M121+O121)/2)+(IF(J121&gt;=20,2,IF(J121&gt;=10,1.5,IF(J121&gt;=5,1,IF(J121&gt;=1,0.5,0))))),1)),0)</f>
        <v/>
      </c>
      <c r="W121" s="3">
        <f>IFERROR(SWITCH(F121,"Multiple times per day",5,"Daily",4,"Weekly",3,"Monthly",2,"Quarterly",1,"Ad hoc",1,"Unknown",0),0)</f>
        <v/>
      </c>
      <c r="X121" s="3">
        <f>IFERROR(ROUND(AVERAGE(L121,N121),1),0)</f>
        <v/>
      </c>
      <c r="Y121" s="3">
        <f>IFERROR(SWITCH(U121,"High",3,"Medium",2,"Low",0,"Unknown",1,1)+IF(Q121="Yes",2,IF(Q121="Unsure",1,0)),0)</f>
        <v/>
      </c>
      <c r="Z121" s="3">
        <f>IFERROR(ROUND((V121*2)+(W121*1)+(X121*2)+(IF(T121="Easy",2,IF(T121="Medium",1,IF(T121="Hard",-1,0))))-(Y121*2),1),0)</f>
        <v/>
      </c>
      <c r="AA121" s="3">
        <f>IFERROR(IF(S121="Not a fit","Not a Fit",IF(Y121&gt;=5,"High Risk / Needs Review",IF(AND(Z121&gt;=18,T121="Easy"),"Quick Win",IF(AND(Z121&gt;=18,T121&lt;&gt;"Easy"),"Strategic Project",IF(Z121&gt;=10,"Discovery Needed","Process Issue"))))),"")</f>
        <v/>
      </c>
      <c r="AB121" s="3">
        <f>IFERROR(SWITCH(AA121,"Quick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1" s="3" t="n"/>
      <c r="AD121" s="3" t="n"/>
      <c r="AE121" s="3" t="n"/>
    </row>
    <row r="122" ht="25" customHeight="1">
      <c r="A122" s="2" t="n"/>
      <c r="B122" s="2">
        <f>IFERROR(XLOOKUP(A122,'Intake Responses'!$A:$A,'Intake Responses'!$E:$E),"")</f>
        <v/>
      </c>
      <c r="C122" s="2">
        <f>IFERROR(XLOOKUP(A122,'Intake Responses'!$A:$A,'Intake Responses'!$D:$D),"")</f>
        <v/>
      </c>
      <c r="D122" s="2">
        <f>IFERROR(XLOOKUP(A122,'Intake Responses'!$A:$A,'Intake Responses'!$F:$F),"")</f>
        <v/>
      </c>
      <c r="E122" s="2" t="n"/>
      <c r="F122" s="2">
        <f>IFERROR(XLOOKUP(A122,'Intake Responses'!$A:$A,'Intake Responses'!$M:$M),"")</f>
        <v/>
      </c>
      <c r="G122" s="2">
        <f>IFERROR(XLOOKUP(A122,'Intake Responses'!$A:$A,'Intake Responses'!$N:$N),"")</f>
        <v/>
      </c>
      <c r="H122" s="2">
        <f>IFERROR(XLOOKUP(A122,'Intake Responses'!$A:$A,'Intake Responses'!$O:$O),"")</f>
        <v/>
      </c>
      <c r="I122" s="2">
        <f>IFERROR(SWITCH(F122,"Multiple times per day",60,"Daily",20,"Weekly",4,"Monthly",1,"Quarterly",0.33,"Ad hoc",0.5,"Unknown",0),0)</f>
        <v/>
      </c>
      <c r="J122" s="2">
        <f>IFERROR((G122*H122*I122)/60,0)</f>
        <v/>
      </c>
      <c r="K122" s="2">
        <f>IFERROR(J122*12,0)</f>
        <v/>
      </c>
      <c r="L122" s="2">
        <f>IFERROR(XLOOKUP(A122,'Intake Responses'!$A:$A,'Intake Responses'!$T:$T),"")</f>
        <v/>
      </c>
      <c r="M122" s="2">
        <f>IFERROR(XLOOKUP(A122,'Intake Responses'!$A:$A,'Intake Responses'!$U:$U),"")</f>
        <v/>
      </c>
      <c r="N122" s="2">
        <f>IFERROR(XLOOKUP(A122,'Intake Responses'!$A:$A,'Intake Responses'!$V:$V),"")</f>
        <v/>
      </c>
      <c r="O122" s="2">
        <f>IFERROR(XLOOKUP(A122,'Intake Responses'!$A:$A,'Intake Responses'!$W:$W),"")</f>
        <v/>
      </c>
      <c r="P122" s="2">
        <f>IFERROR(XLOOKUP(A122,'Intake Responses'!$A:$A,'Intake Responses'!$X:$X),"")</f>
        <v/>
      </c>
      <c r="Q122" s="2">
        <f>IFERROR(XLOOKUP(A122,'Intake Responses'!$A:$A,'Intake Responses'!$AF:$AF),"")</f>
        <v/>
      </c>
      <c r="R122" s="2">
        <f>IFERROR(XLOOKUP(A122,'Intake Responses'!$A:$A,'Intake Responses'!$S:$S),"")</f>
        <v/>
      </c>
      <c r="S122" s="2" t="n"/>
      <c r="T122" s="2" t="n"/>
      <c r="U122" s="2" t="n"/>
      <c r="V122" s="2">
        <f>IFERROR(MIN(5,ROUND(((M122+O122)/2)+(IF(J122&gt;=20,2,IF(J122&gt;=10,1.5,IF(J122&gt;=5,1,IF(J122&gt;=1,0.5,0))))),1)),0)</f>
        <v/>
      </c>
      <c r="W122" s="2">
        <f>IFERROR(SWITCH(F122,"Multiple times per day",5,"Daily",4,"Weekly",3,"Monthly",2,"Quarterly",1,"Ad hoc",1,"Unknown",0),0)</f>
        <v/>
      </c>
      <c r="X122" s="2">
        <f>IFERROR(ROUND(AVERAGE(L122,N122),1),0)</f>
        <v/>
      </c>
      <c r="Y122" s="2">
        <f>IFERROR(SWITCH(U122,"High",3,"Medium",2,"Low",0,"Unknown",1,1)+IF(Q122="Yes",2,IF(Q122="Unsure",1,0)),0)</f>
        <v/>
      </c>
      <c r="Z122" s="2">
        <f>IFERROR(ROUND((V122*2)+(W122*1)+(X122*2)+(IF(T122="Easy",2,IF(T122="Medium",1,IF(T122="Hard",-1,0))))-(Y122*2),1),0)</f>
        <v/>
      </c>
      <c r="AA122" s="2">
        <f>IFERROR(IF(S122="Not a fit","Not a Fit",IF(Y122&gt;=5,"High Risk / Needs Review",IF(AND(Z122&gt;=18,T122="Easy"),"Quick Win",IF(AND(Z122&gt;=18,T122&lt;&gt;"Easy"),"Strategic Project",IF(Z122&gt;=10,"Discovery Needed","Process Issue"))))),"")</f>
        <v/>
      </c>
      <c r="AB122" s="2">
        <f>IFERROR(SWITCH(AA122,"Quick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2" s="2" t="n"/>
      <c r="AD122" s="2" t="n"/>
      <c r="AE122" s="2" t="n"/>
    </row>
    <row r="123" ht="25" customHeight="1">
      <c r="A123" s="3" t="n"/>
      <c r="B123" s="3">
        <f>IFERROR(XLOOKUP(A123,'Intake Responses'!$A:$A,'Intake Responses'!$E:$E),"")</f>
        <v/>
      </c>
      <c r="C123" s="3">
        <f>IFERROR(XLOOKUP(A123,'Intake Responses'!$A:$A,'Intake Responses'!$D:$D),"")</f>
        <v/>
      </c>
      <c r="D123" s="3">
        <f>IFERROR(XLOOKUP(A123,'Intake Responses'!$A:$A,'Intake Responses'!$F:$F),"")</f>
        <v/>
      </c>
      <c r="E123" s="3" t="n"/>
      <c r="F123" s="3">
        <f>IFERROR(XLOOKUP(A123,'Intake Responses'!$A:$A,'Intake Responses'!$M:$M),"")</f>
        <v/>
      </c>
      <c r="G123" s="3">
        <f>IFERROR(XLOOKUP(A123,'Intake Responses'!$A:$A,'Intake Responses'!$N:$N),"")</f>
        <v/>
      </c>
      <c r="H123" s="3">
        <f>IFERROR(XLOOKUP(A123,'Intake Responses'!$A:$A,'Intake Responses'!$O:$O),"")</f>
        <v/>
      </c>
      <c r="I123" s="3">
        <f>IFERROR(SWITCH(F123,"Multiple times per day",60,"Daily",20,"Weekly",4,"Monthly",1,"Quarterly",0.33,"Ad hoc",0.5,"Unknown",0),0)</f>
        <v/>
      </c>
      <c r="J123" s="3">
        <f>IFERROR((G123*H123*I123)/60,0)</f>
        <v/>
      </c>
      <c r="K123" s="3">
        <f>IFERROR(J123*12,0)</f>
        <v/>
      </c>
      <c r="L123" s="3">
        <f>IFERROR(XLOOKUP(A123,'Intake Responses'!$A:$A,'Intake Responses'!$T:$T),"")</f>
        <v/>
      </c>
      <c r="M123" s="3">
        <f>IFERROR(XLOOKUP(A123,'Intake Responses'!$A:$A,'Intake Responses'!$U:$U),"")</f>
        <v/>
      </c>
      <c r="N123" s="3">
        <f>IFERROR(XLOOKUP(A123,'Intake Responses'!$A:$A,'Intake Responses'!$V:$V),"")</f>
        <v/>
      </c>
      <c r="O123" s="3">
        <f>IFERROR(XLOOKUP(A123,'Intake Responses'!$A:$A,'Intake Responses'!$W:$W),"")</f>
        <v/>
      </c>
      <c r="P123" s="3">
        <f>IFERROR(XLOOKUP(A123,'Intake Responses'!$A:$A,'Intake Responses'!$X:$X),"")</f>
        <v/>
      </c>
      <c r="Q123" s="3">
        <f>IFERROR(XLOOKUP(A123,'Intake Responses'!$A:$A,'Intake Responses'!$AF:$AF),"")</f>
        <v/>
      </c>
      <c r="R123" s="3">
        <f>IFERROR(XLOOKUP(A123,'Intake Responses'!$A:$A,'Intake Responses'!$S:$S),"")</f>
        <v/>
      </c>
      <c r="S123" s="3" t="n"/>
      <c r="T123" s="3" t="n"/>
      <c r="U123" s="3" t="n"/>
      <c r="V123" s="3">
        <f>IFERROR(MIN(5,ROUND(((M123+O123)/2)+(IF(J123&gt;=20,2,IF(J123&gt;=10,1.5,IF(J123&gt;=5,1,IF(J123&gt;=1,0.5,0))))),1)),0)</f>
        <v/>
      </c>
      <c r="W123" s="3">
        <f>IFERROR(SWITCH(F123,"Multiple times per day",5,"Daily",4,"Weekly",3,"Monthly",2,"Quarterly",1,"Ad hoc",1,"Unknown",0),0)</f>
        <v/>
      </c>
      <c r="X123" s="3">
        <f>IFERROR(ROUND(AVERAGE(L123,N123),1),0)</f>
        <v/>
      </c>
      <c r="Y123" s="3">
        <f>IFERROR(SWITCH(U123,"High",3,"Medium",2,"Low",0,"Unknown",1,1)+IF(Q123="Yes",2,IF(Q123="Unsure",1,0)),0)</f>
        <v/>
      </c>
      <c r="Z123" s="3">
        <f>IFERROR(ROUND((V123*2)+(W123*1)+(X123*2)+(IF(T123="Easy",2,IF(T123="Medium",1,IF(T123="Hard",-1,0))))-(Y123*2),1),0)</f>
        <v/>
      </c>
      <c r="AA123" s="3">
        <f>IFERROR(IF(S123="Not a fit","Not a Fit",IF(Y123&gt;=5,"High Risk / Needs Review",IF(AND(Z123&gt;=18,T123="Easy"),"Quick Win",IF(AND(Z123&gt;=18,T123&lt;&gt;"Easy"),"Strategic Project",IF(Z123&gt;=10,"Discovery Needed","Process Issue"))))),"")</f>
        <v/>
      </c>
      <c r="AB123" s="3">
        <f>IFERROR(SWITCH(AA123,"Quick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3" s="3" t="n"/>
      <c r="AD123" s="3" t="n"/>
      <c r="AE123" s="3" t="n"/>
    </row>
    <row r="124" ht="25" customHeight="1">
      <c r="A124" s="2" t="n"/>
      <c r="B124" s="2">
        <f>IFERROR(XLOOKUP(A124,'Intake Responses'!$A:$A,'Intake Responses'!$E:$E),"")</f>
        <v/>
      </c>
      <c r="C124" s="2">
        <f>IFERROR(XLOOKUP(A124,'Intake Responses'!$A:$A,'Intake Responses'!$D:$D),"")</f>
        <v/>
      </c>
      <c r="D124" s="2">
        <f>IFERROR(XLOOKUP(A124,'Intake Responses'!$A:$A,'Intake Responses'!$F:$F),"")</f>
        <v/>
      </c>
      <c r="E124" s="2" t="n"/>
      <c r="F124" s="2">
        <f>IFERROR(XLOOKUP(A124,'Intake Responses'!$A:$A,'Intake Responses'!$M:$M),"")</f>
        <v/>
      </c>
      <c r="G124" s="2">
        <f>IFERROR(XLOOKUP(A124,'Intake Responses'!$A:$A,'Intake Responses'!$N:$N),"")</f>
        <v/>
      </c>
      <c r="H124" s="2">
        <f>IFERROR(XLOOKUP(A124,'Intake Responses'!$A:$A,'Intake Responses'!$O:$O),"")</f>
        <v/>
      </c>
      <c r="I124" s="2">
        <f>IFERROR(SWITCH(F124,"Multiple times per day",60,"Daily",20,"Weekly",4,"Monthly",1,"Quarterly",0.33,"Ad hoc",0.5,"Unknown",0),0)</f>
        <v/>
      </c>
      <c r="J124" s="2">
        <f>IFERROR((G124*H124*I124)/60,0)</f>
        <v/>
      </c>
      <c r="K124" s="2">
        <f>IFERROR(J124*12,0)</f>
        <v/>
      </c>
      <c r="L124" s="2">
        <f>IFERROR(XLOOKUP(A124,'Intake Responses'!$A:$A,'Intake Responses'!$T:$T),"")</f>
        <v/>
      </c>
      <c r="M124" s="2">
        <f>IFERROR(XLOOKUP(A124,'Intake Responses'!$A:$A,'Intake Responses'!$U:$U),"")</f>
        <v/>
      </c>
      <c r="N124" s="2">
        <f>IFERROR(XLOOKUP(A124,'Intake Responses'!$A:$A,'Intake Responses'!$V:$V),"")</f>
        <v/>
      </c>
      <c r="O124" s="2">
        <f>IFERROR(XLOOKUP(A124,'Intake Responses'!$A:$A,'Intake Responses'!$W:$W),"")</f>
        <v/>
      </c>
      <c r="P124" s="2">
        <f>IFERROR(XLOOKUP(A124,'Intake Responses'!$A:$A,'Intake Responses'!$X:$X),"")</f>
        <v/>
      </c>
      <c r="Q124" s="2">
        <f>IFERROR(XLOOKUP(A124,'Intake Responses'!$A:$A,'Intake Responses'!$AF:$AF),"")</f>
        <v/>
      </c>
      <c r="R124" s="2">
        <f>IFERROR(XLOOKUP(A124,'Intake Responses'!$A:$A,'Intake Responses'!$S:$S),"")</f>
        <v/>
      </c>
      <c r="S124" s="2" t="n"/>
      <c r="T124" s="2" t="n"/>
      <c r="U124" s="2" t="n"/>
      <c r="V124" s="2">
        <f>IFERROR(MIN(5,ROUND(((M124+O124)/2)+(IF(J124&gt;=20,2,IF(J124&gt;=10,1.5,IF(J124&gt;=5,1,IF(J124&gt;=1,0.5,0))))),1)),0)</f>
        <v/>
      </c>
      <c r="W124" s="2">
        <f>IFERROR(SWITCH(F124,"Multiple times per day",5,"Daily",4,"Weekly",3,"Monthly",2,"Quarterly",1,"Ad hoc",1,"Unknown",0),0)</f>
        <v/>
      </c>
      <c r="X124" s="2">
        <f>IFERROR(ROUND(AVERAGE(L124,N124),1),0)</f>
        <v/>
      </c>
      <c r="Y124" s="2">
        <f>IFERROR(SWITCH(U124,"High",3,"Medium",2,"Low",0,"Unknown",1,1)+IF(Q124="Yes",2,IF(Q124="Unsure",1,0)),0)</f>
        <v/>
      </c>
      <c r="Z124" s="2">
        <f>IFERROR(ROUND((V124*2)+(W124*1)+(X124*2)+(IF(T124="Easy",2,IF(T124="Medium",1,IF(T124="Hard",-1,0))))-(Y124*2),1),0)</f>
        <v/>
      </c>
      <c r="AA124" s="2">
        <f>IFERROR(IF(S124="Not a fit","Not a Fit",IF(Y124&gt;=5,"High Risk / Needs Review",IF(AND(Z124&gt;=18,T124="Easy"),"Quick Win",IF(AND(Z124&gt;=18,T124&lt;&gt;"Easy"),"Strategic Project",IF(Z124&gt;=10,"Discovery Needed","Process Issue"))))),"")</f>
        <v/>
      </c>
      <c r="AB124" s="2">
        <f>IFERROR(SWITCH(AA124,"Quick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4" s="2" t="n"/>
      <c r="AD124" s="2" t="n"/>
      <c r="AE124" s="2" t="n"/>
    </row>
    <row r="125" ht="25" customHeight="1">
      <c r="A125" s="3" t="n"/>
      <c r="B125" s="3">
        <f>IFERROR(XLOOKUP(A125,'Intake Responses'!$A:$A,'Intake Responses'!$E:$E),"")</f>
        <v/>
      </c>
      <c r="C125" s="3">
        <f>IFERROR(XLOOKUP(A125,'Intake Responses'!$A:$A,'Intake Responses'!$D:$D),"")</f>
        <v/>
      </c>
      <c r="D125" s="3">
        <f>IFERROR(XLOOKUP(A125,'Intake Responses'!$A:$A,'Intake Responses'!$F:$F),"")</f>
        <v/>
      </c>
      <c r="E125" s="3" t="n"/>
      <c r="F125" s="3">
        <f>IFERROR(XLOOKUP(A125,'Intake Responses'!$A:$A,'Intake Responses'!$M:$M),"")</f>
        <v/>
      </c>
      <c r="G125" s="3">
        <f>IFERROR(XLOOKUP(A125,'Intake Responses'!$A:$A,'Intake Responses'!$N:$N),"")</f>
        <v/>
      </c>
      <c r="H125" s="3">
        <f>IFERROR(XLOOKUP(A125,'Intake Responses'!$A:$A,'Intake Responses'!$O:$O),"")</f>
        <v/>
      </c>
      <c r="I125" s="3">
        <f>IFERROR(SWITCH(F125,"Multiple times per day",60,"Daily",20,"Weekly",4,"Monthly",1,"Quarterly",0.33,"Ad hoc",0.5,"Unknown",0),0)</f>
        <v/>
      </c>
      <c r="J125" s="3">
        <f>IFERROR((G125*H125*I125)/60,0)</f>
        <v/>
      </c>
      <c r="K125" s="3">
        <f>IFERROR(J125*12,0)</f>
        <v/>
      </c>
      <c r="L125" s="3">
        <f>IFERROR(XLOOKUP(A125,'Intake Responses'!$A:$A,'Intake Responses'!$T:$T),"")</f>
        <v/>
      </c>
      <c r="M125" s="3">
        <f>IFERROR(XLOOKUP(A125,'Intake Responses'!$A:$A,'Intake Responses'!$U:$U),"")</f>
        <v/>
      </c>
      <c r="N125" s="3">
        <f>IFERROR(XLOOKUP(A125,'Intake Responses'!$A:$A,'Intake Responses'!$V:$V),"")</f>
        <v/>
      </c>
      <c r="O125" s="3">
        <f>IFERROR(XLOOKUP(A125,'Intake Responses'!$A:$A,'Intake Responses'!$W:$W),"")</f>
        <v/>
      </c>
      <c r="P125" s="3">
        <f>IFERROR(XLOOKUP(A125,'Intake Responses'!$A:$A,'Intake Responses'!$X:$X),"")</f>
        <v/>
      </c>
      <c r="Q125" s="3">
        <f>IFERROR(XLOOKUP(A125,'Intake Responses'!$A:$A,'Intake Responses'!$AF:$AF),"")</f>
        <v/>
      </c>
      <c r="R125" s="3">
        <f>IFERROR(XLOOKUP(A125,'Intake Responses'!$A:$A,'Intake Responses'!$S:$S),"")</f>
        <v/>
      </c>
      <c r="S125" s="3" t="n"/>
      <c r="T125" s="3" t="n"/>
      <c r="U125" s="3" t="n"/>
      <c r="V125" s="3">
        <f>IFERROR(MIN(5,ROUND(((M125+O125)/2)+(IF(J125&gt;=20,2,IF(J125&gt;=10,1.5,IF(J125&gt;=5,1,IF(J125&gt;=1,0.5,0))))),1)),0)</f>
        <v/>
      </c>
      <c r="W125" s="3">
        <f>IFERROR(SWITCH(F125,"Multiple times per day",5,"Daily",4,"Weekly",3,"Monthly",2,"Quarterly",1,"Ad hoc",1,"Unknown",0),0)</f>
        <v/>
      </c>
      <c r="X125" s="3">
        <f>IFERROR(ROUND(AVERAGE(L125,N125),1),0)</f>
        <v/>
      </c>
      <c r="Y125" s="3">
        <f>IFERROR(SWITCH(U125,"High",3,"Medium",2,"Low",0,"Unknown",1,1)+IF(Q125="Yes",2,IF(Q125="Unsure",1,0)),0)</f>
        <v/>
      </c>
      <c r="Z125" s="3">
        <f>IFERROR(ROUND((V125*2)+(W125*1)+(X125*2)+(IF(T125="Easy",2,IF(T125="Medium",1,IF(T125="Hard",-1,0))))-(Y125*2),1),0)</f>
        <v/>
      </c>
      <c r="AA125" s="3">
        <f>IFERROR(IF(S125="Not a fit","Not a Fit",IF(Y125&gt;=5,"High Risk / Needs Review",IF(AND(Z125&gt;=18,T125="Easy"),"Quick Win",IF(AND(Z125&gt;=18,T125&lt;&gt;"Easy"),"Strategic Project",IF(Z125&gt;=10,"Discovery Needed","Process Issue"))))),"")</f>
        <v/>
      </c>
      <c r="AB125" s="3">
        <f>IFERROR(SWITCH(AA125,"Quick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5" s="3" t="n"/>
      <c r="AD125" s="3" t="n"/>
      <c r="AE125" s="3" t="n"/>
    </row>
    <row r="126" ht="25" customHeight="1">
      <c r="A126" s="2" t="n"/>
      <c r="B126" s="2">
        <f>IFERROR(XLOOKUP(A126,'Intake Responses'!$A:$A,'Intake Responses'!$E:$E),"")</f>
        <v/>
      </c>
      <c r="C126" s="2">
        <f>IFERROR(XLOOKUP(A126,'Intake Responses'!$A:$A,'Intake Responses'!$D:$D),"")</f>
        <v/>
      </c>
      <c r="D126" s="2">
        <f>IFERROR(XLOOKUP(A126,'Intake Responses'!$A:$A,'Intake Responses'!$F:$F),"")</f>
        <v/>
      </c>
      <c r="E126" s="2" t="n"/>
      <c r="F126" s="2">
        <f>IFERROR(XLOOKUP(A126,'Intake Responses'!$A:$A,'Intake Responses'!$M:$M),"")</f>
        <v/>
      </c>
      <c r="G126" s="2">
        <f>IFERROR(XLOOKUP(A126,'Intake Responses'!$A:$A,'Intake Responses'!$N:$N),"")</f>
        <v/>
      </c>
      <c r="H126" s="2">
        <f>IFERROR(XLOOKUP(A126,'Intake Responses'!$A:$A,'Intake Responses'!$O:$O),"")</f>
        <v/>
      </c>
      <c r="I126" s="2">
        <f>IFERROR(SWITCH(F126,"Multiple times per day",60,"Daily",20,"Weekly",4,"Monthly",1,"Quarterly",0.33,"Ad hoc",0.5,"Unknown",0),0)</f>
        <v/>
      </c>
      <c r="J126" s="2">
        <f>IFERROR((G126*H126*I126)/60,0)</f>
        <v/>
      </c>
      <c r="K126" s="2">
        <f>IFERROR(J126*12,0)</f>
        <v/>
      </c>
      <c r="L126" s="2">
        <f>IFERROR(XLOOKUP(A126,'Intake Responses'!$A:$A,'Intake Responses'!$T:$T),"")</f>
        <v/>
      </c>
      <c r="M126" s="2">
        <f>IFERROR(XLOOKUP(A126,'Intake Responses'!$A:$A,'Intake Responses'!$U:$U),"")</f>
        <v/>
      </c>
      <c r="N126" s="2">
        <f>IFERROR(XLOOKUP(A126,'Intake Responses'!$A:$A,'Intake Responses'!$V:$V),"")</f>
        <v/>
      </c>
      <c r="O126" s="2">
        <f>IFERROR(XLOOKUP(A126,'Intake Responses'!$A:$A,'Intake Responses'!$W:$W),"")</f>
        <v/>
      </c>
      <c r="P126" s="2">
        <f>IFERROR(XLOOKUP(A126,'Intake Responses'!$A:$A,'Intake Responses'!$X:$X),"")</f>
        <v/>
      </c>
      <c r="Q126" s="2">
        <f>IFERROR(XLOOKUP(A126,'Intake Responses'!$A:$A,'Intake Responses'!$AF:$AF),"")</f>
        <v/>
      </c>
      <c r="R126" s="2">
        <f>IFERROR(XLOOKUP(A126,'Intake Responses'!$A:$A,'Intake Responses'!$S:$S),"")</f>
        <v/>
      </c>
      <c r="S126" s="2" t="n"/>
      <c r="T126" s="2" t="n"/>
      <c r="U126" s="2" t="n"/>
      <c r="V126" s="2">
        <f>IFERROR(MIN(5,ROUND(((M126+O126)/2)+(IF(J126&gt;=20,2,IF(J126&gt;=10,1.5,IF(J126&gt;=5,1,IF(J126&gt;=1,0.5,0))))),1)),0)</f>
        <v/>
      </c>
      <c r="W126" s="2">
        <f>IFERROR(SWITCH(F126,"Multiple times per day",5,"Daily",4,"Weekly",3,"Monthly",2,"Quarterly",1,"Ad hoc",1,"Unknown",0),0)</f>
        <v/>
      </c>
      <c r="X126" s="2">
        <f>IFERROR(ROUND(AVERAGE(L126,N126),1),0)</f>
        <v/>
      </c>
      <c r="Y126" s="2">
        <f>IFERROR(SWITCH(U126,"High",3,"Medium",2,"Low",0,"Unknown",1,1)+IF(Q126="Yes",2,IF(Q126="Unsure",1,0)),0)</f>
        <v/>
      </c>
      <c r="Z126" s="2">
        <f>IFERROR(ROUND((V126*2)+(W126*1)+(X126*2)+(IF(T126="Easy",2,IF(T126="Medium",1,IF(T126="Hard",-1,0))))-(Y126*2),1),0)</f>
        <v/>
      </c>
      <c r="AA126" s="2">
        <f>IFERROR(IF(S126="Not a fit","Not a Fit",IF(Y126&gt;=5,"High Risk / Needs Review",IF(AND(Z126&gt;=18,T126="Easy"),"Quick Win",IF(AND(Z126&gt;=18,T126&lt;&gt;"Easy"),"Strategic Project",IF(Z126&gt;=10,"Discovery Needed","Process Issue"))))),"")</f>
        <v/>
      </c>
      <c r="AB126" s="2">
        <f>IFERROR(SWITCH(AA126,"Quick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6" s="2" t="n"/>
      <c r="AD126" s="2" t="n"/>
      <c r="AE126" s="2" t="n"/>
    </row>
    <row r="127" ht="25" customHeight="1">
      <c r="A127" s="3" t="n"/>
      <c r="B127" s="3">
        <f>IFERROR(XLOOKUP(A127,'Intake Responses'!$A:$A,'Intake Responses'!$E:$E),"")</f>
        <v/>
      </c>
      <c r="C127" s="3">
        <f>IFERROR(XLOOKUP(A127,'Intake Responses'!$A:$A,'Intake Responses'!$D:$D),"")</f>
        <v/>
      </c>
      <c r="D127" s="3">
        <f>IFERROR(XLOOKUP(A127,'Intake Responses'!$A:$A,'Intake Responses'!$F:$F),"")</f>
        <v/>
      </c>
      <c r="E127" s="3" t="n"/>
      <c r="F127" s="3">
        <f>IFERROR(XLOOKUP(A127,'Intake Responses'!$A:$A,'Intake Responses'!$M:$M),"")</f>
        <v/>
      </c>
      <c r="G127" s="3">
        <f>IFERROR(XLOOKUP(A127,'Intake Responses'!$A:$A,'Intake Responses'!$N:$N),"")</f>
        <v/>
      </c>
      <c r="H127" s="3">
        <f>IFERROR(XLOOKUP(A127,'Intake Responses'!$A:$A,'Intake Responses'!$O:$O),"")</f>
        <v/>
      </c>
      <c r="I127" s="3">
        <f>IFERROR(SWITCH(F127,"Multiple times per day",60,"Daily",20,"Weekly",4,"Monthly",1,"Quarterly",0.33,"Ad hoc",0.5,"Unknown",0),0)</f>
        <v/>
      </c>
      <c r="J127" s="3">
        <f>IFERROR((G127*H127*I127)/60,0)</f>
        <v/>
      </c>
      <c r="K127" s="3">
        <f>IFERROR(J127*12,0)</f>
        <v/>
      </c>
      <c r="L127" s="3">
        <f>IFERROR(XLOOKUP(A127,'Intake Responses'!$A:$A,'Intake Responses'!$T:$T),"")</f>
        <v/>
      </c>
      <c r="M127" s="3">
        <f>IFERROR(XLOOKUP(A127,'Intake Responses'!$A:$A,'Intake Responses'!$U:$U),"")</f>
        <v/>
      </c>
      <c r="N127" s="3">
        <f>IFERROR(XLOOKUP(A127,'Intake Responses'!$A:$A,'Intake Responses'!$V:$V),"")</f>
        <v/>
      </c>
      <c r="O127" s="3">
        <f>IFERROR(XLOOKUP(A127,'Intake Responses'!$A:$A,'Intake Responses'!$W:$W),"")</f>
        <v/>
      </c>
      <c r="P127" s="3">
        <f>IFERROR(XLOOKUP(A127,'Intake Responses'!$A:$A,'Intake Responses'!$X:$X),"")</f>
        <v/>
      </c>
      <c r="Q127" s="3">
        <f>IFERROR(XLOOKUP(A127,'Intake Responses'!$A:$A,'Intake Responses'!$AF:$AF),"")</f>
        <v/>
      </c>
      <c r="R127" s="3">
        <f>IFERROR(XLOOKUP(A127,'Intake Responses'!$A:$A,'Intake Responses'!$S:$S),"")</f>
        <v/>
      </c>
      <c r="S127" s="3" t="n"/>
      <c r="T127" s="3" t="n"/>
      <c r="U127" s="3" t="n"/>
      <c r="V127" s="3">
        <f>IFERROR(MIN(5,ROUND(((M127+O127)/2)+(IF(J127&gt;=20,2,IF(J127&gt;=10,1.5,IF(J127&gt;=5,1,IF(J127&gt;=1,0.5,0))))),1)),0)</f>
        <v/>
      </c>
      <c r="W127" s="3">
        <f>IFERROR(SWITCH(F127,"Multiple times per day",5,"Daily",4,"Weekly",3,"Monthly",2,"Quarterly",1,"Ad hoc",1,"Unknown",0),0)</f>
        <v/>
      </c>
      <c r="X127" s="3">
        <f>IFERROR(ROUND(AVERAGE(L127,N127),1),0)</f>
        <v/>
      </c>
      <c r="Y127" s="3">
        <f>IFERROR(SWITCH(U127,"High",3,"Medium",2,"Low",0,"Unknown",1,1)+IF(Q127="Yes",2,IF(Q127="Unsure",1,0)),0)</f>
        <v/>
      </c>
      <c r="Z127" s="3">
        <f>IFERROR(ROUND((V127*2)+(W127*1)+(X127*2)+(IF(T127="Easy",2,IF(T127="Medium",1,IF(T127="Hard",-1,0))))-(Y127*2),1),0)</f>
        <v/>
      </c>
      <c r="AA127" s="3">
        <f>IFERROR(IF(S127="Not a fit","Not a Fit",IF(Y127&gt;=5,"High Risk / Needs Review",IF(AND(Z127&gt;=18,T127="Easy"),"Quick Win",IF(AND(Z127&gt;=18,T127&lt;&gt;"Easy"),"Strategic Project",IF(Z127&gt;=10,"Discovery Needed","Process Issue"))))),"")</f>
        <v/>
      </c>
      <c r="AB127" s="3">
        <f>IFERROR(SWITCH(AA127,"Quick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7" s="3" t="n"/>
      <c r="AD127" s="3" t="n"/>
      <c r="AE127" s="3" t="n"/>
    </row>
    <row r="128" ht="25" customHeight="1">
      <c r="A128" s="2" t="n"/>
      <c r="B128" s="2">
        <f>IFERROR(XLOOKUP(A128,'Intake Responses'!$A:$A,'Intake Responses'!$E:$E),"")</f>
        <v/>
      </c>
      <c r="C128" s="2">
        <f>IFERROR(XLOOKUP(A128,'Intake Responses'!$A:$A,'Intake Responses'!$D:$D),"")</f>
        <v/>
      </c>
      <c r="D128" s="2">
        <f>IFERROR(XLOOKUP(A128,'Intake Responses'!$A:$A,'Intake Responses'!$F:$F),"")</f>
        <v/>
      </c>
      <c r="E128" s="2" t="n"/>
      <c r="F128" s="2">
        <f>IFERROR(XLOOKUP(A128,'Intake Responses'!$A:$A,'Intake Responses'!$M:$M),"")</f>
        <v/>
      </c>
      <c r="G128" s="2">
        <f>IFERROR(XLOOKUP(A128,'Intake Responses'!$A:$A,'Intake Responses'!$N:$N),"")</f>
        <v/>
      </c>
      <c r="H128" s="2">
        <f>IFERROR(XLOOKUP(A128,'Intake Responses'!$A:$A,'Intake Responses'!$O:$O),"")</f>
        <v/>
      </c>
      <c r="I128" s="2">
        <f>IFERROR(SWITCH(F128,"Multiple times per day",60,"Daily",20,"Weekly",4,"Monthly",1,"Quarterly",0.33,"Ad hoc",0.5,"Unknown",0),0)</f>
        <v/>
      </c>
      <c r="J128" s="2">
        <f>IFERROR((G128*H128*I128)/60,0)</f>
        <v/>
      </c>
      <c r="K128" s="2">
        <f>IFERROR(J128*12,0)</f>
        <v/>
      </c>
      <c r="L128" s="2">
        <f>IFERROR(XLOOKUP(A128,'Intake Responses'!$A:$A,'Intake Responses'!$T:$T),"")</f>
        <v/>
      </c>
      <c r="M128" s="2">
        <f>IFERROR(XLOOKUP(A128,'Intake Responses'!$A:$A,'Intake Responses'!$U:$U),"")</f>
        <v/>
      </c>
      <c r="N128" s="2">
        <f>IFERROR(XLOOKUP(A128,'Intake Responses'!$A:$A,'Intake Responses'!$V:$V),"")</f>
        <v/>
      </c>
      <c r="O128" s="2">
        <f>IFERROR(XLOOKUP(A128,'Intake Responses'!$A:$A,'Intake Responses'!$W:$W),"")</f>
        <v/>
      </c>
      <c r="P128" s="2">
        <f>IFERROR(XLOOKUP(A128,'Intake Responses'!$A:$A,'Intake Responses'!$X:$X),"")</f>
        <v/>
      </c>
      <c r="Q128" s="2">
        <f>IFERROR(XLOOKUP(A128,'Intake Responses'!$A:$A,'Intake Responses'!$AF:$AF),"")</f>
        <v/>
      </c>
      <c r="R128" s="2">
        <f>IFERROR(XLOOKUP(A128,'Intake Responses'!$A:$A,'Intake Responses'!$S:$S),"")</f>
        <v/>
      </c>
      <c r="S128" s="2" t="n"/>
      <c r="T128" s="2" t="n"/>
      <c r="U128" s="2" t="n"/>
      <c r="V128" s="2">
        <f>IFERROR(MIN(5,ROUND(((M128+O128)/2)+(IF(J128&gt;=20,2,IF(J128&gt;=10,1.5,IF(J128&gt;=5,1,IF(J128&gt;=1,0.5,0))))),1)),0)</f>
        <v/>
      </c>
      <c r="W128" s="2">
        <f>IFERROR(SWITCH(F128,"Multiple times per day",5,"Daily",4,"Weekly",3,"Monthly",2,"Quarterly",1,"Ad hoc",1,"Unknown",0),0)</f>
        <v/>
      </c>
      <c r="X128" s="2">
        <f>IFERROR(ROUND(AVERAGE(L128,N128),1),0)</f>
        <v/>
      </c>
      <c r="Y128" s="2">
        <f>IFERROR(SWITCH(U128,"High",3,"Medium",2,"Low",0,"Unknown",1,1)+IF(Q128="Yes",2,IF(Q128="Unsure",1,0)),0)</f>
        <v/>
      </c>
      <c r="Z128" s="2">
        <f>IFERROR(ROUND((V128*2)+(W128*1)+(X128*2)+(IF(T128="Easy",2,IF(T128="Medium",1,IF(T128="Hard",-1,0))))-(Y128*2),1),0)</f>
        <v/>
      </c>
      <c r="AA128" s="2">
        <f>IFERROR(IF(S128="Not a fit","Not a Fit",IF(Y128&gt;=5,"High Risk / Needs Review",IF(AND(Z128&gt;=18,T128="Easy"),"Quick Win",IF(AND(Z128&gt;=18,T128&lt;&gt;"Easy"),"Strategic Project",IF(Z128&gt;=10,"Discovery Needed","Process Issue"))))),"")</f>
        <v/>
      </c>
      <c r="AB128" s="2">
        <f>IFERROR(SWITCH(AA128,"Quick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8" s="2" t="n"/>
      <c r="AD128" s="2" t="n"/>
      <c r="AE128" s="2" t="n"/>
    </row>
    <row r="129" ht="25" customHeight="1">
      <c r="A129" s="3" t="n"/>
      <c r="B129" s="3">
        <f>IFERROR(XLOOKUP(A129,'Intake Responses'!$A:$A,'Intake Responses'!$E:$E),"")</f>
        <v/>
      </c>
      <c r="C129" s="3">
        <f>IFERROR(XLOOKUP(A129,'Intake Responses'!$A:$A,'Intake Responses'!$D:$D),"")</f>
        <v/>
      </c>
      <c r="D129" s="3">
        <f>IFERROR(XLOOKUP(A129,'Intake Responses'!$A:$A,'Intake Responses'!$F:$F),"")</f>
        <v/>
      </c>
      <c r="E129" s="3" t="n"/>
      <c r="F129" s="3">
        <f>IFERROR(XLOOKUP(A129,'Intake Responses'!$A:$A,'Intake Responses'!$M:$M),"")</f>
        <v/>
      </c>
      <c r="G129" s="3">
        <f>IFERROR(XLOOKUP(A129,'Intake Responses'!$A:$A,'Intake Responses'!$N:$N),"")</f>
        <v/>
      </c>
      <c r="H129" s="3">
        <f>IFERROR(XLOOKUP(A129,'Intake Responses'!$A:$A,'Intake Responses'!$O:$O),"")</f>
        <v/>
      </c>
      <c r="I129" s="3">
        <f>IFERROR(SWITCH(F129,"Multiple times per day",60,"Daily",20,"Weekly",4,"Monthly",1,"Quarterly",0.33,"Ad hoc",0.5,"Unknown",0),0)</f>
        <v/>
      </c>
      <c r="J129" s="3">
        <f>IFERROR((G129*H129*I129)/60,0)</f>
        <v/>
      </c>
      <c r="K129" s="3">
        <f>IFERROR(J129*12,0)</f>
        <v/>
      </c>
      <c r="L129" s="3">
        <f>IFERROR(XLOOKUP(A129,'Intake Responses'!$A:$A,'Intake Responses'!$T:$T),"")</f>
        <v/>
      </c>
      <c r="M129" s="3">
        <f>IFERROR(XLOOKUP(A129,'Intake Responses'!$A:$A,'Intake Responses'!$U:$U),"")</f>
        <v/>
      </c>
      <c r="N129" s="3">
        <f>IFERROR(XLOOKUP(A129,'Intake Responses'!$A:$A,'Intake Responses'!$V:$V),"")</f>
        <v/>
      </c>
      <c r="O129" s="3">
        <f>IFERROR(XLOOKUP(A129,'Intake Responses'!$A:$A,'Intake Responses'!$W:$W),"")</f>
        <v/>
      </c>
      <c r="P129" s="3">
        <f>IFERROR(XLOOKUP(A129,'Intake Responses'!$A:$A,'Intake Responses'!$X:$X),"")</f>
        <v/>
      </c>
      <c r="Q129" s="3">
        <f>IFERROR(XLOOKUP(A129,'Intake Responses'!$A:$A,'Intake Responses'!$AF:$AF),"")</f>
        <v/>
      </c>
      <c r="R129" s="3">
        <f>IFERROR(XLOOKUP(A129,'Intake Responses'!$A:$A,'Intake Responses'!$S:$S),"")</f>
        <v/>
      </c>
      <c r="S129" s="3" t="n"/>
      <c r="T129" s="3" t="n"/>
      <c r="U129" s="3" t="n"/>
      <c r="V129" s="3">
        <f>IFERROR(MIN(5,ROUND(((M129+O129)/2)+(IF(J129&gt;=20,2,IF(J129&gt;=10,1.5,IF(J129&gt;=5,1,IF(J129&gt;=1,0.5,0))))),1)),0)</f>
        <v/>
      </c>
      <c r="W129" s="3">
        <f>IFERROR(SWITCH(F129,"Multiple times per day",5,"Daily",4,"Weekly",3,"Monthly",2,"Quarterly",1,"Ad hoc",1,"Unknown",0),0)</f>
        <v/>
      </c>
      <c r="X129" s="3">
        <f>IFERROR(ROUND(AVERAGE(L129,N129),1),0)</f>
        <v/>
      </c>
      <c r="Y129" s="3">
        <f>IFERROR(SWITCH(U129,"High",3,"Medium",2,"Low",0,"Unknown",1,1)+IF(Q129="Yes",2,IF(Q129="Unsure",1,0)),0)</f>
        <v/>
      </c>
      <c r="Z129" s="3">
        <f>IFERROR(ROUND((V129*2)+(W129*1)+(X129*2)+(IF(T129="Easy",2,IF(T129="Medium",1,IF(T129="Hard",-1,0))))-(Y129*2),1),0)</f>
        <v/>
      </c>
      <c r="AA129" s="3">
        <f>IFERROR(IF(S129="Not a fit","Not a Fit",IF(Y129&gt;=5,"High Risk / Needs Review",IF(AND(Z129&gt;=18,T129="Easy"),"Quick Win",IF(AND(Z129&gt;=18,T129&lt;&gt;"Easy"),"Strategic Project",IF(Z129&gt;=10,"Discovery Needed","Process Issue"))))),"")</f>
        <v/>
      </c>
      <c r="AB129" s="3">
        <f>IFERROR(SWITCH(AA129,"Quick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29" s="3" t="n"/>
      <c r="AD129" s="3" t="n"/>
      <c r="AE129" s="3" t="n"/>
    </row>
    <row r="130" ht="25" customHeight="1">
      <c r="A130" s="2" t="n"/>
      <c r="B130" s="2">
        <f>IFERROR(XLOOKUP(A130,'Intake Responses'!$A:$A,'Intake Responses'!$E:$E),"")</f>
        <v/>
      </c>
      <c r="C130" s="2">
        <f>IFERROR(XLOOKUP(A130,'Intake Responses'!$A:$A,'Intake Responses'!$D:$D),"")</f>
        <v/>
      </c>
      <c r="D130" s="2">
        <f>IFERROR(XLOOKUP(A130,'Intake Responses'!$A:$A,'Intake Responses'!$F:$F),"")</f>
        <v/>
      </c>
      <c r="E130" s="2" t="n"/>
      <c r="F130" s="2">
        <f>IFERROR(XLOOKUP(A130,'Intake Responses'!$A:$A,'Intake Responses'!$M:$M),"")</f>
        <v/>
      </c>
      <c r="G130" s="2">
        <f>IFERROR(XLOOKUP(A130,'Intake Responses'!$A:$A,'Intake Responses'!$N:$N),"")</f>
        <v/>
      </c>
      <c r="H130" s="2">
        <f>IFERROR(XLOOKUP(A130,'Intake Responses'!$A:$A,'Intake Responses'!$O:$O),"")</f>
        <v/>
      </c>
      <c r="I130" s="2">
        <f>IFERROR(SWITCH(F130,"Multiple times per day",60,"Daily",20,"Weekly",4,"Monthly",1,"Quarterly",0.33,"Ad hoc",0.5,"Unknown",0),0)</f>
        <v/>
      </c>
      <c r="J130" s="2">
        <f>IFERROR((G130*H130*I130)/60,0)</f>
        <v/>
      </c>
      <c r="K130" s="2">
        <f>IFERROR(J130*12,0)</f>
        <v/>
      </c>
      <c r="L130" s="2">
        <f>IFERROR(XLOOKUP(A130,'Intake Responses'!$A:$A,'Intake Responses'!$T:$T),"")</f>
        <v/>
      </c>
      <c r="M130" s="2">
        <f>IFERROR(XLOOKUP(A130,'Intake Responses'!$A:$A,'Intake Responses'!$U:$U),"")</f>
        <v/>
      </c>
      <c r="N130" s="2">
        <f>IFERROR(XLOOKUP(A130,'Intake Responses'!$A:$A,'Intake Responses'!$V:$V),"")</f>
        <v/>
      </c>
      <c r="O130" s="2">
        <f>IFERROR(XLOOKUP(A130,'Intake Responses'!$A:$A,'Intake Responses'!$W:$W),"")</f>
        <v/>
      </c>
      <c r="P130" s="2">
        <f>IFERROR(XLOOKUP(A130,'Intake Responses'!$A:$A,'Intake Responses'!$X:$X),"")</f>
        <v/>
      </c>
      <c r="Q130" s="2">
        <f>IFERROR(XLOOKUP(A130,'Intake Responses'!$A:$A,'Intake Responses'!$AF:$AF),"")</f>
        <v/>
      </c>
      <c r="R130" s="2">
        <f>IFERROR(XLOOKUP(A130,'Intake Responses'!$A:$A,'Intake Responses'!$S:$S),"")</f>
        <v/>
      </c>
      <c r="S130" s="2" t="n"/>
      <c r="T130" s="2" t="n"/>
      <c r="U130" s="2" t="n"/>
      <c r="V130" s="2">
        <f>IFERROR(MIN(5,ROUND(((M130+O130)/2)+(IF(J130&gt;=20,2,IF(J130&gt;=10,1.5,IF(J130&gt;=5,1,IF(J130&gt;=1,0.5,0))))),1)),0)</f>
        <v/>
      </c>
      <c r="W130" s="2">
        <f>IFERROR(SWITCH(F130,"Multiple times per day",5,"Daily",4,"Weekly",3,"Monthly",2,"Quarterly",1,"Ad hoc",1,"Unknown",0),0)</f>
        <v/>
      </c>
      <c r="X130" s="2">
        <f>IFERROR(ROUND(AVERAGE(L130,N130),1),0)</f>
        <v/>
      </c>
      <c r="Y130" s="2">
        <f>IFERROR(SWITCH(U130,"High",3,"Medium",2,"Low",0,"Unknown",1,1)+IF(Q130="Yes",2,IF(Q130="Unsure",1,0)),0)</f>
        <v/>
      </c>
      <c r="Z130" s="2">
        <f>IFERROR(ROUND((V130*2)+(W130*1)+(X130*2)+(IF(T130="Easy",2,IF(T130="Medium",1,IF(T130="Hard",-1,0))))-(Y130*2),1),0)</f>
        <v/>
      </c>
      <c r="AA130" s="2">
        <f>IFERROR(IF(S130="Not a fit","Not a Fit",IF(Y130&gt;=5,"High Risk / Needs Review",IF(AND(Z130&gt;=18,T130="Easy"),"Quick Win",IF(AND(Z130&gt;=18,T130&lt;&gt;"Easy"),"Strategic Project",IF(Z130&gt;=10,"Discovery Needed","Process Issue"))))),"")</f>
        <v/>
      </c>
      <c r="AB130" s="2">
        <f>IFERROR(SWITCH(AA130,"Quick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0" s="2" t="n"/>
      <c r="AD130" s="2" t="n"/>
      <c r="AE130" s="2" t="n"/>
    </row>
    <row r="131" ht="25" customHeight="1">
      <c r="A131" s="3" t="n"/>
      <c r="B131" s="3">
        <f>IFERROR(XLOOKUP(A131,'Intake Responses'!$A:$A,'Intake Responses'!$E:$E),"")</f>
        <v/>
      </c>
      <c r="C131" s="3">
        <f>IFERROR(XLOOKUP(A131,'Intake Responses'!$A:$A,'Intake Responses'!$D:$D),"")</f>
        <v/>
      </c>
      <c r="D131" s="3">
        <f>IFERROR(XLOOKUP(A131,'Intake Responses'!$A:$A,'Intake Responses'!$F:$F),"")</f>
        <v/>
      </c>
      <c r="E131" s="3" t="n"/>
      <c r="F131" s="3">
        <f>IFERROR(XLOOKUP(A131,'Intake Responses'!$A:$A,'Intake Responses'!$M:$M),"")</f>
        <v/>
      </c>
      <c r="G131" s="3">
        <f>IFERROR(XLOOKUP(A131,'Intake Responses'!$A:$A,'Intake Responses'!$N:$N),"")</f>
        <v/>
      </c>
      <c r="H131" s="3">
        <f>IFERROR(XLOOKUP(A131,'Intake Responses'!$A:$A,'Intake Responses'!$O:$O),"")</f>
        <v/>
      </c>
      <c r="I131" s="3">
        <f>IFERROR(SWITCH(F131,"Multiple times per day",60,"Daily",20,"Weekly",4,"Monthly",1,"Quarterly",0.33,"Ad hoc",0.5,"Unknown",0),0)</f>
        <v/>
      </c>
      <c r="J131" s="3">
        <f>IFERROR((G131*H131*I131)/60,0)</f>
        <v/>
      </c>
      <c r="K131" s="3">
        <f>IFERROR(J131*12,0)</f>
        <v/>
      </c>
      <c r="L131" s="3">
        <f>IFERROR(XLOOKUP(A131,'Intake Responses'!$A:$A,'Intake Responses'!$T:$T),"")</f>
        <v/>
      </c>
      <c r="M131" s="3">
        <f>IFERROR(XLOOKUP(A131,'Intake Responses'!$A:$A,'Intake Responses'!$U:$U),"")</f>
        <v/>
      </c>
      <c r="N131" s="3">
        <f>IFERROR(XLOOKUP(A131,'Intake Responses'!$A:$A,'Intake Responses'!$V:$V),"")</f>
        <v/>
      </c>
      <c r="O131" s="3">
        <f>IFERROR(XLOOKUP(A131,'Intake Responses'!$A:$A,'Intake Responses'!$W:$W),"")</f>
        <v/>
      </c>
      <c r="P131" s="3">
        <f>IFERROR(XLOOKUP(A131,'Intake Responses'!$A:$A,'Intake Responses'!$X:$X),"")</f>
        <v/>
      </c>
      <c r="Q131" s="3">
        <f>IFERROR(XLOOKUP(A131,'Intake Responses'!$A:$A,'Intake Responses'!$AF:$AF),"")</f>
        <v/>
      </c>
      <c r="R131" s="3">
        <f>IFERROR(XLOOKUP(A131,'Intake Responses'!$A:$A,'Intake Responses'!$S:$S),"")</f>
        <v/>
      </c>
      <c r="S131" s="3" t="n"/>
      <c r="T131" s="3" t="n"/>
      <c r="U131" s="3" t="n"/>
      <c r="V131" s="3">
        <f>IFERROR(MIN(5,ROUND(((M131+O131)/2)+(IF(J131&gt;=20,2,IF(J131&gt;=10,1.5,IF(J131&gt;=5,1,IF(J131&gt;=1,0.5,0))))),1)),0)</f>
        <v/>
      </c>
      <c r="W131" s="3">
        <f>IFERROR(SWITCH(F131,"Multiple times per day",5,"Daily",4,"Weekly",3,"Monthly",2,"Quarterly",1,"Ad hoc",1,"Unknown",0),0)</f>
        <v/>
      </c>
      <c r="X131" s="3">
        <f>IFERROR(ROUND(AVERAGE(L131,N131),1),0)</f>
        <v/>
      </c>
      <c r="Y131" s="3">
        <f>IFERROR(SWITCH(U131,"High",3,"Medium",2,"Low",0,"Unknown",1,1)+IF(Q131="Yes",2,IF(Q131="Unsure",1,0)),0)</f>
        <v/>
      </c>
      <c r="Z131" s="3">
        <f>IFERROR(ROUND((V131*2)+(W131*1)+(X131*2)+(IF(T131="Easy",2,IF(T131="Medium",1,IF(T131="Hard",-1,0))))-(Y131*2),1),0)</f>
        <v/>
      </c>
      <c r="AA131" s="3">
        <f>IFERROR(IF(S131="Not a fit","Not a Fit",IF(Y131&gt;=5,"High Risk / Needs Review",IF(AND(Z131&gt;=18,T131="Easy"),"Quick Win",IF(AND(Z131&gt;=18,T131&lt;&gt;"Easy"),"Strategic Project",IF(Z131&gt;=10,"Discovery Needed","Process Issue"))))),"")</f>
        <v/>
      </c>
      <c r="AB131" s="3">
        <f>IFERROR(SWITCH(AA131,"Quick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1" s="3" t="n"/>
      <c r="AD131" s="3" t="n"/>
      <c r="AE131" s="3" t="n"/>
    </row>
    <row r="132" ht="25" customHeight="1">
      <c r="A132" s="2" t="n"/>
      <c r="B132" s="2">
        <f>IFERROR(XLOOKUP(A132,'Intake Responses'!$A:$A,'Intake Responses'!$E:$E),"")</f>
        <v/>
      </c>
      <c r="C132" s="2">
        <f>IFERROR(XLOOKUP(A132,'Intake Responses'!$A:$A,'Intake Responses'!$D:$D),"")</f>
        <v/>
      </c>
      <c r="D132" s="2">
        <f>IFERROR(XLOOKUP(A132,'Intake Responses'!$A:$A,'Intake Responses'!$F:$F),"")</f>
        <v/>
      </c>
      <c r="E132" s="2" t="n"/>
      <c r="F132" s="2">
        <f>IFERROR(XLOOKUP(A132,'Intake Responses'!$A:$A,'Intake Responses'!$M:$M),"")</f>
        <v/>
      </c>
      <c r="G132" s="2">
        <f>IFERROR(XLOOKUP(A132,'Intake Responses'!$A:$A,'Intake Responses'!$N:$N),"")</f>
        <v/>
      </c>
      <c r="H132" s="2">
        <f>IFERROR(XLOOKUP(A132,'Intake Responses'!$A:$A,'Intake Responses'!$O:$O),"")</f>
        <v/>
      </c>
      <c r="I132" s="2">
        <f>IFERROR(SWITCH(F132,"Multiple times per day",60,"Daily",20,"Weekly",4,"Monthly",1,"Quarterly",0.33,"Ad hoc",0.5,"Unknown",0),0)</f>
        <v/>
      </c>
      <c r="J132" s="2">
        <f>IFERROR((G132*H132*I132)/60,0)</f>
        <v/>
      </c>
      <c r="K132" s="2">
        <f>IFERROR(J132*12,0)</f>
        <v/>
      </c>
      <c r="L132" s="2">
        <f>IFERROR(XLOOKUP(A132,'Intake Responses'!$A:$A,'Intake Responses'!$T:$T),"")</f>
        <v/>
      </c>
      <c r="M132" s="2">
        <f>IFERROR(XLOOKUP(A132,'Intake Responses'!$A:$A,'Intake Responses'!$U:$U),"")</f>
        <v/>
      </c>
      <c r="N132" s="2">
        <f>IFERROR(XLOOKUP(A132,'Intake Responses'!$A:$A,'Intake Responses'!$V:$V),"")</f>
        <v/>
      </c>
      <c r="O132" s="2">
        <f>IFERROR(XLOOKUP(A132,'Intake Responses'!$A:$A,'Intake Responses'!$W:$W),"")</f>
        <v/>
      </c>
      <c r="P132" s="2">
        <f>IFERROR(XLOOKUP(A132,'Intake Responses'!$A:$A,'Intake Responses'!$X:$X),"")</f>
        <v/>
      </c>
      <c r="Q132" s="2">
        <f>IFERROR(XLOOKUP(A132,'Intake Responses'!$A:$A,'Intake Responses'!$AF:$AF),"")</f>
        <v/>
      </c>
      <c r="R132" s="2">
        <f>IFERROR(XLOOKUP(A132,'Intake Responses'!$A:$A,'Intake Responses'!$S:$S),"")</f>
        <v/>
      </c>
      <c r="S132" s="2" t="n"/>
      <c r="T132" s="2" t="n"/>
      <c r="U132" s="2" t="n"/>
      <c r="V132" s="2">
        <f>IFERROR(MIN(5,ROUND(((M132+O132)/2)+(IF(J132&gt;=20,2,IF(J132&gt;=10,1.5,IF(J132&gt;=5,1,IF(J132&gt;=1,0.5,0))))),1)),0)</f>
        <v/>
      </c>
      <c r="W132" s="2">
        <f>IFERROR(SWITCH(F132,"Multiple times per day",5,"Daily",4,"Weekly",3,"Monthly",2,"Quarterly",1,"Ad hoc",1,"Unknown",0),0)</f>
        <v/>
      </c>
      <c r="X132" s="2">
        <f>IFERROR(ROUND(AVERAGE(L132,N132),1),0)</f>
        <v/>
      </c>
      <c r="Y132" s="2">
        <f>IFERROR(SWITCH(U132,"High",3,"Medium",2,"Low",0,"Unknown",1,1)+IF(Q132="Yes",2,IF(Q132="Unsure",1,0)),0)</f>
        <v/>
      </c>
      <c r="Z132" s="2">
        <f>IFERROR(ROUND((V132*2)+(W132*1)+(X132*2)+(IF(T132="Easy",2,IF(T132="Medium",1,IF(T132="Hard",-1,0))))-(Y132*2),1),0)</f>
        <v/>
      </c>
      <c r="AA132" s="2">
        <f>IFERROR(IF(S132="Not a fit","Not a Fit",IF(Y132&gt;=5,"High Risk / Needs Review",IF(AND(Z132&gt;=18,T132="Easy"),"Quick Win",IF(AND(Z132&gt;=18,T132&lt;&gt;"Easy"),"Strategic Project",IF(Z132&gt;=10,"Discovery Needed","Process Issue"))))),"")</f>
        <v/>
      </c>
      <c r="AB132" s="2">
        <f>IFERROR(SWITCH(AA132,"Quick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2" s="2" t="n"/>
      <c r="AD132" s="2" t="n"/>
      <c r="AE132" s="2" t="n"/>
    </row>
    <row r="133" ht="25" customHeight="1">
      <c r="A133" s="3" t="n"/>
      <c r="B133" s="3">
        <f>IFERROR(XLOOKUP(A133,'Intake Responses'!$A:$A,'Intake Responses'!$E:$E),"")</f>
        <v/>
      </c>
      <c r="C133" s="3">
        <f>IFERROR(XLOOKUP(A133,'Intake Responses'!$A:$A,'Intake Responses'!$D:$D),"")</f>
        <v/>
      </c>
      <c r="D133" s="3">
        <f>IFERROR(XLOOKUP(A133,'Intake Responses'!$A:$A,'Intake Responses'!$F:$F),"")</f>
        <v/>
      </c>
      <c r="E133" s="3" t="n"/>
      <c r="F133" s="3">
        <f>IFERROR(XLOOKUP(A133,'Intake Responses'!$A:$A,'Intake Responses'!$M:$M),"")</f>
        <v/>
      </c>
      <c r="G133" s="3">
        <f>IFERROR(XLOOKUP(A133,'Intake Responses'!$A:$A,'Intake Responses'!$N:$N),"")</f>
        <v/>
      </c>
      <c r="H133" s="3">
        <f>IFERROR(XLOOKUP(A133,'Intake Responses'!$A:$A,'Intake Responses'!$O:$O),"")</f>
        <v/>
      </c>
      <c r="I133" s="3">
        <f>IFERROR(SWITCH(F133,"Multiple times per day",60,"Daily",20,"Weekly",4,"Monthly",1,"Quarterly",0.33,"Ad hoc",0.5,"Unknown",0),0)</f>
        <v/>
      </c>
      <c r="J133" s="3">
        <f>IFERROR((G133*H133*I133)/60,0)</f>
        <v/>
      </c>
      <c r="K133" s="3">
        <f>IFERROR(J133*12,0)</f>
        <v/>
      </c>
      <c r="L133" s="3">
        <f>IFERROR(XLOOKUP(A133,'Intake Responses'!$A:$A,'Intake Responses'!$T:$T),"")</f>
        <v/>
      </c>
      <c r="M133" s="3">
        <f>IFERROR(XLOOKUP(A133,'Intake Responses'!$A:$A,'Intake Responses'!$U:$U),"")</f>
        <v/>
      </c>
      <c r="N133" s="3">
        <f>IFERROR(XLOOKUP(A133,'Intake Responses'!$A:$A,'Intake Responses'!$V:$V),"")</f>
        <v/>
      </c>
      <c r="O133" s="3">
        <f>IFERROR(XLOOKUP(A133,'Intake Responses'!$A:$A,'Intake Responses'!$W:$W),"")</f>
        <v/>
      </c>
      <c r="P133" s="3">
        <f>IFERROR(XLOOKUP(A133,'Intake Responses'!$A:$A,'Intake Responses'!$X:$X),"")</f>
        <v/>
      </c>
      <c r="Q133" s="3">
        <f>IFERROR(XLOOKUP(A133,'Intake Responses'!$A:$A,'Intake Responses'!$AF:$AF),"")</f>
        <v/>
      </c>
      <c r="R133" s="3">
        <f>IFERROR(XLOOKUP(A133,'Intake Responses'!$A:$A,'Intake Responses'!$S:$S),"")</f>
        <v/>
      </c>
      <c r="S133" s="3" t="n"/>
      <c r="T133" s="3" t="n"/>
      <c r="U133" s="3" t="n"/>
      <c r="V133" s="3">
        <f>IFERROR(MIN(5,ROUND(((M133+O133)/2)+(IF(J133&gt;=20,2,IF(J133&gt;=10,1.5,IF(J133&gt;=5,1,IF(J133&gt;=1,0.5,0))))),1)),0)</f>
        <v/>
      </c>
      <c r="W133" s="3">
        <f>IFERROR(SWITCH(F133,"Multiple times per day",5,"Daily",4,"Weekly",3,"Monthly",2,"Quarterly",1,"Ad hoc",1,"Unknown",0),0)</f>
        <v/>
      </c>
      <c r="X133" s="3">
        <f>IFERROR(ROUND(AVERAGE(L133,N133),1),0)</f>
        <v/>
      </c>
      <c r="Y133" s="3">
        <f>IFERROR(SWITCH(U133,"High",3,"Medium",2,"Low",0,"Unknown",1,1)+IF(Q133="Yes",2,IF(Q133="Unsure",1,0)),0)</f>
        <v/>
      </c>
      <c r="Z133" s="3">
        <f>IFERROR(ROUND((V133*2)+(W133*1)+(X133*2)+(IF(T133="Easy",2,IF(T133="Medium",1,IF(T133="Hard",-1,0))))-(Y133*2),1),0)</f>
        <v/>
      </c>
      <c r="AA133" s="3">
        <f>IFERROR(IF(S133="Not a fit","Not a Fit",IF(Y133&gt;=5,"High Risk / Needs Review",IF(AND(Z133&gt;=18,T133="Easy"),"Quick Win",IF(AND(Z133&gt;=18,T133&lt;&gt;"Easy"),"Strategic Project",IF(Z133&gt;=10,"Discovery Needed","Process Issue"))))),"")</f>
        <v/>
      </c>
      <c r="AB133" s="3">
        <f>IFERROR(SWITCH(AA133,"Quick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3" s="3" t="n"/>
      <c r="AD133" s="3" t="n"/>
      <c r="AE133" s="3" t="n"/>
    </row>
    <row r="134" ht="25" customHeight="1">
      <c r="A134" s="2" t="n"/>
      <c r="B134" s="2">
        <f>IFERROR(XLOOKUP(A134,'Intake Responses'!$A:$A,'Intake Responses'!$E:$E),"")</f>
        <v/>
      </c>
      <c r="C134" s="2">
        <f>IFERROR(XLOOKUP(A134,'Intake Responses'!$A:$A,'Intake Responses'!$D:$D),"")</f>
        <v/>
      </c>
      <c r="D134" s="2">
        <f>IFERROR(XLOOKUP(A134,'Intake Responses'!$A:$A,'Intake Responses'!$F:$F),"")</f>
        <v/>
      </c>
      <c r="E134" s="2" t="n"/>
      <c r="F134" s="2">
        <f>IFERROR(XLOOKUP(A134,'Intake Responses'!$A:$A,'Intake Responses'!$M:$M),"")</f>
        <v/>
      </c>
      <c r="G134" s="2">
        <f>IFERROR(XLOOKUP(A134,'Intake Responses'!$A:$A,'Intake Responses'!$N:$N),"")</f>
        <v/>
      </c>
      <c r="H134" s="2">
        <f>IFERROR(XLOOKUP(A134,'Intake Responses'!$A:$A,'Intake Responses'!$O:$O),"")</f>
        <v/>
      </c>
      <c r="I134" s="2">
        <f>IFERROR(SWITCH(F134,"Multiple times per day",60,"Daily",20,"Weekly",4,"Monthly",1,"Quarterly",0.33,"Ad hoc",0.5,"Unknown",0),0)</f>
        <v/>
      </c>
      <c r="J134" s="2">
        <f>IFERROR((G134*H134*I134)/60,0)</f>
        <v/>
      </c>
      <c r="K134" s="2">
        <f>IFERROR(J134*12,0)</f>
        <v/>
      </c>
      <c r="L134" s="2">
        <f>IFERROR(XLOOKUP(A134,'Intake Responses'!$A:$A,'Intake Responses'!$T:$T),"")</f>
        <v/>
      </c>
      <c r="M134" s="2">
        <f>IFERROR(XLOOKUP(A134,'Intake Responses'!$A:$A,'Intake Responses'!$U:$U),"")</f>
        <v/>
      </c>
      <c r="N134" s="2">
        <f>IFERROR(XLOOKUP(A134,'Intake Responses'!$A:$A,'Intake Responses'!$V:$V),"")</f>
        <v/>
      </c>
      <c r="O134" s="2">
        <f>IFERROR(XLOOKUP(A134,'Intake Responses'!$A:$A,'Intake Responses'!$W:$W),"")</f>
        <v/>
      </c>
      <c r="P134" s="2">
        <f>IFERROR(XLOOKUP(A134,'Intake Responses'!$A:$A,'Intake Responses'!$X:$X),"")</f>
        <v/>
      </c>
      <c r="Q134" s="2">
        <f>IFERROR(XLOOKUP(A134,'Intake Responses'!$A:$A,'Intake Responses'!$AF:$AF),"")</f>
        <v/>
      </c>
      <c r="R134" s="2">
        <f>IFERROR(XLOOKUP(A134,'Intake Responses'!$A:$A,'Intake Responses'!$S:$S),"")</f>
        <v/>
      </c>
      <c r="S134" s="2" t="n"/>
      <c r="T134" s="2" t="n"/>
      <c r="U134" s="2" t="n"/>
      <c r="V134" s="2">
        <f>IFERROR(MIN(5,ROUND(((M134+O134)/2)+(IF(J134&gt;=20,2,IF(J134&gt;=10,1.5,IF(J134&gt;=5,1,IF(J134&gt;=1,0.5,0))))),1)),0)</f>
        <v/>
      </c>
      <c r="W134" s="2">
        <f>IFERROR(SWITCH(F134,"Multiple times per day",5,"Daily",4,"Weekly",3,"Monthly",2,"Quarterly",1,"Ad hoc",1,"Unknown",0),0)</f>
        <v/>
      </c>
      <c r="X134" s="2">
        <f>IFERROR(ROUND(AVERAGE(L134,N134),1),0)</f>
        <v/>
      </c>
      <c r="Y134" s="2">
        <f>IFERROR(SWITCH(U134,"High",3,"Medium",2,"Low",0,"Unknown",1,1)+IF(Q134="Yes",2,IF(Q134="Unsure",1,0)),0)</f>
        <v/>
      </c>
      <c r="Z134" s="2">
        <f>IFERROR(ROUND((V134*2)+(W134*1)+(X134*2)+(IF(T134="Easy",2,IF(T134="Medium",1,IF(T134="Hard",-1,0))))-(Y134*2),1),0)</f>
        <v/>
      </c>
      <c r="AA134" s="2">
        <f>IFERROR(IF(S134="Not a fit","Not a Fit",IF(Y134&gt;=5,"High Risk / Needs Review",IF(AND(Z134&gt;=18,T134="Easy"),"Quick Win",IF(AND(Z134&gt;=18,T134&lt;&gt;"Easy"),"Strategic Project",IF(Z134&gt;=10,"Discovery Needed","Process Issue"))))),"")</f>
        <v/>
      </c>
      <c r="AB134" s="2">
        <f>IFERROR(SWITCH(AA134,"Quick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4" s="2" t="n"/>
      <c r="AD134" s="2" t="n"/>
      <c r="AE134" s="2" t="n"/>
    </row>
    <row r="135" ht="25" customHeight="1">
      <c r="A135" s="3" t="n"/>
      <c r="B135" s="3">
        <f>IFERROR(XLOOKUP(A135,'Intake Responses'!$A:$A,'Intake Responses'!$E:$E),"")</f>
        <v/>
      </c>
      <c r="C135" s="3">
        <f>IFERROR(XLOOKUP(A135,'Intake Responses'!$A:$A,'Intake Responses'!$D:$D),"")</f>
        <v/>
      </c>
      <c r="D135" s="3">
        <f>IFERROR(XLOOKUP(A135,'Intake Responses'!$A:$A,'Intake Responses'!$F:$F),"")</f>
        <v/>
      </c>
      <c r="E135" s="3" t="n"/>
      <c r="F135" s="3">
        <f>IFERROR(XLOOKUP(A135,'Intake Responses'!$A:$A,'Intake Responses'!$M:$M),"")</f>
        <v/>
      </c>
      <c r="G135" s="3">
        <f>IFERROR(XLOOKUP(A135,'Intake Responses'!$A:$A,'Intake Responses'!$N:$N),"")</f>
        <v/>
      </c>
      <c r="H135" s="3">
        <f>IFERROR(XLOOKUP(A135,'Intake Responses'!$A:$A,'Intake Responses'!$O:$O),"")</f>
        <v/>
      </c>
      <c r="I135" s="3">
        <f>IFERROR(SWITCH(F135,"Multiple times per day",60,"Daily",20,"Weekly",4,"Monthly",1,"Quarterly",0.33,"Ad hoc",0.5,"Unknown",0),0)</f>
        <v/>
      </c>
      <c r="J135" s="3">
        <f>IFERROR((G135*H135*I135)/60,0)</f>
        <v/>
      </c>
      <c r="K135" s="3">
        <f>IFERROR(J135*12,0)</f>
        <v/>
      </c>
      <c r="L135" s="3">
        <f>IFERROR(XLOOKUP(A135,'Intake Responses'!$A:$A,'Intake Responses'!$T:$T),"")</f>
        <v/>
      </c>
      <c r="M135" s="3">
        <f>IFERROR(XLOOKUP(A135,'Intake Responses'!$A:$A,'Intake Responses'!$U:$U),"")</f>
        <v/>
      </c>
      <c r="N135" s="3">
        <f>IFERROR(XLOOKUP(A135,'Intake Responses'!$A:$A,'Intake Responses'!$V:$V),"")</f>
        <v/>
      </c>
      <c r="O135" s="3">
        <f>IFERROR(XLOOKUP(A135,'Intake Responses'!$A:$A,'Intake Responses'!$W:$W),"")</f>
        <v/>
      </c>
      <c r="P135" s="3">
        <f>IFERROR(XLOOKUP(A135,'Intake Responses'!$A:$A,'Intake Responses'!$X:$X),"")</f>
        <v/>
      </c>
      <c r="Q135" s="3">
        <f>IFERROR(XLOOKUP(A135,'Intake Responses'!$A:$A,'Intake Responses'!$AF:$AF),"")</f>
        <v/>
      </c>
      <c r="R135" s="3">
        <f>IFERROR(XLOOKUP(A135,'Intake Responses'!$A:$A,'Intake Responses'!$S:$S),"")</f>
        <v/>
      </c>
      <c r="S135" s="3" t="n"/>
      <c r="T135" s="3" t="n"/>
      <c r="U135" s="3" t="n"/>
      <c r="V135" s="3">
        <f>IFERROR(MIN(5,ROUND(((M135+O135)/2)+(IF(J135&gt;=20,2,IF(J135&gt;=10,1.5,IF(J135&gt;=5,1,IF(J135&gt;=1,0.5,0))))),1)),0)</f>
        <v/>
      </c>
      <c r="W135" s="3">
        <f>IFERROR(SWITCH(F135,"Multiple times per day",5,"Daily",4,"Weekly",3,"Monthly",2,"Quarterly",1,"Ad hoc",1,"Unknown",0),0)</f>
        <v/>
      </c>
      <c r="X135" s="3">
        <f>IFERROR(ROUND(AVERAGE(L135,N135),1),0)</f>
        <v/>
      </c>
      <c r="Y135" s="3">
        <f>IFERROR(SWITCH(U135,"High",3,"Medium",2,"Low",0,"Unknown",1,1)+IF(Q135="Yes",2,IF(Q135="Unsure",1,0)),0)</f>
        <v/>
      </c>
      <c r="Z135" s="3">
        <f>IFERROR(ROUND((V135*2)+(W135*1)+(X135*2)+(IF(T135="Easy",2,IF(T135="Medium",1,IF(T135="Hard",-1,0))))-(Y135*2),1),0)</f>
        <v/>
      </c>
      <c r="AA135" s="3">
        <f>IFERROR(IF(S135="Not a fit","Not a Fit",IF(Y135&gt;=5,"High Risk / Needs Review",IF(AND(Z135&gt;=18,T135="Easy"),"Quick Win",IF(AND(Z135&gt;=18,T135&lt;&gt;"Easy"),"Strategic Project",IF(Z135&gt;=10,"Discovery Needed","Process Issue"))))),"")</f>
        <v/>
      </c>
      <c r="AB135" s="3">
        <f>IFERROR(SWITCH(AA135,"Quick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5" s="3" t="n"/>
      <c r="AD135" s="3" t="n"/>
      <c r="AE135" s="3" t="n"/>
    </row>
    <row r="136" ht="25" customHeight="1">
      <c r="A136" s="2" t="n"/>
      <c r="B136" s="2">
        <f>IFERROR(XLOOKUP(A136,'Intake Responses'!$A:$A,'Intake Responses'!$E:$E),"")</f>
        <v/>
      </c>
      <c r="C136" s="2">
        <f>IFERROR(XLOOKUP(A136,'Intake Responses'!$A:$A,'Intake Responses'!$D:$D),"")</f>
        <v/>
      </c>
      <c r="D136" s="2">
        <f>IFERROR(XLOOKUP(A136,'Intake Responses'!$A:$A,'Intake Responses'!$F:$F),"")</f>
        <v/>
      </c>
      <c r="E136" s="2" t="n"/>
      <c r="F136" s="2">
        <f>IFERROR(XLOOKUP(A136,'Intake Responses'!$A:$A,'Intake Responses'!$M:$M),"")</f>
        <v/>
      </c>
      <c r="G136" s="2">
        <f>IFERROR(XLOOKUP(A136,'Intake Responses'!$A:$A,'Intake Responses'!$N:$N),"")</f>
        <v/>
      </c>
      <c r="H136" s="2">
        <f>IFERROR(XLOOKUP(A136,'Intake Responses'!$A:$A,'Intake Responses'!$O:$O),"")</f>
        <v/>
      </c>
      <c r="I136" s="2">
        <f>IFERROR(SWITCH(F136,"Multiple times per day",60,"Daily",20,"Weekly",4,"Monthly",1,"Quarterly",0.33,"Ad hoc",0.5,"Unknown",0),0)</f>
        <v/>
      </c>
      <c r="J136" s="2">
        <f>IFERROR((G136*H136*I136)/60,0)</f>
        <v/>
      </c>
      <c r="K136" s="2">
        <f>IFERROR(J136*12,0)</f>
        <v/>
      </c>
      <c r="L136" s="2">
        <f>IFERROR(XLOOKUP(A136,'Intake Responses'!$A:$A,'Intake Responses'!$T:$T),"")</f>
        <v/>
      </c>
      <c r="M136" s="2">
        <f>IFERROR(XLOOKUP(A136,'Intake Responses'!$A:$A,'Intake Responses'!$U:$U),"")</f>
        <v/>
      </c>
      <c r="N136" s="2">
        <f>IFERROR(XLOOKUP(A136,'Intake Responses'!$A:$A,'Intake Responses'!$V:$V),"")</f>
        <v/>
      </c>
      <c r="O136" s="2">
        <f>IFERROR(XLOOKUP(A136,'Intake Responses'!$A:$A,'Intake Responses'!$W:$W),"")</f>
        <v/>
      </c>
      <c r="P136" s="2">
        <f>IFERROR(XLOOKUP(A136,'Intake Responses'!$A:$A,'Intake Responses'!$X:$X),"")</f>
        <v/>
      </c>
      <c r="Q136" s="2">
        <f>IFERROR(XLOOKUP(A136,'Intake Responses'!$A:$A,'Intake Responses'!$AF:$AF),"")</f>
        <v/>
      </c>
      <c r="R136" s="2">
        <f>IFERROR(XLOOKUP(A136,'Intake Responses'!$A:$A,'Intake Responses'!$S:$S),"")</f>
        <v/>
      </c>
      <c r="S136" s="2" t="n"/>
      <c r="T136" s="2" t="n"/>
      <c r="U136" s="2" t="n"/>
      <c r="V136" s="2">
        <f>IFERROR(MIN(5,ROUND(((M136+O136)/2)+(IF(J136&gt;=20,2,IF(J136&gt;=10,1.5,IF(J136&gt;=5,1,IF(J136&gt;=1,0.5,0))))),1)),0)</f>
        <v/>
      </c>
      <c r="W136" s="2">
        <f>IFERROR(SWITCH(F136,"Multiple times per day",5,"Daily",4,"Weekly",3,"Monthly",2,"Quarterly",1,"Ad hoc",1,"Unknown",0),0)</f>
        <v/>
      </c>
      <c r="X136" s="2">
        <f>IFERROR(ROUND(AVERAGE(L136,N136),1),0)</f>
        <v/>
      </c>
      <c r="Y136" s="2">
        <f>IFERROR(SWITCH(U136,"High",3,"Medium",2,"Low",0,"Unknown",1,1)+IF(Q136="Yes",2,IF(Q136="Unsure",1,0)),0)</f>
        <v/>
      </c>
      <c r="Z136" s="2">
        <f>IFERROR(ROUND((V136*2)+(W136*1)+(X136*2)+(IF(T136="Easy",2,IF(T136="Medium",1,IF(T136="Hard",-1,0))))-(Y136*2),1),0)</f>
        <v/>
      </c>
      <c r="AA136" s="2">
        <f>IFERROR(IF(S136="Not a fit","Not a Fit",IF(Y136&gt;=5,"High Risk / Needs Review",IF(AND(Z136&gt;=18,T136="Easy"),"Quick Win",IF(AND(Z136&gt;=18,T136&lt;&gt;"Easy"),"Strategic Project",IF(Z136&gt;=10,"Discovery Needed","Process Issue"))))),"")</f>
        <v/>
      </c>
      <c r="AB136" s="2">
        <f>IFERROR(SWITCH(AA136,"Quick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6" s="2" t="n"/>
      <c r="AD136" s="2" t="n"/>
      <c r="AE136" s="2" t="n"/>
    </row>
    <row r="137" ht="25" customHeight="1">
      <c r="A137" s="3" t="n"/>
      <c r="B137" s="3">
        <f>IFERROR(XLOOKUP(A137,'Intake Responses'!$A:$A,'Intake Responses'!$E:$E),"")</f>
        <v/>
      </c>
      <c r="C137" s="3">
        <f>IFERROR(XLOOKUP(A137,'Intake Responses'!$A:$A,'Intake Responses'!$D:$D),"")</f>
        <v/>
      </c>
      <c r="D137" s="3">
        <f>IFERROR(XLOOKUP(A137,'Intake Responses'!$A:$A,'Intake Responses'!$F:$F),"")</f>
        <v/>
      </c>
      <c r="E137" s="3" t="n"/>
      <c r="F137" s="3">
        <f>IFERROR(XLOOKUP(A137,'Intake Responses'!$A:$A,'Intake Responses'!$M:$M),"")</f>
        <v/>
      </c>
      <c r="G137" s="3">
        <f>IFERROR(XLOOKUP(A137,'Intake Responses'!$A:$A,'Intake Responses'!$N:$N),"")</f>
        <v/>
      </c>
      <c r="H137" s="3">
        <f>IFERROR(XLOOKUP(A137,'Intake Responses'!$A:$A,'Intake Responses'!$O:$O),"")</f>
        <v/>
      </c>
      <c r="I137" s="3">
        <f>IFERROR(SWITCH(F137,"Multiple times per day",60,"Daily",20,"Weekly",4,"Monthly",1,"Quarterly",0.33,"Ad hoc",0.5,"Unknown",0),0)</f>
        <v/>
      </c>
      <c r="J137" s="3">
        <f>IFERROR((G137*H137*I137)/60,0)</f>
        <v/>
      </c>
      <c r="K137" s="3">
        <f>IFERROR(J137*12,0)</f>
        <v/>
      </c>
      <c r="L137" s="3">
        <f>IFERROR(XLOOKUP(A137,'Intake Responses'!$A:$A,'Intake Responses'!$T:$T),"")</f>
        <v/>
      </c>
      <c r="M137" s="3">
        <f>IFERROR(XLOOKUP(A137,'Intake Responses'!$A:$A,'Intake Responses'!$U:$U),"")</f>
        <v/>
      </c>
      <c r="N137" s="3">
        <f>IFERROR(XLOOKUP(A137,'Intake Responses'!$A:$A,'Intake Responses'!$V:$V),"")</f>
        <v/>
      </c>
      <c r="O137" s="3">
        <f>IFERROR(XLOOKUP(A137,'Intake Responses'!$A:$A,'Intake Responses'!$W:$W),"")</f>
        <v/>
      </c>
      <c r="P137" s="3">
        <f>IFERROR(XLOOKUP(A137,'Intake Responses'!$A:$A,'Intake Responses'!$X:$X),"")</f>
        <v/>
      </c>
      <c r="Q137" s="3">
        <f>IFERROR(XLOOKUP(A137,'Intake Responses'!$A:$A,'Intake Responses'!$AF:$AF),"")</f>
        <v/>
      </c>
      <c r="R137" s="3">
        <f>IFERROR(XLOOKUP(A137,'Intake Responses'!$A:$A,'Intake Responses'!$S:$S),"")</f>
        <v/>
      </c>
      <c r="S137" s="3" t="n"/>
      <c r="T137" s="3" t="n"/>
      <c r="U137" s="3" t="n"/>
      <c r="V137" s="3">
        <f>IFERROR(MIN(5,ROUND(((M137+O137)/2)+(IF(J137&gt;=20,2,IF(J137&gt;=10,1.5,IF(J137&gt;=5,1,IF(J137&gt;=1,0.5,0))))),1)),0)</f>
        <v/>
      </c>
      <c r="W137" s="3">
        <f>IFERROR(SWITCH(F137,"Multiple times per day",5,"Daily",4,"Weekly",3,"Monthly",2,"Quarterly",1,"Ad hoc",1,"Unknown",0),0)</f>
        <v/>
      </c>
      <c r="X137" s="3">
        <f>IFERROR(ROUND(AVERAGE(L137,N137),1),0)</f>
        <v/>
      </c>
      <c r="Y137" s="3">
        <f>IFERROR(SWITCH(U137,"High",3,"Medium",2,"Low",0,"Unknown",1,1)+IF(Q137="Yes",2,IF(Q137="Unsure",1,0)),0)</f>
        <v/>
      </c>
      <c r="Z137" s="3">
        <f>IFERROR(ROUND((V137*2)+(W137*1)+(X137*2)+(IF(T137="Easy",2,IF(T137="Medium",1,IF(T137="Hard",-1,0))))-(Y137*2),1),0)</f>
        <v/>
      </c>
      <c r="AA137" s="3">
        <f>IFERROR(IF(S137="Not a fit","Not a Fit",IF(Y137&gt;=5,"High Risk / Needs Review",IF(AND(Z137&gt;=18,T137="Easy"),"Quick Win",IF(AND(Z137&gt;=18,T137&lt;&gt;"Easy"),"Strategic Project",IF(Z137&gt;=10,"Discovery Needed","Process Issue"))))),"")</f>
        <v/>
      </c>
      <c r="AB137" s="3">
        <f>IFERROR(SWITCH(AA137,"Quick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7" s="3" t="n"/>
      <c r="AD137" s="3" t="n"/>
      <c r="AE137" s="3" t="n"/>
    </row>
    <row r="138" ht="25" customHeight="1">
      <c r="A138" s="2" t="n"/>
      <c r="B138" s="2">
        <f>IFERROR(XLOOKUP(A138,'Intake Responses'!$A:$A,'Intake Responses'!$E:$E),"")</f>
        <v/>
      </c>
      <c r="C138" s="2">
        <f>IFERROR(XLOOKUP(A138,'Intake Responses'!$A:$A,'Intake Responses'!$D:$D),"")</f>
        <v/>
      </c>
      <c r="D138" s="2">
        <f>IFERROR(XLOOKUP(A138,'Intake Responses'!$A:$A,'Intake Responses'!$F:$F),"")</f>
        <v/>
      </c>
      <c r="E138" s="2" t="n"/>
      <c r="F138" s="2">
        <f>IFERROR(XLOOKUP(A138,'Intake Responses'!$A:$A,'Intake Responses'!$M:$M),"")</f>
        <v/>
      </c>
      <c r="G138" s="2">
        <f>IFERROR(XLOOKUP(A138,'Intake Responses'!$A:$A,'Intake Responses'!$N:$N),"")</f>
        <v/>
      </c>
      <c r="H138" s="2">
        <f>IFERROR(XLOOKUP(A138,'Intake Responses'!$A:$A,'Intake Responses'!$O:$O),"")</f>
        <v/>
      </c>
      <c r="I138" s="2">
        <f>IFERROR(SWITCH(F138,"Multiple times per day",60,"Daily",20,"Weekly",4,"Monthly",1,"Quarterly",0.33,"Ad hoc",0.5,"Unknown",0),0)</f>
        <v/>
      </c>
      <c r="J138" s="2">
        <f>IFERROR((G138*H138*I138)/60,0)</f>
        <v/>
      </c>
      <c r="K138" s="2">
        <f>IFERROR(J138*12,0)</f>
        <v/>
      </c>
      <c r="L138" s="2">
        <f>IFERROR(XLOOKUP(A138,'Intake Responses'!$A:$A,'Intake Responses'!$T:$T),"")</f>
        <v/>
      </c>
      <c r="M138" s="2">
        <f>IFERROR(XLOOKUP(A138,'Intake Responses'!$A:$A,'Intake Responses'!$U:$U),"")</f>
        <v/>
      </c>
      <c r="N138" s="2">
        <f>IFERROR(XLOOKUP(A138,'Intake Responses'!$A:$A,'Intake Responses'!$V:$V),"")</f>
        <v/>
      </c>
      <c r="O138" s="2">
        <f>IFERROR(XLOOKUP(A138,'Intake Responses'!$A:$A,'Intake Responses'!$W:$W),"")</f>
        <v/>
      </c>
      <c r="P138" s="2">
        <f>IFERROR(XLOOKUP(A138,'Intake Responses'!$A:$A,'Intake Responses'!$X:$X),"")</f>
        <v/>
      </c>
      <c r="Q138" s="2">
        <f>IFERROR(XLOOKUP(A138,'Intake Responses'!$A:$A,'Intake Responses'!$AF:$AF),"")</f>
        <v/>
      </c>
      <c r="R138" s="2">
        <f>IFERROR(XLOOKUP(A138,'Intake Responses'!$A:$A,'Intake Responses'!$S:$S),"")</f>
        <v/>
      </c>
      <c r="S138" s="2" t="n"/>
      <c r="T138" s="2" t="n"/>
      <c r="U138" s="2" t="n"/>
      <c r="V138" s="2">
        <f>IFERROR(MIN(5,ROUND(((M138+O138)/2)+(IF(J138&gt;=20,2,IF(J138&gt;=10,1.5,IF(J138&gt;=5,1,IF(J138&gt;=1,0.5,0))))),1)),0)</f>
        <v/>
      </c>
      <c r="W138" s="2">
        <f>IFERROR(SWITCH(F138,"Multiple times per day",5,"Daily",4,"Weekly",3,"Monthly",2,"Quarterly",1,"Ad hoc",1,"Unknown",0),0)</f>
        <v/>
      </c>
      <c r="X138" s="2">
        <f>IFERROR(ROUND(AVERAGE(L138,N138),1),0)</f>
        <v/>
      </c>
      <c r="Y138" s="2">
        <f>IFERROR(SWITCH(U138,"High",3,"Medium",2,"Low",0,"Unknown",1,1)+IF(Q138="Yes",2,IF(Q138="Unsure",1,0)),0)</f>
        <v/>
      </c>
      <c r="Z138" s="2">
        <f>IFERROR(ROUND((V138*2)+(W138*1)+(X138*2)+(IF(T138="Easy",2,IF(T138="Medium",1,IF(T138="Hard",-1,0))))-(Y138*2),1),0)</f>
        <v/>
      </c>
      <c r="AA138" s="2">
        <f>IFERROR(IF(S138="Not a fit","Not a Fit",IF(Y138&gt;=5,"High Risk / Needs Review",IF(AND(Z138&gt;=18,T138="Easy"),"Quick Win",IF(AND(Z138&gt;=18,T138&lt;&gt;"Easy"),"Strategic Project",IF(Z138&gt;=10,"Discovery Needed","Process Issue"))))),"")</f>
        <v/>
      </c>
      <c r="AB138" s="2">
        <f>IFERROR(SWITCH(AA138,"Quick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8" s="2" t="n"/>
      <c r="AD138" s="2" t="n"/>
      <c r="AE138" s="2" t="n"/>
    </row>
    <row r="139" ht="25" customHeight="1">
      <c r="A139" s="3" t="n"/>
      <c r="B139" s="3">
        <f>IFERROR(XLOOKUP(A139,'Intake Responses'!$A:$A,'Intake Responses'!$E:$E),"")</f>
        <v/>
      </c>
      <c r="C139" s="3">
        <f>IFERROR(XLOOKUP(A139,'Intake Responses'!$A:$A,'Intake Responses'!$D:$D),"")</f>
        <v/>
      </c>
      <c r="D139" s="3">
        <f>IFERROR(XLOOKUP(A139,'Intake Responses'!$A:$A,'Intake Responses'!$F:$F),"")</f>
        <v/>
      </c>
      <c r="E139" s="3" t="n"/>
      <c r="F139" s="3">
        <f>IFERROR(XLOOKUP(A139,'Intake Responses'!$A:$A,'Intake Responses'!$M:$M),"")</f>
        <v/>
      </c>
      <c r="G139" s="3">
        <f>IFERROR(XLOOKUP(A139,'Intake Responses'!$A:$A,'Intake Responses'!$N:$N),"")</f>
        <v/>
      </c>
      <c r="H139" s="3">
        <f>IFERROR(XLOOKUP(A139,'Intake Responses'!$A:$A,'Intake Responses'!$O:$O),"")</f>
        <v/>
      </c>
      <c r="I139" s="3">
        <f>IFERROR(SWITCH(F139,"Multiple times per day",60,"Daily",20,"Weekly",4,"Monthly",1,"Quarterly",0.33,"Ad hoc",0.5,"Unknown",0),0)</f>
        <v/>
      </c>
      <c r="J139" s="3">
        <f>IFERROR((G139*H139*I139)/60,0)</f>
        <v/>
      </c>
      <c r="K139" s="3">
        <f>IFERROR(J139*12,0)</f>
        <v/>
      </c>
      <c r="L139" s="3">
        <f>IFERROR(XLOOKUP(A139,'Intake Responses'!$A:$A,'Intake Responses'!$T:$T),"")</f>
        <v/>
      </c>
      <c r="M139" s="3">
        <f>IFERROR(XLOOKUP(A139,'Intake Responses'!$A:$A,'Intake Responses'!$U:$U),"")</f>
        <v/>
      </c>
      <c r="N139" s="3">
        <f>IFERROR(XLOOKUP(A139,'Intake Responses'!$A:$A,'Intake Responses'!$V:$V),"")</f>
        <v/>
      </c>
      <c r="O139" s="3">
        <f>IFERROR(XLOOKUP(A139,'Intake Responses'!$A:$A,'Intake Responses'!$W:$W),"")</f>
        <v/>
      </c>
      <c r="P139" s="3">
        <f>IFERROR(XLOOKUP(A139,'Intake Responses'!$A:$A,'Intake Responses'!$X:$X),"")</f>
        <v/>
      </c>
      <c r="Q139" s="3">
        <f>IFERROR(XLOOKUP(A139,'Intake Responses'!$A:$A,'Intake Responses'!$AF:$AF),"")</f>
        <v/>
      </c>
      <c r="R139" s="3">
        <f>IFERROR(XLOOKUP(A139,'Intake Responses'!$A:$A,'Intake Responses'!$S:$S),"")</f>
        <v/>
      </c>
      <c r="S139" s="3" t="n"/>
      <c r="T139" s="3" t="n"/>
      <c r="U139" s="3" t="n"/>
      <c r="V139" s="3">
        <f>IFERROR(MIN(5,ROUND(((M139+O139)/2)+(IF(J139&gt;=20,2,IF(J139&gt;=10,1.5,IF(J139&gt;=5,1,IF(J139&gt;=1,0.5,0))))),1)),0)</f>
        <v/>
      </c>
      <c r="W139" s="3">
        <f>IFERROR(SWITCH(F139,"Multiple times per day",5,"Daily",4,"Weekly",3,"Monthly",2,"Quarterly",1,"Ad hoc",1,"Unknown",0),0)</f>
        <v/>
      </c>
      <c r="X139" s="3">
        <f>IFERROR(ROUND(AVERAGE(L139,N139),1),0)</f>
        <v/>
      </c>
      <c r="Y139" s="3">
        <f>IFERROR(SWITCH(U139,"High",3,"Medium",2,"Low",0,"Unknown",1,1)+IF(Q139="Yes",2,IF(Q139="Unsure",1,0)),0)</f>
        <v/>
      </c>
      <c r="Z139" s="3">
        <f>IFERROR(ROUND((V139*2)+(W139*1)+(X139*2)+(IF(T139="Easy",2,IF(T139="Medium",1,IF(T139="Hard",-1,0))))-(Y139*2),1),0)</f>
        <v/>
      </c>
      <c r="AA139" s="3">
        <f>IFERROR(IF(S139="Not a fit","Not a Fit",IF(Y139&gt;=5,"High Risk / Needs Review",IF(AND(Z139&gt;=18,T139="Easy"),"Quick Win",IF(AND(Z139&gt;=18,T139&lt;&gt;"Easy"),"Strategic Project",IF(Z139&gt;=10,"Discovery Needed","Process Issue"))))),"")</f>
        <v/>
      </c>
      <c r="AB139" s="3">
        <f>IFERROR(SWITCH(AA139,"Quick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39" s="3" t="n"/>
      <c r="AD139" s="3" t="n"/>
      <c r="AE139" s="3" t="n"/>
    </row>
    <row r="140" ht="25" customHeight="1">
      <c r="A140" s="2" t="n"/>
      <c r="B140" s="2">
        <f>IFERROR(XLOOKUP(A140,'Intake Responses'!$A:$A,'Intake Responses'!$E:$E),"")</f>
        <v/>
      </c>
      <c r="C140" s="2">
        <f>IFERROR(XLOOKUP(A140,'Intake Responses'!$A:$A,'Intake Responses'!$D:$D),"")</f>
        <v/>
      </c>
      <c r="D140" s="2">
        <f>IFERROR(XLOOKUP(A140,'Intake Responses'!$A:$A,'Intake Responses'!$F:$F),"")</f>
        <v/>
      </c>
      <c r="E140" s="2" t="n"/>
      <c r="F140" s="2">
        <f>IFERROR(XLOOKUP(A140,'Intake Responses'!$A:$A,'Intake Responses'!$M:$M),"")</f>
        <v/>
      </c>
      <c r="G140" s="2">
        <f>IFERROR(XLOOKUP(A140,'Intake Responses'!$A:$A,'Intake Responses'!$N:$N),"")</f>
        <v/>
      </c>
      <c r="H140" s="2">
        <f>IFERROR(XLOOKUP(A140,'Intake Responses'!$A:$A,'Intake Responses'!$O:$O),"")</f>
        <v/>
      </c>
      <c r="I140" s="2">
        <f>IFERROR(SWITCH(F140,"Multiple times per day",60,"Daily",20,"Weekly",4,"Monthly",1,"Quarterly",0.33,"Ad hoc",0.5,"Unknown",0),0)</f>
        <v/>
      </c>
      <c r="J140" s="2">
        <f>IFERROR((G140*H140*I140)/60,0)</f>
        <v/>
      </c>
      <c r="K140" s="2">
        <f>IFERROR(J140*12,0)</f>
        <v/>
      </c>
      <c r="L140" s="2">
        <f>IFERROR(XLOOKUP(A140,'Intake Responses'!$A:$A,'Intake Responses'!$T:$T),"")</f>
        <v/>
      </c>
      <c r="M140" s="2">
        <f>IFERROR(XLOOKUP(A140,'Intake Responses'!$A:$A,'Intake Responses'!$U:$U),"")</f>
        <v/>
      </c>
      <c r="N140" s="2">
        <f>IFERROR(XLOOKUP(A140,'Intake Responses'!$A:$A,'Intake Responses'!$V:$V),"")</f>
        <v/>
      </c>
      <c r="O140" s="2">
        <f>IFERROR(XLOOKUP(A140,'Intake Responses'!$A:$A,'Intake Responses'!$W:$W),"")</f>
        <v/>
      </c>
      <c r="P140" s="2">
        <f>IFERROR(XLOOKUP(A140,'Intake Responses'!$A:$A,'Intake Responses'!$X:$X),"")</f>
        <v/>
      </c>
      <c r="Q140" s="2">
        <f>IFERROR(XLOOKUP(A140,'Intake Responses'!$A:$A,'Intake Responses'!$AF:$AF),"")</f>
        <v/>
      </c>
      <c r="R140" s="2">
        <f>IFERROR(XLOOKUP(A140,'Intake Responses'!$A:$A,'Intake Responses'!$S:$S),"")</f>
        <v/>
      </c>
      <c r="S140" s="2" t="n"/>
      <c r="T140" s="2" t="n"/>
      <c r="U140" s="2" t="n"/>
      <c r="V140" s="2">
        <f>IFERROR(MIN(5,ROUND(((M140+O140)/2)+(IF(J140&gt;=20,2,IF(J140&gt;=10,1.5,IF(J140&gt;=5,1,IF(J140&gt;=1,0.5,0))))),1)),0)</f>
        <v/>
      </c>
      <c r="W140" s="2">
        <f>IFERROR(SWITCH(F140,"Multiple times per day",5,"Daily",4,"Weekly",3,"Monthly",2,"Quarterly",1,"Ad hoc",1,"Unknown",0),0)</f>
        <v/>
      </c>
      <c r="X140" s="2">
        <f>IFERROR(ROUND(AVERAGE(L140,N140),1),0)</f>
        <v/>
      </c>
      <c r="Y140" s="2">
        <f>IFERROR(SWITCH(U140,"High",3,"Medium",2,"Low",0,"Unknown",1,1)+IF(Q140="Yes",2,IF(Q140="Unsure",1,0)),0)</f>
        <v/>
      </c>
      <c r="Z140" s="2">
        <f>IFERROR(ROUND((V140*2)+(W140*1)+(X140*2)+(IF(T140="Easy",2,IF(T140="Medium",1,IF(T140="Hard",-1,0))))-(Y140*2),1),0)</f>
        <v/>
      </c>
      <c r="AA140" s="2">
        <f>IFERROR(IF(S140="Not a fit","Not a Fit",IF(Y140&gt;=5,"High Risk / Needs Review",IF(AND(Z140&gt;=18,T140="Easy"),"Quick Win",IF(AND(Z140&gt;=18,T140&lt;&gt;"Easy"),"Strategic Project",IF(Z140&gt;=10,"Discovery Needed","Process Issue"))))),"")</f>
        <v/>
      </c>
      <c r="AB140" s="2">
        <f>IFERROR(SWITCH(AA140,"Quick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0" s="2" t="n"/>
      <c r="AD140" s="2" t="n"/>
      <c r="AE140" s="2" t="n"/>
    </row>
    <row r="141" ht="25" customHeight="1">
      <c r="A141" s="3" t="n"/>
      <c r="B141" s="3">
        <f>IFERROR(XLOOKUP(A141,'Intake Responses'!$A:$A,'Intake Responses'!$E:$E),"")</f>
        <v/>
      </c>
      <c r="C141" s="3">
        <f>IFERROR(XLOOKUP(A141,'Intake Responses'!$A:$A,'Intake Responses'!$D:$D),"")</f>
        <v/>
      </c>
      <c r="D141" s="3">
        <f>IFERROR(XLOOKUP(A141,'Intake Responses'!$A:$A,'Intake Responses'!$F:$F),"")</f>
        <v/>
      </c>
      <c r="E141" s="3" t="n"/>
      <c r="F141" s="3">
        <f>IFERROR(XLOOKUP(A141,'Intake Responses'!$A:$A,'Intake Responses'!$M:$M),"")</f>
        <v/>
      </c>
      <c r="G141" s="3">
        <f>IFERROR(XLOOKUP(A141,'Intake Responses'!$A:$A,'Intake Responses'!$N:$N),"")</f>
        <v/>
      </c>
      <c r="H141" s="3">
        <f>IFERROR(XLOOKUP(A141,'Intake Responses'!$A:$A,'Intake Responses'!$O:$O),"")</f>
        <v/>
      </c>
      <c r="I141" s="3">
        <f>IFERROR(SWITCH(F141,"Multiple times per day",60,"Daily",20,"Weekly",4,"Monthly",1,"Quarterly",0.33,"Ad hoc",0.5,"Unknown",0),0)</f>
        <v/>
      </c>
      <c r="J141" s="3">
        <f>IFERROR((G141*H141*I141)/60,0)</f>
        <v/>
      </c>
      <c r="K141" s="3">
        <f>IFERROR(J141*12,0)</f>
        <v/>
      </c>
      <c r="L141" s="3">
        <f>IFERROR(XLOOKUP(A141,'Intake Responses'!$A:$A,'Intake Responses'!$T:$T),"")</f>
        <v/>
      </c>
      <c r="M141" s="3">
        <f>IFERROR(XLOOKUP(A141,'Intake Responses'!$A:$A,'Intake Responses'!$U:$U),"")</f>
        <v/>
      </c>
      <c r="N141" s="3">
        <f>IFERROR(XLOOKUP(A141,'Intake Responses'!$A:$A,'Intake Responses'!$V:$V),"")</f>
        <v/>
      </c>
      <c r="O141" s="3">
        <f>IFERROR(XLOOKUP(A141,'Intake Responses'!$A:$A,'Intake Responses'!$W:$W),"")</f>
        <v/>
      </c>
      <c r="P141" s="3">
        <f>IFERROR(XLOOKUP(A141,'Intake Responses'!$A:$A,'Intake Responses'!$X:$X),"")</f>
        <v/>
      </c>
      <c r="Q141" s="3">
        <f>IFERROR(XLOOKUP(A141,'Intake Responses'!$A:$A,'Intake Responses'!$AF:$AF),"")</f>
        <v/>
      </c>
      <c r="R141" s="3">
        <f>IFERROR(XLOOKUP(A141,'Intake Responses'!$A:$A,'Intake Responses'!$S:$S),"")</f>
        <v/>
      </c>
      <c r="S141" s="3" t="n"/>
      <c r="T141" s="3" t="n"/>
      <c r="U141" s="3" t="n"/>
      <c r="V141" s="3">
        <f>IFERROR(MIN(5,ROUND(((M141+O141)/2)+(IF(J141&gt;=20,2,IF(J141&gt;=10,1.5,IF(J141&gt;=5,1,IF(J141&gt;=1,0.5,0))))),1)),0)</f>
        <v/>
      </c>
      <c r="W141" s="3">
        <f>IFERROR(SWITCH(F141,"Multiple times per day",5,"Daily",4,"Weekly",3,"Monthly",2,"Quarterly",1,"Ad hoc",1,"Unknown",0),0)</f>
        <v/>
      </c>
      <c r="X141" s="3">
        <f>IFERROR(ROUND(AVERAGE(L141,N141),1),0)</f>
        <v/>
      </c>
      <c r="Y141" s="3">
        <f>IFERROR(SWITCH(U141,"High",3,"Medium",2,"Low",0,"Unknown",1,1)+IF(Q141="Yes",2,IF(Q141="Unsure",1,0)),0)</f>
        <v/>
      </c>
      <c r="Z141" s="3">
        <f>IFERROR(ROUND((V141*2)+(W141*1)+(X141*2)+(IF(T141="Easy",2,IF(T141="Medium",1,IF(T141="Hard",-1,0))))-(Y141*2),1),0)</f>
        <v/>
      </c>
      <c r="AA141" s="3">
        <f>IFERROR(IF(S141="Not a fit","Not a Fit",IF(Y141&gt;=5,"High Risk / Needs Review",IF(AND(Z141&gt;=18,T141="Easy"),"Quick Win",IF(AND(Z141&gt;=18,T141&lt;&gt;"Easy"),"Strategic Project",IF(Z141&gt;=10,"Discovery Needed","Process Issue"))))),"")</f>
        <v/>
      </c>
      <c r="AB141" s="3">
        <f>IFERROR(SWITCH(AA141,"Quick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1" s="3" t="n"/>
      <c r="AD141" s="3" t="n"/>
      <c r="AE141" s="3" t="n"/>
    </row>
    <row r="142" ht="25" customHeight="1">
      <c r="A142" s="2" t="n"/>
      <c r="B142" s="2">
        <f>IFERROR(XLOOKUP(A142,'Intake Responses'!$A:$A,'Intake Responses'!$E:$E),"")</f>
        <v/>
      </c>
      <c r="C142" s="2">
        <f>IFERROR(XLOOKUP(A142,'Intake Responses'!$A:$A,'Intake Responses'!$D:$D),"")</f>
        <v/>
      </c>
      <c r="D142" s="2">
        <f>IFERROR(XLOOKUP(A142,'Intake Responses'!$A:$A,'Intake Responses'!$F:$F),"")</f>
        <v/>
      </c>
      <c r="E142" s="2" t="n"/>
      <c r="F142" s="2">
        <f>IFERROR(XLOOKUP(A142,'Intake Responses'!$A:$A,'Intake Responses'!$M:$M),"")</f>
        <v/>
      </c>
      <c r="G142" s="2">
        <f>IFERROR(XLOOKUP(A142,'Intake Responses'!$A:$A,'Intake Responses'!$N:$N),"")</f>
        <v/>
      </c>
      <c r="H142" s="2">
        <f>IFERROR(XLOOKUP(A142,'Intake Responses'!$A:$A,'Intake Responses'!$O:$O),"")</f>
        <v/>
      </c>
      <c r="I142" s="2">
        <f>IFERROR(SWITCH(F142,"Multiple times per day",60,"Daily",20,"Weekly",4,"Monthly",1,"Quarterly",0.33,"Ad hoc",0.5,"Unknown",0),0)</f>
        <v/>
      </c>
      <c r="J142" s="2">
        <f>IFERROR((G142*H142*I142)/60,0)</f>
        <v/>
      </c>
      <c r="K142" s="2">
        <f>IFERROR(J142*12,0)</f>
        <v/>
      </c>
      <c r="L142" s="2">
        <f>IFERROR(XLOOKUP(A142,'Intake Responses'!$A:$A,'Intake Responses'!$T:$T),"")</f>
        <v/>
      </c>
      <c r="M142" s="2">
        <f>IFERROR(XLOOKUP(A142,'Intake Responses'!$A:$A,'Intake Responses'!$U:$U),"")</f>
        <v/>
      </c>
      <c r="N142" s="2">
        <f>IFERROR(XLOOKUP(A142,'Intake Responses'!$A:$A,'Intake Responses'!$V:$V),"")</f>
        <v/>
      </c>
      <c r="O142" s="2">
        <f>IFERROR(XLOOKUP(A142,'Intake Responses'!$A:$A,'Intake Responses'!$W:$W),"")</f>
        <v/>
      </c>
      <c r="P142" s="2">
        <f>IFERROR(XLOOKUP(A142,'Intake Responses'!$A:$A,'Intake Responses'!$X:$X),"")</f>
        <v/>
      </c>
      <c r="Q142" s="2">
        <f>IFERROR(XLOOKUP(A142,'Intake Responses'!$A:$A,'Intake Responses'!$AF:$AF),"")</f>
        <v/>
      </c>
      <c r="R142" s="2">
        <f>IFERROR(XLOOKUP(A142,'Intake Responses'!$A:$A,'Intake Responses'!$S:$S),"")</f>
        <v/>
      </c>
      <c r="S142" s="2" t="n"/>
      <c r="T142" s="2" t="n"/>
      <c r="U142" s="2" t="n"/>
      <c r="V142" s="2">
        <f>IFERROR(MIN(5,ROUND(((M142+O142)/2)+(IF(J142&gt;=20,2,IF(J142&gt;=10,1.5,IF(J142&gt;=5,1,IF(J142&gt;=1,0.5,0))))),1)),0)</f>
        <v/>
      </c>
      <c r="W142" s="2">
        <f>IFERROR(SWITCH(F142,"Multiple times per day",5,"Daily",4,"Weekly",3,"Monthly",2,"Quarterly",1,"Ad hoc",1,"Unknown",0),0)</f>
        <v/>
      </c>
      <c r="X142" s="2">
        <f>IFERROR(ROUND(AVERAGE(L142,N142),1),0)</f>
        <v/>
      </c>
      <c r="Y142" s="2">
        <f>IFERROR(SWITCH(U142,"High",3,"Medium",2,"Low",0,"Unknown",1,1)+IF(Q142="Yes",2,IF(Q142="Unsure",1,0)),0)</f>
        <v/>
      </c>
      <c r="Z142" s="2">
        <f>IFERROR(ROUND((V142*2)+(W142*1)+(X142*2)+(IF(T142="Easy",2,IF(T142="Medium",1,IF(T142="Hard",-1,0))))-(Y142*2),1),0)</f>
        <v/>
      </c>
      <c r="AA142" s="2">
        <f>IFERROR(IF(S142="Not a fit","Not a Fit",IF(Y142&gt;=5,"High Risk / Needs Review",IF(AND(Z142&gt;=18,T142="Easy"),"Quick Win",IF(AND(Z142&gt;=18,T142&lt;&gt;"Easy"),"Strategic Project",IF(Z142&gt;=10,"Discovery Needed","Process Issue"))))),"")</f>
        <v/>
      </c>
      <c r="AB142" s="2">
        <f>IFERROR(SWITCH(AA142,"Quick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2" s="2" t="n"/>
      <c r="AD142" s="2" t="n"/>
      <c r="AE142" s="2" t="n"/>
    </row>
    <row r="143" ht="25" customHeight="1">
      <c r="A143" s="3" t="n"/>
      <c r="B143" s="3">
        <f>IFERROR(XLOOKUP(A143,'Intake Responses'!$A:$A,'Intake Responses'!$E:$E),"")</f>
        <v/>
      </c>
      <c r="C143" s="3">
        <f>IFERROR(XLOOKUP(A143,'Intake Responses'!$A:$A,'Intake Responses'!$D:$D),"")</f>
        <v/>
      </c>
      <c r="D143" s="3">
        <f>IFERROR(XLOOKUP(A143,'Intake Responses'!$A:$A,'Intake Responses'!$F:$F),"")</f>
        <v/>
      </c>
      <c r="E143" s="3" t="n"/>
      <c r="F143" s="3">
        <f>IFERROR(XLOOKUP(A143,'Intake Responses'!$A:$A,'Intake Responses'!$M:$M),"")</f>
        <v/>
      </c>
      <c r="G143" s="3">
        <f>IFERROR(XLOOKUP(A143,'Intake Responses'!$A:$A,'Intake Responses'!$N:$N),"")</f>
        <v/>
      </c>
      <c r="H143" s="3">
        <f>IFERROR(XLOOKUP(A143,'Intake Responses'!$A:$A,'Intake Responses'!$O:$O),"")</f>
        <v/>
      </c>
      <c r="I143" s="3">
        <f>IFERROR(SWITCH(F143,"Multiple times per day",60,"Daily",20,"Weekly",4,"Monthly",1,"Quarterly",0.33,"Ad hoc",0.5,"Unknown",0),0)</f>
        <v/>
      </c>
      <c r="J143" s="3">
        <f>IFERROR((G143*H143*I143)/60,0)</f>
        <v/>
      </c>
      <c r="K143" s="3">
        <f>IFERROR(J143*12,0)</f>
        <v/>
      </c>
      <c r="L143" s="3">
        <f>IFERROR(XLOOKUP(A143,'Intake Responses'!$A:$A,'Intake Responses'!$T:$T),"")</f>
        <v/>
      </c>
      <c r="M143" s="3">
        <f>IFERROR(XLOOKUP(A143,'Intake Responses'!$A:$A,'Intake Responses'!$U:$U),"")</f>
        <v/>
      </c>
      <c r="N143" s="3">
        <f>IFERROR(XLOOKUP(A143,'Intake Responses'!$A:$A,'Intake Responses'!$V:$V),"")</f>
        <v/>
      </c>
      <c r="O143" s="3">
        <f>IFERROR(XLOOKUP(A143,'Intake Responses'!$A:$A,'Intake Responses'!$W:$W),"")</f>
        <v/>
      </c>
      <c r="P143" s="3">
        <f>IFERROR(XLOOKUP(A143,'Intake Responses'!$A:$A,'Intake Responses'!$X:$X),"")</f>
        <v/>
      </c>
      <c r="Q143" s="3">
        <f>IFERROR(XLOOKUP(A143,'Intake Responses'!$A:$A,'Intake Responses'!$AF:$AF),"")</f>
        <v/>
      </c>
      <c r="R143" s="3">
        <f>IFERROR(XLOOKUP(A143,'Intake Responses'!$A:$A,'Intake Responses'!$S:$S),"")</f>
        <v/>
      </c>
      <c r="S143" s="3" t="n"/>
      <c r="T143" s="3" t="n"/>
      <c r="U143" s="3" t="n"/>
      <c r="V143" s="3">
        <f>IFERROR(MIN(5,ROUND(((M143+O143)/2)+(IF(J143&gt;=20,2,IF(J143&gt;=10,1.5,IF(J143&gt;=5,1,IF(J143&gt;=1,0.5,0))))),1)),0)</f>
        <v/>
      </c>
      <c r="W143" s="3">
        <f>IFERROR(SWITCH(F143,"Multiple times per day",5,"Daily",4,"Weekly",3,"Monthly",2,"Quarterly",1,"Ad hoc",1,"Unknown",0),0)</f>
        <v/>
      </c>
      <c r="X143" s="3">
        <f>IFERROR(ROUND(AVERAGE(L143,N143),1),0)</f>
        <v/>
      </c>
      <c r="Y143" s="3">
        <f>IFERROR(SWITCH(U143,"High",3,"Medium",2,"Low",0,"Unknown",1,1)+IF(Q143="Yes",2,IF(Q143="Unsure",1,0)),0)</f>
        <v/>
      </c>
      <c r="Z143" s="3">
        <f>IFERROR(ROUND((V143*2)+(W143*1)+(X143*2)+(IF(T143="Easy",2,IF(T143="Medium",1,IF(T143="Hard",-1,0))))-(Y143*2),1),0)</f>
        <v/>
      </c>
      <c r="AA143" s="3">
        <f>IFERROR(IF(S143="Not a fit","Not a Fit",IF(Y143&gt;=5,"High Risk / Needs Review",IF(AND(Z143&gt;=18,T143="Easy"),"Quick Win",IF(AND(Z143&gt;=18,T143&lt;&gt;"Easy"),"Strategic Project",IF(Z143&gt;=10,"Discovery Needed","Process Issue"))))),"")</f>
        <v/>
      </c>
      <c r="AB143" s="3">
        <f>IFERROR(SWITCH(AA143,"Quick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3" s="3" t="n"/>
      <c r="AD143" s="3" t="n"/>
      <c r="AE143" s="3" t="n"/>
    </row>
    <row r="144" ht="25" customHeight="1">
      <c r="A144" s="2" t="n"/>
      <c r="B144" s="2">
        <f>IFERROR(XLOOKUP(A144,'Intake Responses'!$A:$A,'Intake Responses'!$E:$E),"")</f>
        <v/>
      </c>
      <c r="C144" s="2">
        <f>IFERROR(XLOOKUP(A144,'Intake Responses'!$A:$A,'Intake Responses'!$D:$D),"")</f>
        <v/>
      </c>
      <c r="D144" s="2">
        <f>IFERROR(XLOOKUP(A144,'Intake Responses'!$A:$A,'Intake Responses'!$F:$F),"")</f>
        <v/>
      </c>
      <c r="E144" s="2" t="n"/>
      <c r="F144" s="2">
        <f>IFERROR(XLOOKUP(A144,'Intake Responses'!$A:$A,'Intake Responses'!$M:$M),"")</f>
        <v/>
      </c>
      <c r="G144" s="2">
        <f>IFERROR(XLOOKUP(A144,'Intake Responses'!$A:$A,'Intake Responses'!$N:$N),"")</f>
        <v/>
      </c>
      <c r="H144" s="2">
        <f>IFERROR(XLOOKUP(A144,'Intake Responses'!$A:$A,'Intake Responses'!$O:$O),"")</f>
        <v/>
      </c>
      <c r="I144" s="2">
        <f>IFERROR(SWITCH(F144,"Multiple times per day",60,"Daily",20,"Weekly",4,"Monthly",1,"Quarterly",0.33,"Ad hoc",0.5,"Unknown",0),0)</f>
        <v/>
      </c>
      <c r="J144" s="2">
        <f>IFERROR((G144*H144*I144)/60,0)</f>
        <v/>
      </c>
      <c r="K144" s="2">
        <f>IFERROR(J144*12,0)</f>
        <v/>
      </c>
      <c r="L144" s="2">
        <f>IFERROR(XLOOKUP(A144,'Intake Responses'!$A:$A,'Intake Responses'!$T:$T),"")</f>
        <v/>
      </c>
      <c r="M144" s="2">
        <f>IFERROR(XLOOKUP(A144,'Intake Responses'!$A:$A,'Intake Responses'!$U:$U),"")</f>
        <v/>
      </c>
      <c r="N144" s="2">
        <f>IFERROR(XLOOKUP(A144,'Intake Responses'!$A:$A,'Intake Responses'!$V:$V),"")</f>
        <v/>
      </c>
      <c r="O144" s="2">
        <f>IFERROR(XLOOKUP(A144,'Intake Responses'!$A:$A,'Intake Responses'!$W:$W),"")</f>
        <v/>
      </c>
      <c r="P144" s="2">
        <f>IFERROR(XLOOKUP(A144,'Intake Responses'!$A:$A,'Intake Responses'!$X:$X),"")</f>
        <v/>
      </c>
      <c r="Q144" s="2">
        <f>IFERROR(XLOOKUP(A144,'Intake Responses'!$A:$A,'Intake Responses'!$AF:$AF),"")</f>
        <v/>
      </c>
      <c r="R144" s="2">
        <f>IFERROR(XLOOKUP(A144,'Intake Responses'!$A:$A,'Intake Responses'!$S:$S),"")</f>
        <v/>
      </c>
      <c r="S144" s="2" t="n"/>
      <c r="T144" s="2" t="n"/>
      <c r="U144" s="2" t="n"/>
      <c r="V144" s="2">
        <f>IFERROR(MIN(5,ROUND(((M144+O144)/2)+(IF(J144&gt;=20,2,IF(J144&gt;=10,1.5,IF(J144&gt;=5,1,IF(J144&gt;=1,0.5,0))))),1)),0)</f>
        <v/>
      </c>
      <c r="W144" s="2">
        <f>IFERROR(SWITCH(F144,"Multiple times per day",5,"Daily",4,"Weekly",3,"Monthly",2,"Quarterly",1,"Ad hoc",1,"Unknown",0),0)</f>
        <v/>
      </c>
      <c r="X144" s="2">
        <f>IFERROR(ROUND(AVERAGE(L144,N144),1),0)</f>
        <v/>
      </c>
      <c r="Y144" s="2">
        <f>IFERROR(SWITCH(U144,"High",3,"Medium",2,"Low",0,"Unknown",1,1)+IF(Q144="Yes",2,IF(Q144="Unsure",1,0)),0)</f>
        <v/>
      </c>
      <c r="Z144" s="2">
        <f>IFERROR(ROUND((V144*2)+(W144*1)+(X144*2)+(IF(T144="Easy",2,IF(T144="Medium",1,IF(T144="Hard",-1,0))))-(Y144*2),1),0)</f>
        <v/>
      </c>
      <c r="AA144" s="2">
        <f>IFERROR(IF(S144="Not a fit","Not a Fit",IF(Y144&gt;=5,"High Risk / Needs Review",IF(AND(Z144&gt;=18,T144="Easy"),"Quick Win",IF(AND(Z144&gt;=18,T144&lt;&gt;"Easy"),"Strategic Project",IF(Z144&gt;=10,"Discovery Needed","Process Issue"))))),"")</f>
        <v/>
      </c>
      <c r="AB144" s="2">
        <f>IFERROR(SWITCH(AA144,"Quick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4" s="2" t="n"/>
      <c r="AD144" s="2" t="n"/>
      <c r="AE144" s="2" t="n"/>
    </row>
    <row r="145" ht="25" customHeight="1">
      <c r="A145" s="3" t="n"/>
      <c r="B145" s="3">
        <f>IFERROR(XLOOKUP(A145,'Intake Responses'!$A:$A,'Intake Responses'!$E:$E),"")</f>
        <v/>
      </c>
      <c r="C145" s="3">
        <f>IFERROR(XLOOKUP(A145,'Intake Responses'!$A:$A,'Intake Responses'!$D:$D),"")</f>
        <v/>
      </c>
      <c r="D145" s="3">
        <f>IFERROR(XLOOKUP(A145,'Intake Responses'!$A:$A,'Intake Responses'!$F:$F),"")</f>
        <v/>
      </c>
      <c r="E145" s="3" t="n"/>
      <c r="F145" s="3">
        <f>IFERROR(XLOOKUP(A145,'Intake Responses'!$A:$A,'Intake Responses'!$M:$M),"")</f>
        <v/>
      </c>
      <c r="G145" s="3">
        <f>IFERROR(XLOOKUP(A145,'Intake Responses'!$A:$A,'Intake Responses'!$N:$N),"")</f>
        <v/>
      </c>
      <c r="H145" s="3">
        <f>IFERROR(XLOOKUP(A145,'Intake Responses'!$A:$A,'Intake Responses'!$O:$O),"")</f>
        <v/>
      </c>
      <c r="I145" s="3">
        <f>IFERROR(SWITCH(F145,"Multiple times per day",60,"Daily",20,"Weekly",4,"Monthly",1,"Quarterly",0.33,"Ad hoc",0.5,"Unknown",0),0)</f>
        <v/>
      </c>
      <c r="J145" s="3">
        <f>IFERROR((G145*H145*I145)/60,0)</f>
        <v/>
      </c>
      <c r="K145" s="3">
        <f>IFERROR(J145*12,0)</f>
        <v/>
      </c>
      <c r="L145" s="3">
        <f>IFERROR(XLOOKUP(A145,'Intake Responses'!$A:$A,'Intake Responses'!$T:$T),"")</f>
        <v/>
      </c>
      <c r="M145" s="3">
        <f>IFERROR(XLOOKUP(A145,'Intake Responses'!$A:$A,'Intake Responses'!$U:$U),"")</f>
        <v/>
      </c>
      <c r="N145" s="3">
        <f>IFERROR(XLOOKUP(A145,'Intake Responses'!$A:$A,'Intake Responses'!$V:$V),"")</f>
        <v/>
      </c>
      <c r="O145" s="3">
        <f>IFERROR(XLOOKUP(A145,'Intake Responses'!$A:$A,'Intake Responses'!$W:$W),"")</f>
        <v/>
      </c>
      <c r="P145" s="3">
        <f>IFERROR(XLOOKUP(A145,'Intake Responses'!$A:$A,'Intake Responses'!$X:$X),"")</f>
        <v/>
      </c>
      <c r="Q145" s="3">
        <f>IFERROR(XLOOKUP(A145,'Intake Responses'!$A:$A,'Intake Responses'!$AF:$AF),"")</f>
        <v/>
      </c>
      <c r="R145" s="3">
        <f>IFERROR(XLOOKUP(A145,'Intake Responses'!$A:$A,'Intake Responses'!$S:$S),"")</f>
        <v/>
      </c>
      <c r="S145" s="3" t="n"/>
      <c r="T145" s="3" t="n"/>
      <c r="U145" s="3" t="n"/>
      <c r="V145" s="3">
        <f>IFERROR(MIN(5,ROUND(((M145+O145)/2)+(IF(J145&gt;=20,2,IF(J145&gt;=10,1.5,IF(J145&gt;=5,1,IF(J145&gt;=1,0.5,0))))),1)),0)</f>
        <v/>
      </c>
      <c r="W145" s="3">
        <f>IFERROR(SWITCH(F145,"Multiple times per day",5,"Daily",4,"Weekly",3,"Monthly",2,"Quarterly",1,"Ad hoc",1,"Unknown",0),0)</f>
        <v/>
      </c>
      <c r="X145" s="3">
        <f>IFERROR(ROUND(AVERAGE(L145,N145),1),0)</f>
        <v/>
      </c>
      <c r="Y145" s="3">
        <f>IFERROR(SWITCH(U145,"High",3,"Medium",2,"Low",0,"Unknown",1,1)+IF(Q145="Yes",2,IF(Q145="Unsure",1,0)),0)</f>
        <v/>
      </c>
      <c r="Z145" s="3">
        <f>IFERROR(ROUND((V145*2)+(W145*1)+(X145*2)+(IF(T145="Easy",2,IF(T145="Medium",1,IF(T145="Hard",-1,0))))-(Y145*2),1),0)</f>
        <v/>
      </c>
      <c r="AA145" s="3">
        <f>IFERROR(IF(S145="Not a fit","Not a Fit",IF(Y145&gt;=5,"High Risk / Needs Review",IF(AND(Z145&gt;=18,T145="Easy"),"Quick Win",IF(AND(Z145&gt;=18,T145&lt;&gt;"Easy"),"Strategic Project",IF(Z145&gt;=10,"Discovery Needed","Process Issue"))))),"")</f>
        <v/>
      </c>
      <c r="AB145" s="3">
        <f>IFERROR(SWITCH(AA145,"Quick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5" s="3" t="n"/>
      <c r="AD145" s="3" t="n"/>
      <c r="AE145" s="3" t="n"/>
    </row>
    <row r="146" ht="25" customHeight="1">
      <c r="A146" s="2" t="n"/>
      <c r="B146" s="2">
        <f>IFERROR(XLOOKUP(A146,'Intake Responses'!$A:$A,'Intake Responses'!$E:$E),"")</f>
        <v/>
      </c>
      <c r="C146" s="2">
        <f>IFERROR(XLOOKUP(A146,'Intake Responses'!$A:$A,'Intake Responses'!$D:$D),"")</f>
        <v/>
      </c>
      <c r="D146" s="2">
        <f>IFERROR(XLOOKUP(A146,'Intake Responses'!$A:$A,'Intake Responses'!$F:$F),"")</f>
        <v/>
      </c>
      <c r="E146" s="2" t="n"/>
      <c r="F146" s="2">
        <f>IFERROR(XLOOKUP(A146,'Intake Responses'!$A:$A,'Intake Responses'!$M:$M),"")</f>
        <v/>
      </c>
      <c r="G146" s="2">
        <f>IFERROR(XLOOKUP(A146,'Intake Responses'!$A:$A,'Intake Responses'!$N:$N),"")</f>
        <v/>
      </c>
      <c r="H146" s="2">
        <f>IFERROR(XLOOKUP(A146,'Intake Responses'!$A:$A,'Intake Responses'!$O:$O),"")</f>
        <v/>
      </c>
      <c r="I146" s="2">
        <f>IFERROR(SWITCH(F146,"Multiple times per day",60,"Daily",20,"Weekly",4,"Monthly",1,"Quarterly",0.33,"Ad hoc",0.5,"Unknown",0),0)</f>
        <v/>
      </c>
      <c r="J146" s="2">
        <f>IFERROR((G146*H146*I146)/60,0)</f>
        <v/>
      </c>
      <c r="K146" s="2">
        <f>IFERROR(J146*12,0)</f>
        <v/>
      </c>
      <c r="L146" s="2">
        <f>IFERROR(XLOOKUP(A146,'Intake Responses'!$A:$A,'Intake Responses'!$T:$T),"")</f>
        <v/>
      </c>
      <c r="M146" s="2">
        <f>IFERROR(XLOOKUP(A146,'Intake Responses'!$A:$A,'Intake Responses'!$U:$U),"")</f>
        <v/>
      </c>
      <c r="N146" s="2">
        <f>IFERROR(XLOOKUP(A146,'Intake Responses'!$A:$A,'Intake Responses'!$V:$V),"")</f>
        <v/>
      </c>
      <c r="O146" s="2">
        <f>IFERROR(XLOOKUP(A146,'Intake Responses'!$A:$A,'Intake Responses'!$W:$W),"")</f>
        <v/>
      </c>
      <c r="P146" s="2">
        <f>IFERROR(XLOOKUP(A146,'Intake Responses'!$A:$A,'Intake Responses'!$X:$X),"")</f>
        <v/>
      </c>
      <c r="Q146" s="2">
        <f>IFERROR(XLOOKUP(A146,'Intake Responses'!$A:$A,'Intake Responses'!$AF:$AF),"")</f>
        <v/>
      </c>
      <c r="R146" s="2">
        <f>IFERROR(XLOOKUP(A146,'Intake Responses'!$A:$A,'Intake Responses'!$S:$S),"")</f>
        <v/>
      </c>
      <c r="S146" s="2" t="n"/>
      <c r="T146" s="2" t="n"/>
      <c r="U146" s="2" t="n"/>
      <c r="V146" s="2">
        <f>IFERROR(MIN(5,ROUND(((M146+O146)/2)+(IF(J146&gt;=20,2,IF(J146&gt;=10,1.5,IF(J146&gt;=5,1,IF(J146&gt;=1,0.5,0))))),1)),0)</f>
        <v/>
      </c>
      <c r="W146" s="2">
        <f>IFERROR(SWITCH(F146,"Multiple times per day",5,"Daily",4,"Weekly",3,"Monthly",2,"Quarterly",1,"Ad hoc",1,"Unknown",0),0)</f>
        <v/>
      </c>
      <c r="X146" s="2">
        <f>IFERROR(ROUND(AVERAGE(L146,N146),1),0)</f>
        <v/>
      </c>
      <c r="Y146" s="2">
        <f>IFERROR(SWITCH(U146,"High",3,"Medium",2,"Low",0,"Unknown",1,1)+IF(Q146="Yes",2,IF(Q146="Unsure",1,0)),0)</f>
        <v/>
      </c>
      <c r="Z146" s="2">
        <f>IFERROR(ROUND((V146*2)+(W146*1)+(X146*2)+(IF(T146="Easy",2,IF(T146="Medium",1,IF(T146="Hard",-1,0))))-(Y146*2),1),0)</f>
        <v/>
      </c>
      <c r="AA146" s="2">
        <f>IFERROR(IF(S146="Not a fit","Not a Fit",IF(Y146&gt;=5,"High Risk / Needs Review",IF(AND(Z146&gt;=18,T146="Easy"),"Quick Win",IF(AND(Z146&gt;=18,T146&lt;&gt;"Easy"),"Strategic Project",IF(Z146&gt;=10,"Discovery Needed","Process Issue"))))),"")</f>
        <v/>
      </c>
      <c r="AB146" s="2">
        <f>IFERROR(SWITCH(AA146,"Quick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6" s="2" t="n"/>
      <c r="AD146" s="2" t="n"/>
      <c r="AE146" s="2" t="n"/>
    </row>
    <row r="147" ht="25" customHeight="1">
      <c r="A147" s="3" t="n"/>
      <c r="B147" s="3">
        <f>IFERROR(XLOOKUP(A147,'Intake Responses'!$A:$A,'Intake Responses'!$E:$E),"")</f>
        <v/>
      </c>
      <c r="C147" s="3">
        <f>IFERROR(XLOOKUP(A147,'Intake Responses'!$A:$A,'Intake Responses'!$D:$D),"")</f>
        <v/>
      </c>
      <c r="D147" s="3">
        <f>IFERROR(XLOOKUP(A147,'Intake Responses'!$A:$A,'Intake Responses'!$F:$F),"")</f>
        <v/>
      </c>
      <c r="E147" s="3" t="n"/>
      <c r="F147" s="3">
        <f>IFERROR(XLOOKUP(A147,'Intake Responses'!$A:$A,'Intake Responses'!$M:$M),"")</f>
        <v/>
      </c>
      <c r="G147" s="3">
        <f>IFERROR(XLOOKUP(A147,'Intake Responses'!$A:$A,'Intake Responses'!$N:$N),"")</f>
        <v/>
      </c>
      <c r="H147" s="3">
        <f>IFERROR(XLOOKUP(A147,'Intake Responses'!$A:$A,'Intake Responses'!$O:$O),"")</f>
        <v/>
      </c>
      <c r="I147" s="3">
        <f>IFERROR(SWITCH(F147,"Multiple times per day",60,"Daily",20,"Weekly",4,"Monthly",1,"Quarterly",0.33,"Ad hoc",0.5,"Unknown",0),0)</f>
        <v/>
      </c>
      <c r="J147" s="3">
        <f>IFERROR((G147*H147*I147)/60,0)</f>
        <v/>
      </c>
      <c r="K147" s="3">
        <f>IFERROR(J147*12,0)</f>
        <v/>
      </c>
      <c r="L147" s="3">
        <f>IFERROR(XLOOKUP(A147,'Intake Responses'!$A:$A,'Intake Responses'!$T:$T),"")</f>
        <v/>
      </c>
      <c r="M147" s="3">
        <f>IFERROR(XLOOKUP(A147,'Intake Responses'!$A:$A,'Intake Responses'!$U:$U),"")</f>
        <v/>
      </c>
      <c r="N147" s="3">
        <f>IFERROR(XLOOKUP(A147,'Intake Responses'!$A:$A,'Intake Responses'!$V:$V),"")</f>
        <v/>
      </c>
      <c r="O147" s="3">
        <f>IFERROR(XLOOKUP(A147,'Intake Responses'!$A:$A,'Intake Responses'!$W:$W),"")</f>
        <v/>
      </c>
      <c r="P147" s="3">
        <f>IFERROR(XLOOKUP(A147,'Intake Responses'!$A:$A,'Intake Responses'!$X:$X),"")</f>
        <v/>
      </c>
      <c r="Q147" s="3">
        <f>IFERROR(XLOOKUP(A147,'Intake Responses'!$A:$A,'Intake Responses'!$AF:$AF),"")</f>
        <v/>
      </c>
      <c r="R147" s="3">
        <f>IFERROR(XLOOKUP(A147,'Intake Responses'!$A:$A,'Intake Responses'!$S:$S),"")</f>
        <v/>
      </c>
      <c r="S147" s="3" t="n"/>
      <c r="T147" s="3" t="n"/>
      <c r="U147" s="3" t="n"/>
      <c r="V147" s="3">
        <f>IFERROR(MIN(5,ROUND(((M147+O147)/2)+(IF(J147&gt;=20,2,IF(J147&gt;=10,1.5,IF(J147&gt;=5,1,IF(J147&gt;=1,0.5,0))))),1)),0)</f>
        <v/>
      </c>
      <c r="W147" s="3">
        <f>IFERROR(SWITCH(F147,"Multiple times per day",5,"Daily",4,"Weekly",3,"Monthly",2,"Quarterly",1,"Ad hoc",1,"Unknown",0),0)</f>
        <v/>
      </c>
      <c r="X147" s="3">
        <f>IFERROR(ROUND(AVERAGE(L147,N147),1),0)</f>
        <v/>
      </c>
      <c r="Y147" s="3">
        <f>IFERROR(SWITCH(U147,"High",3,"Medium",2,"Low",0,"Unknown",1,1)+IF(Q147="Yes",2,IF(Q147="Unsure",1,0)),0)</f>
        <v/>
      </c>
      <c r="Z147" s="3">
        <f>IFERROR(ROUND((V147*2)+(W147*1)+(X147*2)+(IF(T147="Easy",2,IF(T147="Medium",1,IF(T147="Hard",-1,0))))-(Y147*2),1),0)</f>
        <v/>
      </c>
      <c r="AA147" s="3">
        <f>IFERROR(IF(S147="Not a fit","Not a Fit",IF(Y147&gt;=5,"High Risk / Needs Review",IF(AND(Z147&gt;=18,T147="Easy"),"Quick Win",IF(AND(Z147&gt;=18,T147&lt;&gt;"Easy"),"Strategic Project",IF(Z147&gt;=10,"Discovery Needed","Process Issue"))))),"")</f>
        <v/>
      </c>
      <c r="AB147" s="3">
        <f>IFERROR(SWITCH(AA147,"Quick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7" s="3" t="n"/>
      <c r="AD147" s="3" t="n"/>
      <c r="AE147" s="3" t="n"/>
    </row>
    <row r="148" ht="25" customHeight="1">
      <c r="A148" s="2" t="n"/>
      <c r="B148" s="2">
        <f>IFERROR(XLOOKUP(A148,'Intake Responses'!$A:$A,'Intake Responses'!$E:$E),"")</f>
        <v/>
      </c>
      <c r="C148" s="2">
        <f>IFERROR(XLOOKUP(A148,'Intake Responses'!$A:$A,'Intake Responses'!$D:$D),"")</f>
        <v/>
      </c>
      <c r="D148" s="2">
        <f>IFERROR(XLOOKUP(A148,'Intake Responses'!$A:$A,'Intake Responses'!$F:$F),"")</f>
        <v/>
      </c>
      <c r="E148" s="2" t="n"/>
      <c r="F148" s="2">
        <f>IFERROR(XLOOKUP(A148,'Intake Responses'!$A:$A,'Intake Responses'!$M:$M),"")</f>
        <v/>
      </c>
      <c r="G148" s="2">
        <f>IFERROR(XLOOKUP(A148,'Intake Responses'!$A:$A,'Intake Responses'!$N:$N),"")</f>
        <v/>
      </c>
      <c r="H148" s="2">
        <f>IFERROR(XLOOKUP(A148,'Intake Responses'!$A:$A,'Intake Responses'!$O:$O),"")</f>
        <v/>
      </c>
      <c r="I148" s="2">
        <f>IFERROR(SWITCH(F148,"Multiple times per day",60,"Daily",20,"Weekly",4,"Monthly",1,"Quarterly",0.33,"Ad hoc",0.5,"Unknown",0),0)</f>
        <v/>
      </c>
      <c r="J148" s="2">
        <f>IFERROR((G148*H148*I148)/60,0)</f>
        <v/>
      </c>
      <c r="K148" s="2">
        <f>IFERROR(J148*12,0)</f>
        <v/>
      </c>
      <c r="L148" s="2">
        <f>IFERROR(XLOOKUP(A148,'Intake Responses'!$A:$A,'Intake Responses'!$T:$T),"")</f>
        <v/>
      </c>
      <c r="M148" s="2">
        <f>IFERROR(XLOOKUP(A148,'Intake Responses'!$A:$A,'Intake Responses'!$U:$U),"")</f>
        <v/>
      </c>
      <c r="N148" s="2">
        <f>IFERROR(XLOOKUP(A148,'Intake Responses'!$A:$A,'Intake Responses'!$V:$V),"")</f>
        <v/>
      </c>
      <c r="O148" s="2">
        <f>IFERROR(XLOOKUP(A148,'Intake Responses'!$A:$A,'Intake Responses'!$W:$W),"")</f>
        <v/>
      </c>
      <c r="P148" s="2">
        <f>IFERROR(XLOOKUP(A148,'Intake Responses'!$A:$A,'Intake Responses'!$X:$X),"")</f>
        <v/>
      </c>
      <c r="Q148" s="2">
        <f>IFERROR(XLOOKUP(A148,'Intake Responses'!$A:$A,'Intake Responses'!$AF:$AF),"")</f>
        <v/>
      </c>
      <c r="R148" s="2">
        <f>IFERROR(XLOOKUP(A148,'Intake Responses'!$A:$A,'Intake Responses'!$S:$S),"")</f>
        <v/>
      </c>
      <c r="S148" s="2" t="n"/>
      <c r="T148" s="2" t="n"/>
      <c r="U148" s="2" t="n"/>
      <c r="V148" s="2">
        <f>IFERROR(MIN(5,ROUND(((M148+O148)/2)+(IF(J148&gt;=20,2,IF(J148&gt;=10,1.5,IF(J148&gt;=5,1,IF(J148&gt;=1,0.5,0))))),1)),0)</f>
        <v/>
      </c>
      <c r="W148" s="2">
        <f>IFERROR(SWITCH(F148,"Multiple times per day",5,"Daily",4,"Weekly",3,"Monthly",2,"Quarterly",1,"Ad hoc",1,"Unknown",0),0)</f>
        <v/>
      </c>
      <c r="X148" s="2">
        <f>IFERROR(ROUND(AVERAGE(L148,N148),1),0)</f>
        <v/>
      </c>
      <c r="Y148" s="2">
        <f>IFERROR(SWITCH(U148,"High",3,"Medium",2,"Low",0,"Unknown",1,1)+IF(Q148="Yes",2,IF(Q148="Unsure",1,0)),0)</f>
        <v/>
      </c>
      <c r="Z148" s="2">
        <f>IFERROR(ROUND((V148*2)+(W148*1)+(X148*2)+(IF(T148="Easy",2,IF(T148="Medium",1,IF(T148="Hard",-1,0))))-(Y148*2),1),0)</f>
        <v/>
      </c>
      <c r="AA148" s="2">
        <f>IFERROR(IF(S148="Not a fit","Not a Fit",IF(Y148&gt;=5,"High Risk / Needs Review",IF(AND(Z148&gt;=18,T148="Easy"),"Quick Win",IF(AND(Z148&gt;=18,T148&lt;&gt;"Easy"),"Strategic Project",IF(Z148&gt;=10,"Discovery Needed","Process Issue"))))),"")</f>
        <v/>
      </c>
      <c r="AB148" s="2">
        <f>IFERROR(SWITCH(AA148,"Quick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8" s="2" t="n"/>
      <c r="AD148" s="2" t="n"/>
      <c r="AE148" s="2" t="n"/>
    </row>
    <row r="149" ht="25" customHeight="1">
      <c r="A149" s="3" t="n"/>
      <c r="B149" s="3">
        <f>IFERROR(XLOOKUP(A149,'Intake Responses'!$A:$A,'Intake Responses'!$E:$E),"")</f>
        <v/>
      </c>
      <c r="C149" s="3">
        <f>IFERROR(XLOOKUP(A149,'Intake Responses'!$A:$A,'Intake Responses'!$D:$D),"")</f>
        <v/>
      </c>
      <c r="D149" s="3">
        <f>IFERROR(XLOOKUP(A149,'Intake Responses'!$A:$A,'Intake Responses'!$F:$F),"")</f>
        <v/>
      </c>
      <c r="E149" s="3" t="n"/>
      <c r="F149" s="3">
        <f>IFERROR(XLOOKUP(A149,'Intake Responses'!$A:$A,'Intake Responses'!$M:$M),"")</f>
        <v/>
      </c>
      <c r="G149" s="3">
        <f>IFERROR(XLOOKUP(A149,'Intake Responses'!$A:$A,'Intake Responses'!$N:$N),"")</f>
        <v/>
      </c>
      <c r="H149" s="3">
        <f>IFERROR(XLOOKUP(A149,'Intake Responses'!$A:$A,'Intake Responses'!$O:$O),"")</f>
        <v/>
      </c>
      <c r="I149" s="3">
        <f>IFERROR(SWITCH(F149,"Multiple times per day",60,"Daily",20,"Weekly",4,"Monthly",1,"Quarterly",0.33,"Ad hoc",0.5,"Unknown",0),0)</f>
        <v/>
      </c>
      <c r="J149" s="3">
        <f>IFERROR((G149*H149*I149)/60,0)</f>
        <v/>
      </c>
      <c r="K149" s="3">
        <f>IFERROR(J149*12,0)</f>
        <v/>
      </c>
      <c r="L149" s="3">
        <f>IFERROR(XLOOKUP(A149,'Intake Responses'!$A:$A,'Intake Responses'!$T:$T),"")</f>
        <v/>
      </c>
      <c r="M149" s="3">
        <f>IFERROR(XLOOKUP(A149,'Intake Responses'!$A:$A,'Intake Responses'!$U:$U),"")</f>
        <v/>
      </c>
      <c r="N149" s="3">
        <f>IFERROR(XLOOKUP(A149,'Intake Responses'!$A:$A,'Intake Responses'!$V:$V),"")</f>
        <v/>
      </c>
      <c r="O149" s="3">
        <f>IFERROR(XLOOKUP(A149,'Intake Responses'!$A:$A,'Intake Responses'!$W:$W),"")</f>
        <v/>
      </c>
      <c r="P149" s="3">
        <f>IFERROR(XLOOKUP(A149,'Intake Responses'!$A:$A,'Intake Responses'!$X:$X),"")</f>
        <v/>
      </c>
      <c r="Q149" s="3">
        <f>IFERROR(XLOOKUP(A149,'Intake Responses'!$A:$A,'Intake Responses'!$AF:$AF),"")</f>
        <v/>
      </c>
      <c r="R149" s="3">
        <f>IFERROR(XLOOKUP(A149,'Intake Responses'!$A:$A,'Intake Responses'!$S:$S),"")</f>
        <v/>
      </c>
      <c r="S149" s="3" t="n"/>
      <c r="T149" s="3" t="n"/>
      <c r="U149" s="3" t="n"/>
      <c r="V149" s="3">
        <f>IFERROR(MIN(5,ROUND(((M149+O149)/2)+(IF(J149&gt;=20,2,IF(J149&gt;=10,1.5,IF(J149&gt;=5,1,IF(J149&gt;=1,0.5,0))))),1)),0)</f>
        <v/>
      </c>
      <c r="W149" s="3">
        <f>IFERROR(SWITCH(F149,"Multiple times per day",5,"Daily",4,"Weekly",3,"Monthly",2,"Quarterly",1,"Ad hoc",1,"Unknown",0),0)</f>
        <v/>
      </c>
      <c r="X149" s="3">
        <f>IFERROR(ROUND(AVERAGE(L149,N149),1),0)</f>
        <v/>
      </c>
      <c r="Y149" s="3">
        <f>IFERROR(SWITCH(U149,"High",3,"Medium",2,"Low",0,"Unknown",1,1)+IF(Q149="Yes",2,IF(Q149="Unsure",1,0)),0)</f>
        <v/>
      </c>
      <c r="Z149" s="3">
        <f>IFERROR(ROUND((V149*2)+(W149*1)+(X149*2)+(IF(T149="Easy",2,IF(T149="Medium",1,IF(T149="Hard",-1,0))))-(Y149*2),1),0)</f>
        <v/>
      </c>
      <c r="AA149" s="3">
        <f>IFERROR(IF(S149="Not a fit","Not a Fit",IF(Y149&gt;=5,"High Risk / Needs Review",IF(AND(Z149&gt;=18,T149="Easy"),"Quick Win",IF(AND(Z149&gt;=18,T149&lt;&gt;"Easy"),"Strategic Project",IF(Z149&gt;=10,"Discovery Needed","Process Issue"))))),"")</f>
        <v/>
      </c>
      <c r="AB149" s="3">
        <f>IFERROR(SWITCH(AA149,"Quick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49" s="3" t="n"/>
      <c r="AD149" s="3" t="n"/>
      <c r="AE149" s="3" t="n"/>
    </row>
    <row r="150" ht="25" customHeight="1">
      <c r="A150" s="2" t="n"/>
      <c r="B150" s="2">
        <f>IFERROR(XLOOKUP(A150,'Intake Responses'!$A:$A,'Intake Responses'!$E:$E),"")</f>
        <v/>
      </c>
      <c r="C150" s="2">
        <f>IFERROR(XLOOKUP(A150,'Intake Responses'!$A:$A,'Intake Responses'!$D:$D),"")</f>
        <v/>
      </c>
      <c r="D150" s="2">
        <f>IFERROR(XLOOKUP(A150,'Intake Responses'!$A:$A,'Intake Responses'!$F:$F),"")</f>
        <v/>
      </c>
      <c r="E150" s="2" t="n"/>
      <c r="F150" s="2">
        <f>IFERROR(XLOOKUP(A150,'Intake Responses'!$A:$A,'Intake Responses'!$M:$M),"")</f>
        <v/>
      </c>
      <c r="G150" s="2">
        <f>IFERROR(XLOOKUP(A150,'Intake Responses'!$A:$A,'Intake Responses'!$N:$N),"")</f>
        <v/>
      </c>
      <c r="H150" s="2">
        <f>IFERROR(XLOOKUP(A150,'Intake Responses'!$A:$A,'Intake Responses'!$O:$O),"")</f>
        <v/>
      </c>
      <c r="I150" s="2">
        <f>IFERROR(SWITCH(F150,"Multiple times per day",60,"Daily",20,"Weekly",4,"Monthly",1,"Quarterly",0.33,"Ad hoc",0.5,"Unknown",0),0)</f>
        <v/>
      </c>
      <c r="J150" s="2">
        <f>IFERROR((G150*H150*I150)/60,0)</f>
        <v/>
      </c>
      <c r="K150" s="2">
        <f>IFERROR(J150*12,0)</f>
        <v/>
      </c>
      <c r="L150" s="2">
        <f>IFERROR(XLOOKUP(A150,'Intake Responses'!$A:$A,'Intake Responses'!$T:$T),"")</f>
        <v/>
      </c>
      <c r="M150" s="2">
        <f>IFERROR(XLOOKUP(A150,'Intake Responses'!$A:$A,'Intake Responses'!$U:$U),"")</f>
        <v/>
      </c>
      <c r="N150" s="2">
        <f>IFERROR(XLOOKUP(A150,'Intake Responses'!$A:$A,'Intake Responses'!$V:$V),"")</f>
        <v/>
      </c>
      <c r="O150" s="2">
        <f>IFERROR(XLOOKUP(A150,'Intake Responses'!$A:$A,'Intake Responses'!$W:$W),"")</f>
        <v/>
      </c>
      <c r="P150" s="2">
        <f>IFERROR(XLOOKUP(A150,'Intake Responses'!$A:$A,'Intake Responses'!$X:$X),"")</f>
        <v/>
      </c>
      <c r="Q150" s="2">
        <f>IFERROR(XLOOKUP(A150,'Intake Responses'!$A:$A,'Intake Responses'!$AF:$AF),"")</f>
        <v/>
      </c>
      <c r="R150" s="2">
        <f>IFERROR(XLOOKUP(A150,'Intake Responses'!$A:$A,'Intake Responses'!$S:$S),"")</f>
        <v/>
      </c>
      <c r="S150" s="2" t="n"/>
      <c r="T150" s="2" t="n"/>
      <c r="U150" s="2" t="n"/>
      <c r="V150" s="2">
        <f>IFERROR(MIN(5,ROUND(((M150+O150)/2)+(IF(J150&gt;=20,2,IF(J150&gt;=10,1.5,IF(J150&gt;=5,1,IF(J150&gt;=1,0.5,0))))),1)),0)</f>
        <v/>
      </c>
      <c r="W150" s="2">
        <f>IFERROR(SWITCH(F150,"Multiple times per day",5,"Daily",4,"Weekly",3,"Monthly",2,"Quarterly",1,"Ad hoc",1,"Unknown",0),0)</f>
        <v/>
      </c>
      <c r="X150" s="2">
        <f>IFERROR(ROUND(AVERAGE(L150,N150),1),0)</f>
        <v/>
      </c>
      <c r="Y150" s="2">
        <f>IFERROR(SWITCH(U150,"High",3,"Medium",2,"Low",0,"Unknown",1,1)+IF(Q150="Yes",2,IF(Q150="Unsure",1,0)),0)</f>
        <v/>
      </c>
      <c r="Z150" s="2">
        <f>IFERROR(ROUND((V150*2)+(W150*1)+(X150*2)+(IF(T150="Easy",2,IF(T150="Medium",1,IF(T150="Hard",-1,0))))-(Y150*2),1),0)</f>
        <v/>
      </c>
      <c r="AA150" s="2">
        <f>IFERROR(IF(S150="Not a fit","Not a Fit",IF(Y150&gt;=5,"High Risk / Needs Review",IF(AND(Z150&gt;=18,T150="Easy"),"Quick Win",IF(AND(Z150&gt;=18,T150&lt;&gt;"Easy"),"Strategic Project",IF(Z150&gt;=10,"Discovery Needed","Process Issue"))))),"")</f>
        <v/>
      </c>
      <c r="AB150" s="2">
        <f>IFERROR(SWITCH(AA150,"Quick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0" s="2" t="n"/>
      <c r="AD150" s="2" t="n"/>
      <c r="AE150" s="2" t="n"/>
    </row>
    <row r="151" ht="25" customHeight="1">
      <c r="A151" s="3" t="n"/>
      <c r="B151" s="3">
        <f>IFERROR(XLOOKUP(A151,'Intake Responses'!$A:$A,'Intake Responses'!$E:$E),"")</f>
        <v/>
      </c>
      <c r="C151" s="3">
        <f>IFERROR(XLOOKUP(A151,'Intake Responses'!$A:$A,'Intake Responses'!$D:$D),"")</f>
        <v/>
      </c>
      <c r="D151" s="3">
        <f>IFERROR(XLOOKUP(A151,'Intake Responses'!$A:$A,'Intake Responses'!$F:$F),"")</f>
        <v/>
      </c>
      <c r="E151" s="3" t="n"/>
      <c r="F151" s="3">
        <f>IFERROR(XLOOKUP(A151,'Intake Responses'!$A:$A,'Intake Responses'!$M:$M),"")</f>
        <v/>
      </c>
      <c r="G151" s="3">
        <f>IFERROR(XLOOKUP(A151,'Intake Responses'!$A:$A,'Intake Responses'!$N:$N),"")</f>
        <v/>
      </c>
      <c r="H151" s="3">
        <f>IFERROR(XLOOKUP(A151,'Intake Responses'!$A:$A,'Intake Responses'!$O:$O),"")</f>
        <v/>
      </c>
      <c r="I151" s="3">
        <f>IFERROR(SWITCH(F151,"Multiple times per day",60,"Daily",20,"Weekly",4,"Monthly",1,"Quarterly",0.33,"Ad hoc",0.5,"Unknown",0),0)</f>
        <v/>
      </c>
      <c r="J151" s="3">
        <f>IFERROR((G151*H151*I151)/60,0)</f>
        <v/>
      </c>
      <c r="K151" s="3">
        <f>IFERROR(J151*12,0)</f>
        <v/>
      </c>
      <c r="L151" s="3">
        <f>IFERROR(XLOOKUP(A151,'Intake Responses'!$A:$A,'Intake Responses'!$T:$T),"")</f>
        <v/>
      </c>
      <c r="M151" s="3">
        <f>IFERROR(XLOOKUP(A151,'Intake Responses'!$A:$A,'Intake Responses'!$U:$U),"")</f>
        <v/>
      </c>
      <c r="N151" s="3">
        <f>IFERROR(XLOOKUP(A151,'Intake Responses'!$A:$A,'Intake Responses'!$V:$V),"")</f>
        <v/>
      </c>
      <c r="O151" s="3">
        <f>IFERROR(XLOOKUP(A151,'Intake Responses'!$A:$A,'Intake Responses'!$W:$W),"")</f>
        <v/>
      </c>
      <c r="P151" s="3">
        <f>IFERROR(XLOOKUP(A151,'Intake Responses'!$A:$A,'Intake Responses'!$X:$X),"")</f>
        <v/>
      </c>
      <c r="Q151" s="3">
        <f>IFERROR(XLOOKUP(A151,'Intake Responses'!$A:$A,'Intake Responses'!$AF:$AF),"")</f>
        <v/>
      </c>
      <c r="R151" s="3">
        <f>IFERROR(XLOOKUP(A151,'Intake Responses'!$A:$A,'Intake Responses'!$S:$S),"")</f>
        <v/>
      </c>
      <c r="S151" s="3" t="n"/>
      <c r="T151" s="3" t="n"/>
      <c r="U151" s="3" t="n"/>
      <c r="V151" s="3">
        <f>IFERROR(MIN(5,ROUND(((M151+O151)/2)+(IF(J151&gt;=20,2,IF(J151&gt;=10,1.5,IF(J151&gt;=5,1,IF(J151&gt;=1,0.5,0))))),1)),0)</f>
        <v/>
      </c>
      <c r="W151" s="3">
        <f>IFERROR(SWITCH(F151,"Multiple times per day",5,"Daily",4,"Weekly",3,"Monthly",2,"Quarterly",1,"Ad hoc",1,"Unknown",0),0)</f>
        <v/>
      </c>
      <c r="X151" s="3">
        <f>IFERROR(ROUND(AVERAGE(L151,N151),1),0)</f>
        <v/>
      </c>
      <c r="Y151" s="3">
        <f>IFERROR(SWITCH(U151,"High",3,"Medium",2,"Low",0,"Unknown",1,1)+IF(Q151="Yes",2,IF(Q151="Unsure",1,0)),0)</f>
        <v/>
      </c>
      <c r="Z151" s="3">
        <f>IFERROR(ROUND((V151*2)+(W151*1)+(X151*2)+(IF(T151="Easy",2,IF(T151="Medium",1,IF(T151="Hard",-1,0))))-(Y151*2),1),0)</f>
        <v/>
      </c>
      <c r="AA151" s="3">
        <f>IFERROR(IF(S151="Not a fit","Not a Fit",IF(Y151&gt;=5,"High Risk / Needs Review",IF(AND(Z151&gt;=18,T151="Easy"),"Quick Win",IF(AND(Z151&gt;=18,T151&lt;&gt;"Easy"),"Strategic Project",IF(Z151&gt;=10,"Discovery Needed","Process Issue"))))),"")</f>
        <v/>
      </c>
      <c r="AB151" s="3">
        <f>IFERROR(SWITCH(AA151,"Quick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1" s="3" t="n"/>
      <c r="AD151" s="3" t="n"/>
      <c r="AE151" s="3" t="n"/>
    </row>
    <row r="152" ht="25" customHeight="1">
      <c r="A152" s="2" t="n"/>
      <c r="B152" s="2">
        <f>IFERROR(XLOOKUP(A152,'Intake Responses'!$A:$A,'Intake Responses'!$E:$E),"")</f>
        <v/>
      </c>
      <c r="C152" s="2">
        <f>IFERROR(XLOOKUP(A152,'Intake Responses'!$A:$A,'Intake Responses'!$D:$D),"")</f>
        <v/>
      </c>
      <c r="D152" s="2">
        <f>IFERROR(XLOOKUP(A152,'Intake Responses'!$A:$A,'Intake Responses'!$F:$F),"")</f>
        <v/>
      </c>
      <c r="E152" s="2" t="n"/>
      <c r="F152" s="2">
        <f>IFERROR(XLOOKUP(A152,'Intake Responses'!$A:$A,'Intake Responses'!$M:$M),"")</f>
        <v/>
      </c>
      <c r="G152" s="2">
        <f>IFERROR(XLOOKUP(A152,'Intake Responses'!$A:$A,'Intake Responses'!$N:$N),"")</f>
        <v/>
      </c>
      <c r="H152" s="2">
        <f>IFERROR(XLOOKUP(A152,'Intake Responses'!$A:$A,'Intake Responses'!$O:$O),"")</f>
        <v/>
      </c>
      <c r="I152" s="2">
        <f>IFERROR(SWITCH(F152,"Multiple times per day",60,"Daily",20,"Weekly",4,"Monthly",1,"Quarterly",0.33,"Ad hoc",0.5,"Unknown",0),0)</f>
        <v/>
      </c>
      <c r="J152" s="2">
        <f>IFERROR((G152*H152*I152)/60,0)</f>
        <v/>
      </c>
      <c r="K152" s="2">
        <f>IFERROR(J152*12,0)</f>
        <v/>
      </c>
      <c r="L152" s="2">
        <f>IFERROR(XLOOKUP(A152,'Intake Responses'!$A:$A,'Intake Responses'!$T:$T),"")</f>
        <v/>
      </c>
      <c r="M152" s="2">
        <f>IFERROR(XLOOKUP(A152,'Intake Responses'!$A:$A,'Intake Responses'!$U:$U),"")</f>
        <v/>
      </c>
      <c r="N152" s="2">
        <f>IFERROR(XLOOKUP(A152,'Intake Responses'!$A:$A,'Intake Responses'!$V:$V),"")</f>
        <v/>
      </c>
      <c r="O152" s="2">
        <f>IFERROR(XLOOKUP(A152,'Intake Responses'!$A:$A,'Intake Responses'!$W:$W),"")</f>
        <v/>
      </c>
      <c r="P152" s="2">
        <f>IFERROR(XLOOKUP(A152,'Intake Responses'!$A:$A,'Intake Responses'!$X:$X),"")</f>
        <v/>
      </c>
      <c r="Q152" s="2">
        <f>IFERROR(XLOOKUP(A152,'Intake Responses'!$A:$A,'Intake Responses'!$AF:$AF),"")</f>
        <v/>
      </c>
      <c r="R152" s="2">
        <f>IFERROR(XLOOKUP(A152,'Intake Responses'!$A:$A,'Intake Responses'!$S:$S),"")</f>
        <v/>
      </c>
      <c r="S152" s="2" t="n"/>
      <c r="T152" s="2" t="n"/>
      <c r="U152" s="2" t="n"/>
      <c r="V152" s="2">
        <f>IFERROR(MIN(5,ROUND(((M152+O152)/2)+(IF(J152&gt;=20,2,IF(J152&gt;=10,1.5,IF(J152&gt;=5,1,IF(J152&gt;=1,0.5,0))))),1)),0)</f>
        <v/>
      </c>
      <c r="W152" s="2">
        <f>IFERROR(SWITCH(F152,"Multiple times per day",5,"Daily",4,"Weekly",3,"Monthly",2,"Quarterly",1,"Ad hoc",1,"Unknown",0),0)</f>
        <v/>
      </c>
      <c r="X152" s="2">
        <f>IFERROR(ROUND(AVERAGE(L152,N152),1),0)</f>
        <v/>
      </c>
      <c r="Y152" s="2">
        <f>IFERROR(SWITCH(U152,"High",3,"Medium",2,"Low",0,"Unknown",1,1)+IF(Q152="Yes",2,IF(Q152="Unsure",1,0)),0)</f>
        <v/>
      </c>
      <c r="Z152" s="2">
        <f>IFERROR(ROUND((V152*2)+(W152*1)+(X152*2)+(IF(T152="Easy",2,IF(T152="Medium",1,IF(T152="Hard",-1,0))))-(Y152*2),1),0)</f>
        <v/>
      </c>
      <c r="AA152" s="2">
        <f>IFERROR(IF(S152="Not a fit","Not a Fit",IF(Y152&gt;=5,"High Risk / Needs Review",IF(AND(Z152&gt;=18,T152="Easy"),"Quick Win",IF(AND(Z152&gt;=18,T152&lt;&gt;"Easy"),"Strategic Project",IF(Z152&gt;=10,"Discovery Needed","Process Issue"))))),"")</f>
        <v/>
      </c>
      <c r="AB152" s="2">
        <f>IFERROR(SWITCH(AA152,"Quick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2" s="2" t="n"/>
      <c r="AD152" s="2" t="n"/>
      <c r="AE152" s="2" t="n"/>
    </row>
    <row r="153" ht="25" customHeight="1">
      <c r="A153" s="3" t="n"/>
      <c r="B153" s="3">
        <f>IFERROR(XLOOKUP(A153,'Intake Responses'!$A:$A,'Intake Responses'!$E:$E),"")</f>
        <v/>
      </c>
      <c r="C153" s="3">
        <f>IFERROR(XLOOKUP(A153,'Intake Responses'!$A:$A,'Intake Responses'!$D:$D),"")</f>
        <v/>
      </c>
      <c r="D153" s="3">
        <f>IFERROR(XLOOKUP(A153,'Intake Responses'!$A:$A,'Intake Responses'!$F:$F),"")</f>
        <v/>
      </c>
      <c r="E153" s="3" t="n"/>
      <c r="F153" s="3">
        <f>IFERROR(XLOOKUP(A153,'Intake Responses'!$A:$A,'Intake Responses'!$M:$M),"")</f>
        <v/>
      </c>
      <c r="G153" s="3">
        <f>IFERROR(XLOOKUP(A153,'Intake Responses'!$A:$A,'Intake Responses'!$N:$N),"")</f>
        <v/>
      </c>
      <c r="H153" s="3">
        <f>IFERROR(XLOOKUP(A153,'Intake Responses'!$A:$A,'Intake Responses'!$O:$O),"")</f>
        <v/>
      </c>
      <c r="I153" s="3">
        <f>IFERROR(SWITCH(F153,"Multiple times per day",60,"Daily",20,"Weekly",4,"Monthly",1,"Quarterly",0.33,"Ad hoc",0.5,"Unknown",0),0)</f>
        <v/>
      </c>
      <c r="J153" s="3">
        <f>IFERROR((G153*H153*I153)/60,0)</f>
        <v/>
      </c>
      <c r="K153" s="3">
        <f>IFERROR(J153*12,0)</f>
        <v/>
      </c>
      <c r="L153" s="3">
        <f>IFERROR(XLOOKUP(A153,'Intake Responses'!$A:$A,'Intake Responses'!$T:$T),"")</f>
        <v/>
      </c>
      <c r="M153" s="3">
        <f>IFERROR(XLOOKUP(A153,'Intake Responses'!$A:$A,'Intake Responses'!$U:$U),"")</f>
        <v/>
      </c>
      <c r="N153" s="3">
        <f>IFERROR(XLOOKUP(A153,'Intake Responses'!$A:$A,'Intake Responses'!$V:$V),"")</f>
        <v/>
      </c>
      <c r="O153" s="3">
        <f>IFERROR(XLOOKUP(A153,'Intake Responses'!$A:$A,'Intake Responses'!$W:$W),"")</f>
        <v/>
      </c>
      <c r="P153" s="3">
        <f>IFERROR(XLOOKUP(A153,'Intake Responses'!$A:$A,'Intake Responses'!$X:$X),"")</f>
        <v/>
      </c>
      <c r="Q153" s="3">
        <f>IFERROR(XLOOKUP(A153,'Intake Responses'!$A:$A,'Intake Responses'!$AF:$AF),"")</f>
        <v/>
      </c>
      <c r="R153" s="3">
        <f>IFERROR(XLOOKUP(A153,'Intake Responses'!$A:$A,'Intake Responses'!$S:$S),"")</f>
        <v/>
      </c>
      <c r="S153" s="3" t="n"/>
      <c r="T153" s="3" t="n"/>
      <c r="U153" s="3" t="n"/>
      <c r="V153" s="3">
        <f>IFERROR(MIN(5,ROUND(((M153+O153)/2)+(IF(J153&gt;=20,2,IF(J153&gt;=10,1.5,IF(J153&gt;=5,1,IF(J153&gt;=1,0.5,0))))),1)),0)</f>
        <v/>
      </c>
      <c r="W153" s="3">
        <f>IFERROR(SWITCH(F153,"Multiple times per day",5,"Daily",4,"Weekly",3,"Monthly",2,"Quarterly",1,"Ad hoc",1,"Unknown",0),0)</f>
        <v/>
      </c>
      <c r="X153" s="3">
        <f>IFERROR(ROUND(AVERAGE(L153,N153),1),0)</f>
        <v/>
      </c>
      <c r="Y153" s="3">
        <f>IFERROR(SWITCH(U153,"High",3,"Medium",2,"Low",0,"Unknown",1,1)+IF(Q153="Yes",2,IF(Q153="Unsure",1,0)),0)</f>
        <v/>
      </c>
      <c r="Z153" s="3">
        <f>IFERROR(ROUND((V153*2)+(W153*1)+(X153*2)+(IF(T153="Easy",2,IF(T153="Medium",1,IF(T153="Hard",-1,0))))-(Y153*2),1),0)</f>
        <v/>
      </c>
      <c r="AA153" s="3">
        <f>IFERROR(IF(S153="Not a fit","Not a Fit",IF(Y153&gt;=5,"High Risk / Needs Review",IF(AND(Z153&gt;=18,T153="Easy"),"Quick Win",IF(AND(Z153&gt;=18,T153&lt;&gt;"Easy"),"Strategic Project",IF(Z153&gt;=10,"Discovery Needed","Process Issue"))))),"")</f>
        <v/>
      </c>
      <c r="AB153" s="3">
        <f>IFERROR(SWITCH(AA153,"Quick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3" s="3" t="n"/>
      <c r="AD153" s="3" t="n"/>
      <c r="AE153" s="3" t="n"/>
    </row>
    <row r="154" ht="25" customHeight="1">
      <c r="A154" s="2" t="n"/>
      <c r="B154" s="2">
        <f>IFERROR(XLOOKUP(A154,'Intake Responses'!$A:$A,'Intake Responses'!$E:$E),"")</f>
        <v/>
      </c>
      <c r="C154" s="2">
        <f>IFERROR(XLOOKUP(A154,'Intake Responses'!$A:$A,'Intake Responses'!$D:$D),"")</f>
        <v/>
      </c>
      <c r="D154" s="2">
        <f>IFERROR(XLOOKUP(A154,'Intake Responses'!$A:$A,'Intake Responses'!$F:$F),"")</f>
        <v/>
      </c>
      <c r="E154" s="2" t="n"/>
      <c r="F154" s="2">
        <f>IFERROR(XLOOKUP(A154,'Intake Responses'!$A:$A,'Intake Responses'!$M:$M),"")</f>
        <v/>
      </c>
      <c r="G154" s="2">
        <f>IFERROR(XLOOKUP(A154,'Intake Responses'!$A:$A,'Intake Responses'!$N:$N),"")</f>
        <v/>
      </c>
      <c r="H154" s="2">
        <f>IFERROR(XLOOKUP(A154,'Intake Responses'!$A:$A,'Intake Responses'!$O:$O),"")</f>
        <v/>
      </c>
      <c r="I154" s="2">
        <f>IFERROR(SWITCH(F154,"Multiple times per day",60,"Daily",20,"Weekly",4,"Monthly",1,"Quarterly",0.33,"Ad hoc",0.5,"Unknown",0),0)</f>
        <v/>
      </c>
      <c r="J154" s="2">
        <f>IFERROR((G154*H154*I154)/60,0)</f>
        <v/>
      </c>
      <c r="K154" s="2">
        <f>IFERROR(J154*12,0)</f>
        <v/>
      </c>
      <c r="L154" s="2">
        <f>IFERROR(XLOOKUP(A154,'Intake Responses'!$A:$A,'Intake Responses'!$T:$T),"")</f>
        <v/>
      </c>
      <c r="M154" s="2">
        <f>IFERROR(XLOOKUP(A154,'Intake Responses'!$A:$A,'Intake Responses'!$U:$U),"")</f>
        <v/>
      </c>
      <c r="N154" s="2">
        <f>IFERROR(XLOOKUP(A154,'Intake Responses'!$A:$A,'Intake Responses'!$V:$V),"")</f>
        <v/>
      </c>
      <c r="O154" s="2">
        <f>IFERROR(XLOOKUP(A154,'Intake Responses'!$A:$A,'Intake Responses'!$W:$W),"")</f>
        <v/>
      </c>
      <c r="P154" s="2">
        <f>IFERROR(XLOOKUP(A154,'Intake Responses'!$A:$A,'Intake Responses'!$X:$X),"")</f>
        <v/>
      </c>
      <c r="Q154" s="2">
        <f>IFERROR(XLOOKUP(A154,'Intake Responses'!$A:$A,'Intake Responses'!$AF:$AF),"")</f>
        <v/>
      </c>
      <c r="R154" s="2">
        <f>IFERROR(XLOOKUP(A154,'Intake Responses'!$A:$A,'Intake Responses'!$S:$S),"")</f>
        <v/>
      </c>
      <c r="S154" s="2" t="n"/>
      <c r="T154" s="2" t="n"/>
      <c r="U154" s="2" t="n"/>
      <c r="V154" s="2">
        <f>IFERROR(MIN(5,ROUND(((M154+O154)/2)+(IF(J154&gt;=20,2,IF(J154&gt;=10,1.5,IF(J154&gt;=5,1,IF(J154&gt;=1,0.5,0))))),1)),0)</f>
        <v/>
      </c>
      <c r="W154" s="2">
        <f>IFERROR(SWITCH(F154,"Multiple times per day",5,"Daily",4,"Weekly",3,"Monthly",2,"Quarterly",1,"Ad hoc",1,"Unknown",0),0)</f>
        <v/>
      </c>
      <c r="X154" s="2">
        <f>IFERROR(ROUND(AVERAGE(L154,N154),1),0)</f>
        <v/>
      </c>
      <c r="Y154" s="2">
        <f>IFERROR(SWITCH(U154,"High",3,"Medium",2,"Low",0,"Unknown",1,1)+IF(Q154="Yes",2,IF(Q154="Unsure",1,0)),0)</f>
        <v/>
      </c>
      <c r="Z154" s="2">
        <f>IFERROR(ROUND((V154*2)+(W154*1)+(X154*2)+(IF(T154="Easy",2,IF(T154="Medium",1,IF(T154="Hard",-1,0))))-(Y154*2),1),0)</f>
        <v/>
      </c>
      <c r="AA154" s="2">
        <f>IFERROR(IF(S154="Not a fit","Not a Fit",IF(Y154&gt;=5,"High Risk / Needs Review",IF(AND(Z154&gt;=18,T154="Easy"),"Quick Win",IF(AND(Z154&gt;=18,T154&lt;&gt;"Easy"),"Strategic Project",IF(Z154&gt;=10,"Discovery Needed","Process Issue"))))),"")</f>
        <v/>
      </c>
      <c r="AB154" s="2">
        <f>IFERROR(SWITCH(AA154,"Quick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4" s="2" t="n"/>
      <c r="AD154" s="2" t="n"/>
      <c r="AE154" s="2" t="n"/>
    </row>
    <row r="155" ht="25" customHeight="1">
      <c r="A155" s="3" t="n"/>
      <c r="B155" s="3">
        <f>IFERROR(XLOOKUP(A155,'Intake Responses'!$A:$A,'Intake Responses'!$E:$E),"")</f>
        <v/>
      </c>
      <c r="C155" s="3">
        <f>IFERROR(XLOOKUP(A155,'Intake Responses'!$A:$A,'Intake Responses'!$D:$D),"")</f>
        <v/>
      </c>
      <c r="D155" s="3">
        <f>IFERROR(XLOOKUP(A155,'Intake Responses'!$A:$A,'Intake Responses'!$F:$F),"")</f>
        <v/>
      </c>
      <c r="E155" s="3" t="n"/>
      <c r="F155" s="3">
        <f>IFERROR(XLOOKUP(A155,'Intake Responses'!$A:$A,'Intake Responses'!$M:$M),"")</f>
        <v/>
      </c>
      <c r="G155" s="3">
        <f>IFERROR(XLOOKUP(A155,'Intake Responses'!$A:$A,'Intake Responses'!$N:$N),"")</f>
        <v/>
      </c>
      <c r="H155" s="3">
        <f>IFERROR(XLOOKUP(A155,'Intake Responses'!$A:$A,'Intake Responses'!$O:$O),"")</f>
        <v/>
      </c>
      <c r="I155" s="3">
        <f>IFERROR(SWITCH(F155,"Multiple times per day",60,"Daily",20,"Weekly",4,"Monthly",1,"Quarterly",0.33,"Ad hoc",0.5,"Unknown",0),0)</f>
        <v/>
      </c>
      <c r="J155" s="3">
        <f>IFERROR((G155*H155*I155)/60,0)</f>
        <v/>
      </c>
      <c r="K155" s="3">
        <f>IFERROR(J155*12,0)</f>
        <v/>
      </c>
      <c r="L155" s="3">
        <f>IFERROR(XLOOKUP(A155,'Intake Responses'!$A:$A,'Intake Responses'!$T:$T),"")</f>
        <v/>
      </c>
      <c r="M155" s="3">
        <f>IFERROR(XLOOKUP(A155,'Intake Responses'!$A:$A,'Intake Responses'!$U:$U),"")</f>
        <v/>
      </c>
      <c r="N155" s="3">
        <f>IFERROR(XLOOKUP(A155,'Intake Responses'!$A:$A,'Intake Responses'!$V:$V),"")</f>
        <v/>
      </c>
      <c r="O155" s="3">
        <f>IFERROR(XLOOKUP(A155,'Intake Responses'!$A:$A,'Intake Responses'!$W:$W),"")</f>
        <v/>
      </c>
      <c r="P155" s="3">
        <f>IFERROR(XLOOKUP(A155,'Intake Responses'!$A:$A,'Intake Responses'!$X:$X),"")</f>
        <v/>
      </c>
      <c r="Q155" s="3">
        <f>IFERROR(XLOOKUP(A155,'Intake Responses'!$A:$A,'Intake Responses'!$AF:$AF),"")</f>
        <v/>
      </c>
      <c r="R155" s="3">
        <f>IFERROR(XLOOKUP(A155,'Intake Responses'!$A:$A,'Intake Responses'!$S:$S),"")</f>
        <v/>
      </c>
      <c r="S155" s="3" t="n"/>
      <c r="T155" s="3" t="n"/>
      <c r="U155" s="3" t="n"/>
      <c r="V155" s="3">
        <f>IFERROR(MIN(5,ROUND(((M155+O155)/2)+(IF(J155&gt;=20,2,IF(J155&gt;=10,1.5,IF(J155&gt;=5,1,IF(J155&gt;=1,0.5,0))))),1)),0)</f>
        <v/>
      </c>
      <c r="W155" s="3">
        <f>IFERROR(SWITCH(F155,"Multiple times per day",5,"Daily",4,"Weekly",3,"Monthly",2,"Quarterly",1,"Ad hoc",1,"Unknown",0),0)</f>
        <v/>
      </c>
      <c r="X155" s="3">
        <f>IFERROR(ROUND(AVERAGE(L155,N155),1),0)</f>
        <v/>
      </c>
      <c r="Y155" s="3">
        <f>IFERROR(SWITCH(U155,"High",3,"Medium",2,"Low",0,"Unknown",1,1)+IF(Q155="Yes",2,IF(Q155="Unsure",1,0)),0)</f>
        <v/>
      </c>
      <c r="Z155" s="3">
        <f>IFERROR(ROUND((V155*2)+(W155*1)+(X155*2)+(IF(T155="Easy",2,IF(T155="Medium",1,IF(T155="Hard",-1,0))))-(Y155*2),1),0)</f>
        <v/>
      </c>
      <c r="AA155" s="3">
        <f>IFERROR(IF(S155="Not a fit","Not a Fit",IF(Y155&gt;=5,"High Risk / Needs Review",IF(AND(Z155&gt;=18,T155="Easy"),"Quick Win",IF(AND(Z155&gt;=18,T155&lt;&gt;"Easy"),"Strategic Project",IF(Z155&gt;=10,"Discovery Needed","Process Issue"))))),"")</f>
        <v/>
      </c>
      <c r="AB155" s="3">
        <f>IFERROR(SWITCH(AA155,"Quick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5" s="3" t="n"/>
      <c r="AD155" s="3" t="n"/>
      <c r="AE155" s="3" t="n"/>
    </row>
    <row r="156" ht="25" customHeight="1">
      <c r="A156" s="2" t="n"/>
      <c r="B156" s="2">
        <f>IFERROR(XLOOKUP(A156,'Intake Responses'!$A:$A,'Intake Responses'!$E:$E),"")</f>
        <v/>
      </c>
      <c r="C156" s="2">
        <f>IFERROR(XLOOKUP(A156,'Intake Responses'!$A:$A,'Intake Responses'!$D:$D),"")</f>
        <v/>
      </c>
      <c r="D156" s="2">
        <f>IFERROR(XLOOKUP(A156,'Intake Responses'!$A:$A,'Intake Responses'!$F:$F),"")</f>
        <v/>
      </c>
      <c r="E156" s="2" t="n"/>
      <c r="F156" s="2">
        <f>IFERROR(XLOOKUP(A156,'Intake Responses'!$A:$A,'Intake Responses'!$M:$M),"")</f>
        <v/>
      </c>
      <c r="G156" s="2">
        <f>IFERROR(XLOOKUP(A156,'Intake Responses'!$A:$A,'Intake Responses'!$N:$N),"")</f>
        <v/>
      </c>
      <c r="H156" s="2">
        <f>IFERROR(XLOOKUP(A156,'Intake Responses'!$A:$A,'Intake Responses'!$O:$O),"")</f>
        <v/>
      </c>
      <c r="I156" s="2">
        <f>IFERROR(SWITCH(F156,"Multiple times per day",60,"Daily",20,"Weekly",4,"Monthly",1,"Quarterly",0.33,"Ad hoc",0.5,"Unknown",0),0)</f>
        <v/>
      </c>
      <c r="J156" s="2">
        <f>IFERROR((G156*H156*I156)/60,0)</f>
        <v/>
      </c>
      <c r="K156" s="2">
        <f>IFERROR(J156*12,0)</f>
        <v/>
      </c>
      <c r="L156" s="2">
        <f>IFERROR(XLOOKUP(A156,'Intake Responses'!$A:$A,'Intake Responses'!$T:$T),"")</f>
        <v/>
      </c>
      <c r="M156" s="2">
        <f>IFERROR(XLOOKUP(A156,'Intake Responses'!$A:$A,'Intake Responses'!$U:$U),"")</f>
        <v/>
      </c>
      <c r="N156" s="2">
        <f>IFERROR(XLOOKUP(A156,'Intake Responses'!$A:$A,'Intake Responses'!$V:$V),"")</f>
        <v/>
      </c>
      <c r="O156" s="2">
        <f>IFERROR(XLOOKUP(A156,'Intake Responses'!$A:$A,'Intake Responses'!$W:$W),"")</f>
        <v/>
      </c>
      <c r="P156" s="2">
        <f>IFERROR(XLOOKUP(A156,'Intake Responses'!$A:$A,'Intake Responses'!$X:$X),"")</f>
        <v/>
      </c>
      <c r="Q156" s="2">
        <f>IFERROR(XLOOKUP(A156,'Intake Responses'!$A:$A,'Intake Responses'!$AF:$AF),"")</f>
        <v/>
      </c>
      <c r="R156" s="2">
        <f>IFERROR(XLOOKUP(A156,'Intake Responses'!$A:$A,'Intake Responses'!$S:$S),"")</f>
        <v/>
      </c>
      <c r="S156" s="2" t="n"/>
      <c r="T156" s="2" t="n"/>
      <c r="U156" s="2" t="n"/>
      <c r="V156" s="2">
        <f>IFERROR(MIN(5,ROUND(((M156+O156)/2)+(IF(J156&gt;=20,2,IF(J156&gt;=10,1.5,IF(J156&gt;=5,1,IF(J156&gt;=1,0.5,0))))),1)),0)</f>
        <v/>
      </c>
      <c r="W156" s="2">
        <f>IFERROR(SWITCH(F156,"Multiple times per day",5,"Daily",4,"Weekly",3,"Monthly",2,"Quarterly",1,"Ad hoc",1,"Unknown",0),0)</f>
        <v/>
      </c>
      <c r="X156" s="2">
        <f>IFERROR(ROUND(AVERAGE(L156,N156),1),0)</f>
        <v/>
      </c>
      <c r="Y156" s="2">
        <f>IFERROR(SWITCH(U156,"High",3,"Medium",2,"Low",0,"Unknown",1,1)+IF(Q156="Yes",2,IF(Q156="Unsure",1,0)),0)</f>
        <v/>
      </c>
      <c r="Z156" s="2">
        <f>IFERROR(ROUND((V156*2)+(W156*1)+(X156*2)+(IF(T156="Easy",2,IF(T156="Medium",1,IF(T156="Hard",-1,0))))-(Y156*2),1),0)</f>
        <v/>
      </c>
      <c r="AA156" s="2">
        <f>IFERROR(IF(S156="Not a fit","Not a Fit",IF(Y156&gt;=5,"High Risk / Needs Review",IF(AND(Z156&gt;=18,T156="Easy"),"Quick Win",IF(AND(Z156&gt;=18,T156&lt;&gt;"Easy"),"Strategic Project",IF(Z156&gt;=10,"Discovery Needed","Process Issue"))))),"")</f>
        <v/>
      </c>
      <c r="AB156" s="2">
        <f>IFERROR(SWITCH(AA156,"Quick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6" s="2" t="n"/>
      <c r="AD156" s="2" t="n"/>
      <c r="AE156" s="2" t="n"/>
    </row>
    <row r="157" ht="25" customHeight="1">
      <c r="A157" s="3" t="n"/>
      <c r="B157" s="3">
        <f>IFERROR(XLOOKUP(A157,'Intake Responses'!$A:$A,'Intake Responses'!$E:$E),"")</f>
        <v/>
      </c>
      <c r="C157" s="3">
        <f>IFERROR(XLOOKUP(A157,'Intake Responses'!$A:$A,'Intake Responses'!$D:$D),"")</f>
        <v/>
      </c>
      <c r="D157" s="3">
        <f>IFERROR(XLOOKUP(A157,'Intake Responses'!$A:$A,'Intake Responses'!$F:$F),"")</f>
        <v/>
      </c>
      <c r="E157" s="3" t="n"/>
      <c r="F157" s="3">
        <f>IFERROR(XLOOKUP(A157,'Intake Responses'!$A:$A,'Intake Responses'!$M:$M),"")</f>
        <v/>
      </c>
      <c r="G157" s="3">
        <f>IFERROR(XLOOKUP(A157,'Intake Responses'!$A:$A,'Intake Responses'!$N:$N),"")</f>
        <v/>
      </c>
      <c r="H157" s="3">
        <f>IFERROR(XLOOKUP(A157,'Intake Responses'!$A:$A,'Intake Responses'!$O:$O),"")</f>
        <v/>
      </c>
      <c r="I157" s="3">
        <f>IFERROR(SWITCH(F157,"Multiple times per day",60,"Daily",20,"Weekly",4,"Monthly",1,"Quarterly",0.33,"Ad hoc",0.5,"Unknown",0),0)</f>
        <v/>
      </c>
      <c r="J157" s="3">
        <f>IFERROR((G157*H157*I157)/60,0)</f>
        <v/>
      </c>
      <c r="K157" s="3">
        <f>IFERROR(J157*12,0)</f>
        <v/>
      </c>
      <c r="L157" s="3">
        <f>IFERROR(XLOOKUP(A157,'Intake Responses'!$A:$A,'Intake Responses'!$T:$T),"")</f>
        <v/>
      </c>
      <c r="M157" s="3">
        <f>IFERROR(XLOOKUP(A157,'Intake Responses'!$A:$A,'Intake Responses'!$U:$U),"")</f>
        <v/>
      </c>
      <c r="N157" s="3">
        <f>IFERROR(XLOOKUP(A157,'Intake Responses'!$A:$A,'Intake Responses'!$V:$V),"")</f>
        <v/>
      </c>
      <c r="O157" s="3">
        <f>IFERROR(XLOOKUP(A157,'Intake Responses'!$A:$A,'Intake Responses'!$W:$W),"")</f>
        <v/>
      </c>
      <c r="P157" s="3">
        <f>IFERROR(XLOOKUP(A157,'Intake Responses'!$A:$A,'Intake Responses'!$X:$X),"")</f>
        <v/>
      </c>
      <c r="Q157" s="3">
        <f>IFERROR(XLOOKUP(A157,'Intake Responses'!$A:$A,'Intake Responses'!$AF:$AF),"")</f>
        <v/>
      </c>
      <c r="R157" s="3">
        <f>IFERROR(XLOOKUP(A157,'Intake Responses'!$A:$A,'Intake Responses'!$S:$S),"")</f>
        <v/>
      </c>
      <c r="S157" s="3" t="n"/>
      <c r="T157" s="3" t="n"/>
      <c r="U157" s="3" t="n"/>
      <c r="V157" s="3">
        <f>IFERROR(MIN(5,ROUND(((M157+O157)/2)+(IF(J157&gt;=20,2,IF(J157&gt;=10,1.5,IF(J157&gt;=5,1,IF(J157&gt;=1,0.5,0))))),1)),0)</f>
        <v/>
      </c>
      <c r="W157" s="3">
        <f>IFERROR(SWITCH(F157,"Multiple times per day",5,"Daily",4,"Weekly",3,"Monthly",2,"Quarterly",1,"Ad hoc",1,"Unknown",0),0)</f>
        <v/>
      </c>
      <c r="X157" s="3">
        <f>IFERROR(ROUND(AVERAGE(L157,N157),1),0)</f>
        <v/>
      </c>
      <c r="Y157" s="3">
        <f>IFERROR(SWITCH(U157,"High",3,"Medium",2,"Low",0,"Unknown",1,1)+IF(Q157="Yes",2,IF(Q157="Unsure",1,0)),0)</f>
        <v/>
      </c>
      <c r="Z157" s="3">
        <f>IFERROR(ROUND((V157*2)+(W157*1)+(X157*2)+(IF(T157="Easy",2,IF(T157="Medium",1,IF(T157="Hard",-1,0))))-(Y157*2),1),0)</f>
        <v/>
      </c>
      <c r="AA157" s="3">
        <f>IFERROR(IF(S157="Not a fit","Not a Fit",IF(Y157&gt;=5,"High Risk / Needs Review",IF(AND(Z157&gt;=18,T157="Easy"),"Quick Win",IF(AND(Z157&gt;=18,T157&lt;&gt;"Easy"),"Strategic Project",IF(Z157&gt;=10,"Discovery Needed","Process Issue"))))),"")</f>
        <v/>
      </c>
      <c r="AB157" s="3">
        <f>IFERROR(SWITCH(AA157,"Quick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7" s="3" t="n"/>
      <c r="AD157" s="3" t="n"/>
      <c r="AE157" s="3" t="n"/>
    </row>
    <row r="158" ht="25" customHeight="1">
      <c r="A158" s="2" t="n"/>
      <c r="B158" s="2">
        <f>IFERROR(XLOOKUP(A158,'Intake Responses'!$A:$A,'Intake Responses'!$E:$E),"")</f>
        <v/>
      </c>
      <c r="C158" s="2">
        <f>IFERROR(XLOOKUP(A158,'Intake Responses'!$A:$A,'Intake Responses'!$D:$D),"")</f>
        <v/>
      </c>
      <c r="D158" s="2">
        <f>IFERROR(XLOOKUP(A158,'Intake Responses'!$A:$A,'Intake Responses'!$F:$F),"")</f>
        <v/>
      </c>
      <c r="E158" s="2" t="n"/>
      <c r="F158" s="2">
        <f>IFERROR(XLOOKUP(A158,'Intake Responses'!$A:$A,'Intake Responses'!$M:$M),"")</f>
        <v/>
      </c>
      <c r="G158" s="2">
        <f>IFERROR(XLOOKUP(A158,'Intake Responses'!$A:$A,'Intake Responses'!$N:$N),"")</f>
        <v/>
      </c>
      <c r="H158" s="2">
        <f>IFERROR(XLOOKUP(A158,'Intake Responses'!$A:$A,'Intake Responses'!$O:$O),"")</f>
        <v/>
      </c>
      <c r="I158" s="2">
        <f>IFERROR(SWITCH(F158,"Multiple times per day",60,"Daily",20,"Weekly",4,"Monthly",1,"Quarterly",0.33,"Ad hoc",0.5,"Unknown",0),0)</f>
        <v/>
      </c>
      <c r="J158" s="2">
        <f>IFERROR((G158*H158*I158)/60,0)</f>
        <v/>
      </c>
      <c r="K158" s="2">
        <f>IFERROR(J158*12,0)</f>
        <v/>
      </c>
      <c r="L158" s="2">
        <f>IFERROR(XLOOKUP(A158,'Intake Responses'!$A:$A,'Intake Responses'!$T:$T),"")</f>
        <v/>
      </c>
      <c r="M158" s="2">
        <f>IFERROR(XLOOKUP(A158,'Intake Responses'!$A:$A,'Intake Responses'!$U:$U),"")</f>
        <v/>
      </c>
      <c r="N158" s="2">
        <f>IFERROR(XLOOKUP(A158,'Intake Responses'!$A:$A,'Intake Responses'!$V:$V),"")</f>
        <v/>
      </c>
      <c r="O158" s="2">
        <f>IFERROR(XLOOKUP(A158,'Intake Responses'!$A:$A,'Intake Responses'!$W:$W),"")</f>
        <v/>
      </c>
      <c r="P158" s="2">
        <f>IFERROR(XLOOKUP(A158,'Intake Responses'!$A:$A,'Intake Responses'!$X:$X),"")</f>
        <v/>
      </c>
      <c r="Q158" s="2">
        <f>IFERROR(XLOOKUP(A158,'Intake Responses'!$A:$A,'Intake Responses'!$AF:$AF),"")</f>
        <v/>
      </c>
      <c r="R158" s="2">
        <f>IFERROR(XLOOKUP(A158,'Intake Responses'!$A:$A,'Intake Responses'!$S:$S),"")</f>
        <v/>
      </c>
      <c r="S158" s="2" t="n"/>
      <c r="T158" s="2" t="n"/>
      <c r="U158" s="2" t="n"/>
      <c r="V158" s="2">
        <f>IFERROR(MIN(5,ROUND(((M158+O158)/2)+(IF(J158&gt;=20,2,IF(J158&gt;=10,1.5,IF(J158&gt;=5,1,IF(J158&gt;=1,0.5,0))))),1)),0)</f>
        <v/>
      </c>
      <c r="W158" s="2">
        <f>IFERROR(SWITCH(F158,"Multiple times per day",5,"Daily",4,"Weekly",3,"Monthly",2,"Quarterly",1,"Ad hoc",1,"Unknown",0),0)</f>
        <v/>
      </c>
      <c r="X158" s="2">
        <f>IFERROR(ROUND(AVERAGE(L158,N158),1),0)</f>
        <v/>
      </c>
      <c r="Y158" s="2">
        <f>IFERROR(SWITCH(U158,"High",3,"Medium",2,"Low",0,"Unknown",1,1)+IF(Q158="Yes",2,IF(Q158="Unsure",1,0)),0)</f>
        <v/>
      </c>
      <c r="Z158" s="2">
        <f>IFERROR(ROUND((V158*2)+(W158*1)+(X158*2)+(IF(T158="Easy",2,IF(T158="Medium",1,IF(T158="Hard",-1,0))))-(Y158*2),1),0)</f>
        <v/>
      </c>
      <c r="AA158" s="2">
        <f>IFERROR(IF(S158="Not a fit","Not a Fit",IF(Y158&gt;=5,"High Risk / Needs Review",IF(AND(Z158&gt;=18,T158="Easy"),"Quick Win",IF(AND(Z158&gt;=18,T158&lt;&gt;"Easy"),"Strategic Project",IF(Z158&gt;=10,"Discovery Needed","Process Issue"))))),"")</f>
        <v/>
      </c>
      <c r="AB158" s="2">
        <f>IFERROR(SWITCH(AA158,"Quick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8" s="2" t="n"/>
      <c r="AD158" s="2" t="n"/>
      <c r="AE158" s="2" t="n"/>
    </row>
    <row r="159" ht="25" customHeight="1">
      <c r="A159" s="3" t="n"/>
      <c r="B159" s="3">
        <f>IFERROR(XLOOKUP(A159,'Intake Responses'!$A:$A,'Intake Responses'!$E:$E),"")</f>
        <v/>
      </c>
      <c r="C159" s="3">
        <f>IFERROR(XLOOKUP(A159,'Intake Responses'!$A:$A,'Intake Responses'!$D:$D),"")</f>
        <v/>
      </c>
      <c r="D159" s="3">
        <f>IFERROR(XLOOKUP(A159,'Intake Responses'!$A:$A,'Intake Responses'!$F:$F),"")</f>
        <v/>
      </c>
      <c r="E159" s="3" t="n"/>
      <c r="F159" s="3">
        <f>IFERROR(XLOOKUP(A159,'Intake Responses'!$A:$A,'Intake Responses'!$M:$M),"")</f>
        <v/>
      </c>
      <c r="G159" s="3">
        <f>IFERROR(XLOOKUP(A159,'Intake Responses'!$A:$A,'Intake Responses'!$N:$N),"")</f>
        <v/>
      </c>
      <c r="H159" s="3">
        <f>IFERROR(XLOOKUP(A159,'Intake Responses'!$A:$A,'Intake Responses'!$O:$O),"")</f>
        <v/>
      </c>
      <c r="I159" s="3">
        <f>IFERROR(SWITCH(F159,"Multiple times per day",60,"Daily",20,"Weekly",4,"Monthly",1,"Quarterly",0.33,"Ad hoc",0.5,"Unknown",0),0)</f>
        <v/>
      </c>
      <c r="J159" s="3">
        <f>IFERROR((G159*H159*I159)/60,0)</f>
        <v/>
      </c>
      <c r="K159" s="3">
        <f>IFERROR(J159*12,0)</f>
        <v/>
      </c>
      <c r="L159" s="3">
        <f>IFERROR(XLOOKUP(A159,'Intake Responses'!$A:$A,'Intake Responses'!$T:$T),"")</f>
        <v/>
      </c>
      <c r="M159" s="3">
        <f>IFERROR(XLOOKUP(A159,'Intake Responses'!$A:$A,'Intake Responses'!$U:$U),"")</f>
        <v/>
      </c>
      <c r="N159" s="3">
        <f>IFERROR(XLOOKUP(A159,'Intake Responses'!$A:$A,'Intake Responses'!$V:$V),"")</f>
        <v/>
      </c>
      <c r="O159" s="3">
        <f>IFERROR(XLOOKUP(A159,'Intake Responses'!$A:$A,'Intake Responses'!$W:$W),"")</f>
        <v/>
      </c>
      <c r="P159" s="3">
        <f>IFERROR(XLOOKUP(A159,'Intake Responses'!$A:$A,'Intake Responses'!$X:$X),"")</f>
        <v/>
      </c>
      <c r="Q159" s="3">
        <f>IFERROR(XLOOKUP(A159,'Intake Responses'!$A:$A,'Intake Responses'!$AF:$AF),"")</f>
        <v/>
      </c>
      <c r="R159" s="3">
        <f>IFERROR(XLOOKUP(A159,'Intake Responses'!$A:$A,'Intake Responses'!$S:$S),"")</f>
        <v/>
      </c>
      <c r="S159" s="3" t="n"/>
      <c r="T159" s="3" t="n"/>
      <c r="U159" s="3" t="n"/>
      <c r="V159" s="3">
        <f>IFERROR(MIN(5,ROUND(((M159+O159)/2)+(IF(J159&gt;=20,2,IF(J159&gt;=10,1.5,IF(J159&gt;=5,1,IF(J159&gt;=1,0.5,0))))),1)),0)</f>
        <v/>
      </c>
      <c r="W159" s="3">
        <f>IFERROR(SWITCH(F159,"Multiple times per day",5,"Daily",4,"Weekly",3,"Monthly",2,"Quarterly",1,"Ad hoc",1,"Unknown",0),0)</f>
        <v/>
      </c>
      <c r="X159" s="3">
        <f>IFERROR(ROUND(AVERAGE(L159,N159),1),0)</f>
        <v/>
      </c>
      <c r="Y159" s="3">
        <f>IFERROR(SWITCH(U159,"High",3,"Medium",2,"Low",0,"Unknown",1,1)+IF(Q159="Yes",2,IF(Q159="Unsure",1,0)),0)</f>
        <v/>
      </c>
      <c r="Z159" s="3">
        <f>IFERROR(ROUND((V159*2)+(W159*1)+(X159*2)+(IF(T159="Easy",2,IF(T159="Medium",1,IF(T159="Hard",-1,0))))-(Y159*2),1),0)</f>
        <v/>
      </c>
      <c r="AA159" s="3">
        <f>IFERROR(IF(S159="Not a fit","Not a Fit",IF(Y159&gt;=5,"High Risk / Needs Review",IF(AND(Z159&gt;=18,T159="Easy"),"Quick Win",IF(AND(Z159&gt;=18,T159&lt;&gt;"Easy"),"Strategic Project",IF(Z159&gt;=10,"Discovery Needed","Process Issue"))))),"")</f>
        <v/>
      </c>
      <c r="AB159" s="3">
        <f>IFERROR(SWITCH(AA159,"Quick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59" s="3" t="n"/>
      <c r="AD159" s="3" t="n"/>
      <c r="AE159" s="3" t="n"/>
    </row>
    <row r="160" ht="25" customHeight="1">
      <c r="A160" s="2" t="n"/>
      <c r="B160" s="2">
        <f>IFERROR(XLOOKUP(A160,'Intake Responses'!$A:$A,'Intake Responses'!$E:$E),"")</f>
        <v/>
      </c>
      <c r="C160" s="2">
        <f>IFERROR(XLOOKUP(A160,'Intake Responses'!$A:$A,'Intake Responses'!$D:$D),"")</f>
        <v/>
      </c>
      <c r="D160" s="2">
        <f>IFERROR(XLOOKUP(A160,'Intake Responses'!$A:$A,'Intake Responses'!$F:$F),"")</f>
        <v/>
      </c>
      <c r="E160" s="2" t="n"/>
      <c r="F160" s="2">
        <f>IFERROR(XLOOKUP(A160,'Intake Responses'!$A:$A,'Intake Responses'!$M:$M),"")</f>
        <v/>
      </c>
      <c r="G160" s="2">
        <f>IFERROR(XLOOKUP(A160,'Intake Responses'!$A:$A,'Intake Responses'!$N:$N),"")</f>
        <v/>
      </c>
      <c r="H160" s="2">
        <f>IFERROR(XLOOKUP(A160,'Intake Responses'!$A:$A,'Intake Responses'!$O:$O),"")</f>
        <v/>
      </c>
      <c r="I160" s="2">
        <f>IFERROR(SWITCH(F160,"Multiple times per day",60,"Daily",20,"Weekly",4,"Monthly",1,"Quarterly",0.33,"Ad hoc",0.5,"Unknown",0),0)</f>
        <v/>
      </c>
      <c r="J160" s="2">
        <f>IFERROR((G160*H160*I160)/60,0)</f>
        <v/>
      </c>
      <c r="K160" s="2">
        <f>IFERROR(J160*12,0)</f>
        <v/>
      </c>
      <c r="L160" s="2">
        <f>IFERROR(XLOOKUP(A160,'Intake Responses'!$A:$A,'Intake Responses'!$T:$T),"")</f>
        <v/>
      </c>
      <c r="M160" s="2">
        <f>IFERROR(XLOOKUP(A160,'Intake Responses'!$A:$A,'Intake Responses'!$U:$U),"")</f>
        <v/>
      </c>
      <c r="N160" s="2">
        <f>IFERROR(XLOOKUP(A160,'Intake Responses'!$A:$A,'Intake Responses'!$V:$V),"")</f>
        <v/>
      </c>
      <c r="O160" s="2">
        <f>IFERROR(XLOOKUP(A160,'Intake Responses'!$A:$A,'Intake Responses'!$W:$W),"")</f>
        <v/>
      </c>
      <c r="P160" s="2">
        <f>IFERROR(XLOOKUP(A160,'Intake Responses'!$A:$A,'Intake Responses'!$X:$X),"")</f>
        <v/>
      </c>
      <c r="Q160" s="2">
        <f>IFERROR(XLOOKUP(A160,'Intake Responses'!$A:$A,'Intake Responses'!$AF:$AF),"")</f>
        <v/>
      </c>
      <c r="R160" s="2">
        <f>IFERROR(XLOOKUP(A160,'Intake Responses'!$A:$A,'Intake Responses'!$S:$S),"")</f>
        <v/>
      </c>
      <c r="S160" s="2" t="n"/>
      <c r="T160" s="2" t="n"/>
      <c r="U160" s="2" t="n"/>
      <c r="V160" s="2">
        <f>IFERROR(MIN(5,ROUND(((M160+O160)/2)+(IF(J160&gt;=20,2,IF(J160&gt;=10,1.5,IF(J160&gt;=5,1,IF(J160&gt;=1,0.5,0))))),1)),0)</f>
        <v/>
      </c>
      <c r="W160" s="2">
        <f>IFERROR(SWITCH(F160,"Multiple times per day",5,"Daily",4,"Weekly",3,"Monthly",2,"Quarterly",1,"Ad hoc",1,"Unknown",0),0)</f>
        <v/>
      </c>
      <c r="X160" s="2">
        <f>IFERROR(ROUND(AVERAGE(L160,N160),1),0)</f>
        <v/>
      </c>
      <c r="Y160" s="2">
        <f>IFERROR(SWITCH(U160,"High",3,"Medium",2,"Low",0,"Unknown",1,1)+IF(Q160="Yes",2,IF(Q160="Unsure",1,0)),0)</f>
        <v/>
      </c>
      <c r="Z160" s="2">
        <f>IFERROR(ROUND((V160*2)+(W160*1)+(X160*2)+(IF(T160="Easy",2,IF(T160="Medium",1,IF(T160="Hard",-1,0))))-(Y160*2),1),0)</f>
        <v/>
      </c>
      <c r="AA160" s="2">
        <f>IFERROR(IF(S160="Not a fit","Not a Fit",IF(Y160&gt;=5,"High Risk / Needs Review",IF(AND(Z160&gt;=18,T160="Easy"),"Quick Win",IF(AND(Z160&gt;=18,T160&lt;&gt;"Easy"),"Strategic Project",IF(Z160&gt;=10,"Discovery Needed","Process Issue"))))),"")</f>
        <v/>
      </c>
      <c r="AB160" s="2">
        <f>IFERROR(SWITCH(AA160,"Quick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0" s="2" t="n"/>
      <c r="AD160" s="2" t="n"/>
      <c r="AE160" s="2" t="n"/>
    </row>
    <row r="161" ht="25" customHeight="1">
      <c r="A161" s="3" t="n"/>
      <c r="B161" s="3">
        <f>IFERROR(XLOOKUP(A161,'Intake Responses'!$A:$A,'Intake Responses'!$E:$E),"")</f>
        <v/>
      </c>
      <c r="C161" s="3">
        <f>IFERROR(XLOOKUP(A161,'Intake Responses'!$A:$A,'Intake Responses'!$D:$D),"")</f>
        <v/>
      </c>
      <c r="D161" s="3">
        <f>IFERROR(XLOOKUP(A161,'Intake Responses'!$A:$A,'Intake Responses'!$F:$F),"")</f>
        <v/>
      </c>
      <c r="E161" s="3" t="n"/>
      <c r="F161" s="3">
        <f>IFERROR(XLOOKUP(A161,'Intake Responses'!$A:$A,'Intake Responses'!$M:$M),"")</f>
        <v/>
      </c>
      <c r="G161" s="3">
        <f>IFERROR(XLOOKUP(A161,'Intake Responses'!$A:$A,'Intake Responses'!$N:$N),"")</f>
        <v/>
      </c>
      <c r="H161" s="3">
        <f>IFERROR(XLOOKUP(A161,'Intake Responses'!$A:$A,'Intake Responses'!$O:$O),"")</f>
        <v/>
      </c>
      <c r="I161" s="3">
        <f>IFERROR(SWITCH(F161,"Multiple times per day",60,"Daily",20,"Weekly",4,"Monthly",1,"Quarterly",0.33,"Ad hoc",0.5,"Unknown",0),0)</f>
        <v/>
      </c>
      <c r="J161" s="3">
        <f>IFERROR((G161*H161*I161)/60,0)</f>
        <v/>
      </c>
      <c r="K161" s="3">
        <f>IFERROR(J161*12,0)</f>
        <v/>
      </c>
      <c r="L161" s="3">
        <f>IFERROR(XLOOKUP(A161,'Intake Responses'!$A:$A,'Intake Responses'!$T:$T),"")</f>
        <v/>
      </c>
      <c r="M161" s="3">
        <f>IFERROR(XLOOKUP(A161,'Intake Responses'!$A:$A,'Intake Responses'!$U:$U),"")</f>
        <v/>
      </c>
      <c r="N161" s="3">
        <f>IFERROR(XLOOKUP(A161,'Intake Responses'!$A:$A,'Intake Responses'!$V:$V),"")</f>
        <v/>
      </c>
      <c r="O161" s="3">
        <f>IFERROR(XLOOKUP(A161,'Intake Responses'!$A:$A,'Intake Responses'!$W:$W),"")</f>
        <v/>
      </c>
      <c r="P161" s="3">
        <f>IFERROR(XLOOKUP(A161,'Intake Responses'!$A:$A,'Intake Responses'!$X:$X),"")</f>
        <v/>
      </c>
      <c r="Q161" s="3">
        <f>IFERROR(XLOOKUP(A161,'Intake Responses'!$A:$A,'Intake Responses'!$AF:$AF),"")</f>
        <v/>
      </c>
      <c r="R161" s="3">
        <f>IFERROR(XLOOKUP(A161,'Intake Responses'!$A:$A,'Intake Responses'!$S:$S),"")</f>
        <v/>
      </c>
      <c r="S161" s="3" t="n"/>
      <c r="T161" s="3" t="n"/>
      <c r="U161" s="3" t="n"/>
      <c r="V161" s="3">
        <f>IFERROR(MIN(5,ROUND(((M161+O161)/2)+(IF(J161&gt;=20,2,IF(J161&gt;=10,1.5,IF(J161&gt;=5,1,IF(J161&gt;=1,0.5,0))))),1)),0)</f>
        <v/>
      </c>
      <c r="W161" s="3">
        <f>IFERROR(SWITCH(F161,"Multiple times per day",5,"Daily",4,"Weekly",3,"Monthly",2,"Quarterly",1,"Ad hoc",1,"Unknown",0),0)</f>
        <v/>
      </c>
      <c r="X161" s="3">
        <f>IFERROR(ROUND(AVERAGE(L161,N161),1),0)</f>
        <v/>
      </c>
      <c r="Y161" s="3">
        <f>IFERROR(SWITCH(U161,"High",3,"Medium",2,"Low",0,"Unknown",1,1)+IF(Q161="Yes",2,IF(Q161="Unsure",1,0)),0)</f>
        <v/>
      </c>
      <c r="Z161" s="3">
        <f>IFERROR(ROUND((V161*2)+(W161*1)+(X161*2)+(IF(T161="Easy",2,IF(T161="Medium",1,IF(T161="Hard",-1,0))))-(Y161*2),1),0)</f>
        <v/>
      </c>
      <c r="AA161" s="3">
        <f>IFERROR(IF(S161="Not a fit","Not a Fit",IF(Y161&gt;=5,"High Risk / Needs Review",IF(AND(Z161&gt;=18,T161="Easy"),"Quick Win",IF(AND(Z161&gt;=18,T161&lt;&gt;"Easy"),"Strategic Project",IF(Z161&gt;=10,"Discovery Needed","Process Issue"))))),"")</f>
        <v/>
      </c>
      <c r="AB161" s="3">
        <f>IFERROR(SWITCH(AA161,"Quick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1" s="3" t="n"/>
      <c r="AD161" s="3" t="n"/>
      <c r="AE161" s="3" t="n"/>
    </row>
    <row r="162" ht="25" customHeight="1">
      <c r="A162" s="2" t="n"/>
      <c r="B162" s="2">
        <f>IFERROR(XLOOKUP(A162,'Intake Responses'!$A:$A,'Intake Responses'!$E:$E),"")</f>
        <v/>
      </c>
      <c r="C162" s="2">
        <f>IFERROR(XLOOKUP(A162,'Intake Responses'!$A:$A,'Intake Responses'!$D:$D),"")</f>
        <v/>
      </c>
      <c r="D162" s="2">
        <f>IFERROR(XLOOKUP(A162,'Intake Responses'!$A:$A,'Intake Responses'!$F:$F),"")</f>
        <v/>
      </c>
      <c r="E162" s="2" t="n"/>
      <c r="F162" s="2">
        <f>IFERROR(XLOOKUP(A162,'Intake Responses'!$A:$A,'Intake Responses'!$M:$M),"")</f>
        <v/>
      </c>
      <c r="G162" s="2">
        <f>IFERROR(XLOOKUP(A162,'Intake Responses'!$A:$A,'Intake Responses'!$N:$N),"")</f>
        <v/>
      </c>
      <c r="H162" s="2">
        <f>IFERROR(XLOOKUP(A162,'Intake Responses'!$A:$A,'Intake Responses'!$O:$O),"")</f>
        <v/>
      </c>
      <c r="I162" s="2">
        <f>IFERROR(SWITCH(F162,"Multiple times per day",60,"Daily",20,"Weekly",4,"Monthly",1,"Quarterly",0.33,"Ad hoc",0.5,"Unknown",0),0)</f>
        <v/>
      </c>
      <c r="J162" s="2">
        <f>IFERROR((G162*H162*I162)/60,0)</f>
        <v/>
      </c>
      <c r="K162" s="2">
        <f>IFERROR(J162*12,0)</f>
        <v/>
      </c>
      <c r="L162" s="2">
        <f>IFERROR(XLOOKUP(A162,'Intake Responses'!$A:$A,'Intake Responses'!$T:$T),"")</f>
        <v/>
      </c>
      <c r="M162" s="2">
        <f>IFERROR(XLOOKUP(A162,'Intake Responses'!$A:$A,'Intake Responses'!$U:$U),"")</f>
        <v/>
      </c>
      <c r="N162" s="2">
        <f>IFERROR(XLOOKUP(A162,'Intake Responses'!$A:$A,'Intake Responses'!$V:$V),"")</f>
        <v/>
      </c>
      <c r="O162" s="2">
        <f>IFERROR(XLOOKUP(A162,'Intake Responses'!$A:$A,'Intake Responses'!$W:$W),"")</f>
        <v/>
      </c>
      <c r="P162" s="2">
        <f>IFERROR(XLOOKUP(A162,'Intake Responses'!$A:$A,'Intake Responses'!$X:$X),"")</f>
        <v/>
      </c>
      <c r="Q162" s="2">
        <f>IFERROR(XLOOKUP(A162,'Intake Responses'!$A:$A,'Intake Responses'!$AF:$AF),"")</f>
        <v/>
      </c>
      <c r="R162" s="2">
        <f>IFERROR(XLOOKUP(A162,'Intake Responses'!$A:$A,'Intake Responses'!$S:$S),"")</f>
        <v/>
      </c>
      <c r="S162" s="2" t="n"/>
      <c r="T162" s="2" t="n"/>
      <c r="U162" s="2" t="n"/>
      <c r="V162" s="2">
        <f>IFERROR(MIN(5,ROUND(((M162+O162)/2)+(IF(J162&gt;=20,2,IF(J162&gt;=10,1.5,IF(J162&gt;=5,1,IF(J162&gt;=1,0.5,0))))),1)),0)</f>
        <v/>
      </c>
      <c r="W162" s="2">
        <f>IFERROR(SWITCH(F162,"Multiple times per day",5,"Daily",4,"Weekly",3,"Monthly",2,"Quarterly",1,"Ad hoc",1,"Unknown",0),0)</f>
        <v/>
      </c>
      <c r="X162" s="2">
        <f>IFERROR(ROUND(AVERAGE(L162,N162),1),0)</f>
        <v/>
      </c>
      <c r="Y162" s="2">
        <f>IFERROR(SWITCH(U162,"High",3,"Medium",2,"Low",0,"Unknown",1,1)+IF(Q162="Yes",2,IF(Q162="Unsure",1,0)),0)</f>
        <v/>
      </c>
      <c r="Z162" s="2">
        <f>IFERROR(ROUND((V162*2)+(W162*1)+(X162*2)+(IF(T162="Easy",2,IF(T162="Medium",1,IF(T162="Hard",-1,0))))-(Y162*2),1),0)</f>
        <v/>
      </c>
      <c r="AA162" s="2">
        <f>IFERROR(IF(S162="Not a fit","Not a Fit",IF(Y162&gt;=5,"High Risk / Needs Review",IF(AND(Z162&gt;=18,T162="Easy"),"Quick Win",IF(AND(Z162&gt;=18,T162&lt;&gt;"Easy"),"Strategic Project",IF(Z162&gt;=10,"Discovery Needed","Process Issue"))))),"")</f>
        <v/>
      </c>
      <c r="AB162" s="2">
        <f>IFERROR(SWITCH(AA162,"Quick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2" s="2" t="n"/>
      <c r="AD162" s="2" t="n"/>
      <c r="AE162" s="2" t="n"/>
    </row>
    <row r="163" ht="25" customHeight="1">
      <c r="A163" s="3" t="n"/>
      <c r="B163" s="3">
        <f>IFERROR(XLOOKUP(A163,'Intake Responses'!$A:$A,'Intake Responses'!$E:$E),"")</f>
        <v/>
      </c>
      <c r="C163" s="3">
        <f>IFERROR(XLOOKUP(A163,'Intake Responses'!$A:$A,'Intake Responses'!$D:$D),"")</f>
        <v/>
      </c>
      <c r="D163" s="3">
        <f>IFERROR(XLOOKUP(A163,'Intake Responses'!$A:$A,'Intake Responses'!$F:$F),"")</f>
        <v/>
      </c>
      <c r="E163" s="3" t="n"/>
      <c r="F163" s="3">
        <f>IFERROR(XLOOKUP(A163,'Intake Responses'!$A:$A,'Intake Responses'!$M:$M),"")</f>
        <v/>
      </c>
      <c r="G163" s="3">
        <f>IFERROR(XLOOKUP(A163,'Intake Responses'!$A:$A,'Intake Responses'!$N:$N),"")</f>
        <v/>
      </c>
      <c r="H163" s="3">
        <f>IFERROR(XLOOKUP(A163,'Intake Responses'!$A:$A,'Intake Responses'!$O:$O),"")</f>
        <v/>
      </c>
      <c r="I163" s="3">
        <f>IFERROR(SWITCH(F163,"Multiple times per day",60,"Daily",20,"Weekly",4,"Monthly",1,"Quarterly",0.33,"Ad hoc",0.5,"Unknown",0),0)</f>
        <v/>
      </c>
      <c r="J163" s="3">
        <f>IFERROR((G163*H163*I163)/60,0)</f>
        <v/>
      </c>
      <c r="K163" s="3">
        <f>IFERROR(J163*12,0)</f>
        <v/>
      </c>
      <c r="L163" s="3">
        <f>IFERROR(XLOOKUP(A163,'Intake Responses'!$A:$A,'Intake Responses'!$T:$T),"")</f>
        <v/>
      </c>
      <c r="M163" s="3">
        <f>IFERROR(XLOOKUP(A163,'Intake Responses'!$A:$A,'Intake Responses'!$U:$U),"")</f>
        <v/>
      </c>
      <c r="N163" s="3">
        <f>IFERROR(XLOOKUP(A163,'Intake Responses'!$A:$A,'Intake Responses'!$V:$V),"")</f>
        <v/>
      </c>
      <c r="O163" s="3">
        <f>IFERROR(XLOOKUP(A163,'Intake Responses'!$A:$A,'Intake Responses'!$W:$W),"")</f>
        <v/>
      </c>
      <c r="P163" s="3">
        <f>IFERROR(XLOOKUP(A163,'Intake Responses'!$A:$A,'Intake Responses'!$X:$X),"")</f>
        <v/>
      </c>
      <c r="Q163" s="3">
        <f>IFERROR(XLOOKUP(A163,'Intake Responses'!$A:$A,'Intake Responses'!$AF:$AF),"")</f>
        <v/>
      </c>
      <c r="R163" s="3">
        <f>IFERROR(XLOOKUP(A163,'Intake Responses'!$A:$A,'Intake Responses'!$S:$S),"")</f>
        <v/>
      </c>
      <c r="S163" s="3" t="n"/>
      <c r="T163" s="3" t="n"/>
      <c r="U163" s="3" t="n"/>
      <c r="V163" s="3">
        <f>IFERROR(MIN(5,ROUND(((M163+O163)/2)+(IF(J163&gt;=20,2,IF(J163&gt;=10,1.5,IF(J163&gt;=5,1,IF(J163&gt;=1,0.5,0))))),1)),0)</f>
        <v/>
      </c>
      <c r="W163" s="3">
        <f>IFERROR(SWITCH(F163,"Multiple times per day",5,"Daily",4,"Weekly",3,"Monthly",2,"Quarterly",1,"Ad hoc",1,"Unknown",0),0)</f>
        <v/>
      </c>
      <c r="X163" s="3">
        <f>IFERROR(ROUND(AVERAGE(L163,N163),1),0)</f>
        <v/>
      </c>
      <c r="Y163" s="3">
        <f>IFERROR(SWITCH(U163,"High",3,"Medium",2,"Low",0,"Unknown",1,1)+IF(Q163="Yes",2,IF(Q163="Unsure",1,0)),0)</f>
        <v/>
      </c>
      <c r="Z163" s="3">
        <f>IFERROR(ROUND((V163*2)+(W163*1)+(X163*2)+(IF(T163="Easy",2,IF(T163="Medium",1,IF(T163="Hard",-1,0))))-(Y163*2),1),0)</f>
        <v/>
      </c>
      <c r="AA163" s="3">
        <f>IFERROR(IF(S163="Not a fit","Not a Fit",IF(Y163&gt;=5,"High Risk / Needs Review",IF(AND(Z163&gt;=18,T163="Easy"),"Quick Win",IF(AND(Z163&gt;=18,T163&lt;&gt;"Easy"),"Strategic Project",IF(Z163&gt;=10,"Discovery Needed","Process Issue"))))),"")</f>
        <v/>
      </c>
      <c r="AB163" s="3">
        <f>IFERROR(SWITCH(AA163,"Quick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3" s="3" t="n"/>
      <c r="AD163" s="3" t="n"/>
      <c r="AE163" s="3" t="n"/>
    </row>
    <row r="164" ht="25" customHeight="1">
      <c r="A164" s="2" t="n"/>
      <c r="B164" s="2">
        <f>IFERROR(XLOOKUP(A164,'Intake Responses'!$A:$A,'Intake Responses'!$E:$E),"")</f>
        <v/>
      </c>
      <c r="C164" s="2">
        <f>IFERROR(XLOOKUP(A164,'Intake Responses'!$A:$A,'Intake Responses'!$D:$D),"")</f>
        <v/>
      </c>
      <c r="D164" s="2">
        <f>IFERROR(XLOOKUP(A164,'Intake Responses'!$A:$A,'Intake Responses'!$F:$F),"")</f>
        <v/>
      </c>
      <c r="E164" s="2" t="n"/>
      <c r="F164" s="2">
        <f>IFERROR(XLOOKUP(A164,'Intake Responses'!$A:$A,'Intake Responses'!$M:$M),"")</f>
        <v/>
      </c>
      <c r="G164" s="2">
        <f>IFERROR(XLOOKUP(A164,'Intake Responses'!$A:$A,'Intake Responses'!$N:$N),"")</f>
        <v/>
      </c>
      <c r="H164" s="2">
        <f>IFERROR(XLOOKUP(A164,'Intake Responses'!$A:$A,'Intake Responses'!$O:$O),"")</f>
        <v/>
      </c>
      <c r="I164" s="2">
        <f>IFERROR(SWITCH(F164,"Multiple times per day",60,"Daily",20,"Weekly",4,"Monthly",1,"Quarterly",0.33,"Ad hoc",0.5,"Unknown",0),0)</f>
        <v/>
      </c>
      <c r="J164" s="2">
        <f>IFERROR((G164*H164*I164)/60,0)</f>
        <v/>
      </c>
      <c r="K164" s="2">
        <f>IFERROR(J164*12,0)</f>
        <v/>
      </c>
      <c r="L164" s="2">
        <f>IFERROR(XLOOKUP(A164,'Intake Responses'!$A:$A,'Intake Responses'!$T:$T),"")</f>
        <v/>
      </c>
      <c r="M164" s="2">
        <f>IFERROR(XLOOKUP(A164,'Intake Responses'!$A:$A,'Intake Responses'!$U:$U),"")</f>
        <v/>
      </c>
      <c r="N164" s="2">
        <f>IFERROR(XLOOKUP(A164,'Intake Responses'!$A:$A,'Intake Responses'!$V:$V),"")</f>
        <v/>
      </c>
      <c r="O164" s="2">
        <f>IFERROR(XLOOKUP(A164,'Intake Responses'!$A:$A,'Intake Responses'!$W:$W),"")</f>
        <v/>
      </c>
      <c r="P164" s="2">
        <f>IFERROR(XLOOKUP(A164,'Intake Responses'!$A:$A,'Intake Responses'!$X:$X),"")</f>
        <v/>
      </c>
      <c r="Q164" s="2">
        <f>IFERROR(XLOOKUP(A164,'Intake Responses'!$A:$A,'Intake Responses'!$AF:$AF),"")</f>
        <v/>
      </c>
      <c r="R164" s="2">
        <f>IFERROR(XLOOKUP(A164,'Intake Responses'!$A:$A,'Intake Responses'!$S:$S),"")</f>
        <v/>
      </c>
      <c r="S164" s="2" t="n"/>
      <c r="T164" s="2" t="n"/>
      <c r="U164" s="2" t="n"/>
      <c r="V164" s="2">
        <f>IFERROR(MIN(5,ROUND(((M164+O164)/2)+(IF(J164&gt;=20,2,IF(J164&gt;=10,1.5,IF(J164&gt;=5,1,IF(J164&gt;=1,0.5,0))))),1)),0)</f>
        <v/>
      </c>
      <c r="W164" s="2">
        <f>IFERROR(SWITCH(F164,"Multiple times per day",5,"Daily",4,"Weekly",3,"Monthly",2,"Quarterly",1,"Ad hoc",1,"Unknown",0),0)</f>
        <v/>
      </c>
      <c r="X164" s="2">
        <f>IFERROR(ROUND(AVERAGE(L164,N164),1),0)</f>
        <v/>
      </c>
      <c r="Y164" s="2">
        <f>IFERROR(SWITCH(U164,"High",3,"Medium",2,"Low",0,"Unknown",1,1)+IF(Q164="Yes",2,IF(Q164="Unsure",1,0)),0)</f>
        <v/>
      </c>
      <c r="Z164" s="2">
        <f>IFERROR(ROUND((V164*2)+(W164*1)+(X164*2)+(IF(T164="Easy",2,IF(T164="Medium",1,IF(T164="Hard",-1,0))))-(Y164*2),1),0)</f>
        <v/>
      </c>
      <c r="AA164" s="2">
        <f>IFERROR(IF(S164="Not a fit","Not a Fit",IF(Y164&gt;=5,"High Risk / Needs Review",IF(AND(Z164&gt;=18,T164="Easy"),"Quick Win",IF(AND(Z164&gt;=18,T164&lt;&gt;"Easy"),"Strategic Project",IF(Z164&gt;=10,"Discovery Needed","Process Issue"))))),"")</f>
        <v/>
      </c>
      <c r="AB164" s="2">
        <f>IFERROR(SWITCH(AA164,"Quick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4" s="2" t="n"/>
      <c r="AD164" s="2" t="n"/>
      <c r="AE164" s="2" t="n"/>
    </row>
    <row r="165" ht="25" customHeight="1">
      <c r="A165" s="3" t="n"/>
      <c r="B165" s="3">
        <f>IFERROR(XLOOKUP(A165,'Intake Responses'!$A:$A,'Intake Responses'!$E:$E),"")</f>
        <v/>
      </c>
      <c r="C165" s="3">
        <f>IFERROR(XLOOKUP(A165,'Intake Responses'!$A:$A,'Intake Responses'!$D:$D),"")</f>
        <v/>
      </c>
      <c r="D165" s="3">
        <f>IFERROR(XLOOKUP(A165,'Intake Responses'!$A:$A,'Intake Responses'!$F:$F),"")</f>
        <v/>
      </c>
      <c r="E165" s="3" t="n"/>
      <c r="F165" s="3">
        <f>IFERROR(XLOOKUP(A165,'Intake Responses'!$A:$A,'Intake Responses'!$M:$M),"")</f>
        <v/>
      </c>
      <c r="G165" s="3">
        <f>IFERROR(XLOOKUP(A165,'Intake Responses'!$A:$A,'Intake Responses'!$N:$N),"")</f>
        <v/>
      </c>
      <c r="H165" s="3">
        <f>IFERROR(XLOOKUP(A165,'Intake Responses'!$A:$A,'Intake Responses'!$O:$O),"")</f>
        <v/>
      </c>
      <c r="I165" s="3">
        <f>IFERROR(SWITCH(F165,"Multiple times per day",60,"Daily",20,"Weekly",4,"Monthly",1,"Quarterly",0.33,"Ad hoc",0.5,"Unknown",0),0)</f>
        <v/>
      </c>
      <c r="J165" s="3">
        <f>IFERROR((G165*H165*I165)/60,0)</f>
        <v/>
      </c>
      <c r="K165" s="3">
        <f>IFERROR(J165*12,0)</f>
        <v/>
      </c>
      <c r="L165" s="3">
        <f>IFERROR(XLOOKUP(A165,'Intake Responses'!$A:$A,'Intake Responses'!$T:$T),"")</f>
        <v/>
      </c>
      <c r="M165" s="3">
        <f>IFERROR(XLOOKUP(A165,'Intake Responses'!$A:$A,'Intake Responses'!$U:$U),"")</f>
        <v/>
      </c>
      <c r="N165" s="3">
        <f>IFERROR(XLOOKUP(A165,'Intake Responses'!$A:$A,'Intake Responses'!$V:$V),"")</f>
        <v/>
      </c>
      <c r="O165" s="3">
        <f>IFERROR(XLOOKUP(A165,'Intake Responses'!$A:$A,'Intake Responses'!$W:$W),"")</f>
        <v/>
      </c>
      <c r="P165" s="3">
        <f>IFERROR(XLOOKUP(A165,'Intake Responses'!$A:$A,'Intake Responses'!$X:$X),"")</f>
        <v/>
      </c>
      <c r="Q165" s="3">
        <f>IFERROR(XLOOKUP(A165,'Intake Responses'!$A:$A,'Intake Responses'!$AF:$AF),"")</f>
        <v/>
      </c>
      <c r="R165" s="3">
        <f>IFERROR(XLOOKUP(A165,'Intake Responses'!$A:$A,'Intake Responses'!$S:$S),"")</f>
        <v/>
      </c>
      <c r="S165" s="3" t="n"/>
      <c r="T165" s="3" t="n"/>
      <c r="U165" s="3" t="n"/>
      <c r="V165" s="3">
        <f>IFERROR(MIN(5,ROUND(((M165+O165)/2)+(IF(J165&gt;=20,2,IF(J165&gt;=10,1.5,IF(J165&gt;=5,1,IF(J165&gt;=1,0.5,0))))),1)),0)</f>
        <v/>
      </c>
      <c r="W165" s="3">
        <f>IFERROR(SWITCH(F165,"Multiple times per day",5,"Daily",4,"Weekly",3,"Monthly",2,"Quarterly",1,"Ad hoc",1,"Unknown",0),0)</f>
        <v/>
      </c>
      <c r="X165" s="3">
        <f>IFERROR(ROUND(AVERAGE(L165,N165),1),0)</f>
        <v/>
      </c>
      <c r="Y165" s="3">
        <f>IFERROR(SWITCH(U165,"High",3,"Medium",2,"Low",0,"Unknown",1,1)+IF(Q165="Yes",2,IF(Q165="Unsure",1,0)),0)</f>
        <v/>
      </c>
      <c r="Z165" s="3">
        <f>IFERROR(ROUND((V165*2)+(W165*1)+(X165*2)+(IF(T165="Easy",2,IF(T165="Medium",1,IF(T165="Hard",-1,0))))-(Y165*2),1),0)</f>
        <v/>
      </c>
      <c r="AA165" s="3">
        <f>IFERROR(IF(S165="Not a fit","Not a Fit",IF(Y165&gt;=5,"High Risk / Needs Review",IF(AND(Z165&gt;=18,T165="Easy"),"Quick Win",IF(AND(Z165&gt;=18,T165&lt;&gt;"Easy"),"Strategic Project",IF(Z165&gt;=10,"Discovery Needed","Process Issue"))))),"")</f>
        <v/>
      </c>
      <c r="AB165" s="3">
        <f>IFERROR(SWITCH(AA165,"Quick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5" s="3" t="n"/>
      <c r="AD165" s="3" t="n"/>
      <c r="AE165" s="3" t="n"/>
    </row>
    <row r="166" ht="25" customHeight="1">
      <c r="A166" s="2" t="n"/>
      <c r="B166" s="2">
        <f>IFERROR(XLOOKUP(A166,'Intake Responses'!$A:$A,'Intake Responses'!$E:$E),"")</f>
        <v/>
      </c>
      <c r="C166" s="2">
        <f>IFERROR(XLOOKUP(A166,'Intake Responses'!$A:$A,'Intake Responses'!$D:$D),"")</f>
        <v/>
      </c>
      <c r="D166" s="2">
        <f>IFERROR(XLOOKUP(A166,'Intake Responses'!$A:$A,'Intake Responses'!$F:$F),"")</f>
        <v/>
      </c>
      <c r="E166" s="2" t="n"/>
      <c r="F166" s="2">
        <f>IFERROR(XLOOKUP(A166,'Intake Responses'!$A:$A,'Intake Responses'!$M:$M),"")</f>
        <v/>
      </c>
      <c r="G166" s="2">
        <f>IFERROR(XLOOKUP(A166,'Intake Responses'!$A:$A,'Intake Responses'!$N:$N),"")</f>
        <v/>
      </c>
      <c r="H166" s="2">
        <f>IFERROR(XLOOKUP(A166,'Intake Responses'!$A:$A,'Intake Responses'!$O:$O),"")</f>
        <v/>
      </c>
      <c r="I166" s="2">
        <f>IFERROR(SWITCH(F166,"Multiple times per day",60,"Daily",20,"Weekly",4,"Monthly",1,"Quarterly",0.33,"Ad hoc",0.5,"Unknown",0),0)</f>
        <v/>
      </c>
      <c r="J166" s="2">
        <f>IFERROR((G166*H166*I166)/60,0)</f>
        <v/>
      </c>
      <c r="K166" s="2">
        <f>IFERROR(J166*12,0)</f>
        <v/>
      </c>
      <c r="L166" s="2">
        <f>IFERROR(XLOOKUP(A166,'Intake Responses'!$A:$A,'Intake Responses'!$T:$T),"")</f>
        <v/>
      </c>
      <c r="M166" s="2">
        <f>IFERROR(XLOOKUP(A166,'Intake Responses'!$A:$A,'Intake Responses'!$U:$U),"")</f>
        <v/>
      </c>
      <c r="N166" s="2">
        <f>IFERROR(XLOOKUP(A166,'Intake Responses'!$A:$A,'Intake Responses'!$V:$V),"")</f>
        <v/>
      </c>
      <c r="O166" s="2">
        <f>IFERROR(XLOOKUP(A166,'Intake Responses'!$A:$A,'Intake Responses'!$W:$W),"")</f>
        <v/>
      </c>
      <c r="P166" s="2">
        <f>IFERROR(XLOOKUP(A166,'Intake Responses'!$A:$A,'Intake Responses'!$X:$X),"")</f>
        <v/>
      </c>
      <c r="Q166" s="2">
        <f>IFERROR(XLOOKUP(A166,'Intake Responses'!$A:$A,'Intake Responses'!$AF:$AF),"")</f>
        <v/>
      </c>
      <c r="R166" s="2">
        <f>IFERROR(XLOOKUP(A166,'Intake Responses'!$A:$A,'Intake Responses'!$S:$S),"")</f>
        <v/>
      </c>
      <c r="S166" s="2" t="n"/>
      <c r="T166" s="2" t="n"/>
      <c r="U166" s="2" t="n"/>
      <c r="V166" s="2">
        <f>IFERROR(MIN(5,ROUND(((M166+O166)/2)+(IF(J166&gt;=20,2,IF(J166&gt;=10,1.5,IF(J166&gt;=5,1,IF(J166&gt;=1,0.5,0))))),1)),0)</f>
        <v/>
      </c>
      <c r="W166" s="2">
        <f>IFERROR(SWITCH(F166,"Multiple times per day",5,"Daily",4,"Weekly",3,"Monthly",2,"Quarterly",1,"Ad hoc",1,"Unknown",0),0)</f>
        <v/>
      </c>
      <c r="X166" s="2">
        <f>IFERROR(ROUND(AVERAGE(L166,N166),1),0)</f>
        <v/>
      </c>
      <c r="Y166" s="2">
        <f>IFERROR(SWITCH(U166,"High",3,"Medium",2,"Low",0,"Unknown",1,1)+IF(Q166="Yes",2,IF(Q166="Unsure",1,0)),0)</f>
        <v/>
      </c>
      <c r="Z166" s="2">
        <f>IFERROR(ROUND((V166*2)+(W166*1)+(X166*2)+(IF(T166="Easy",2,IF(T166="Medium",1,IF(T166="Hard",-1,0))))-(Y166*2),1),0)</f>
        <v/>
      </c>
      <c r="AA166" s="2">
        <f>IFERROR(IF(S166="Not a fit","Not a Fit",IF(Y166&gt;=5,"High Risk / Needs Review",IF(AND(Z166&gt;=18,T166="Easy"),"Quick Win",IF(AND(Z166&gt;=18,T166&lt;&gt;"Easy"),"Strategic Project",IF(Z166&gt;=10,"Discovery Needed","Process Issue"))))),"")</f>
        <v/>
      </c>
      <c r="AB166" s="2">
        <f>IFERROR(SWITCH(AA166,"Quick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6" s="2" t="n"/>
      <c r="AD166" s="2" t="n"/>
      <c r="AE166" s="2" t="n"/>
    </row>
    <row r="167" ht="25" customHeight="1">
      <c r="A167" s="3" t="n"/>
      <c r="B167" s="3">
        <f>IFERROR(XLOOKUP(A167,'Intake Responses'!$A:$A,'Intake Responses'!$E:$E),"")</f>
        <v/>
      </c>
      <c r="C167" s="3">
        <f>IFERROR(XLOOKUP(A167,'Intake Responses'!$A:$A,'Intake Responses'!$D:$D),"")</f>
        <v/>
      </c>
      <c r="D167" s="3">
        <f>IFERROR(XLOOKUP(A167,'Intake Responses'!$A:$A,'Intake Responses'!$F:$F),"")</f>
        <v/>
      </c>
      <c r="E167" s="3" t="n"/>
      <c r="F167" s="3">
        <f>IFERROR(XLOOKUP(A167,'Intake Responses'!$A:$A,'Intake Responses'!$M:$M),"")</f>
        <v/>
      </c>
      <c r="G167" s="3">
        <f>IFERROR(XLOOKUP(A167,'Intake Responses'!$A:$A,'Intake Responses'!$N:$N),"")</f>
        <v/>
      </c>
      <c r="H167" s="3">
        <f>IFERROR(XLOOKUP(A167,'Intake Responses'!$A:$A,'Intake Responses'!$O:$O),"")</f>
        <v/>
      </c>
      <c r="I167" s="3">
        <f>IFERROR(SWITCH(F167,"Multiple times per day",60,"Daily",20,"Weekly",4,"Monthly",1,"Quarterly",0.33,"Ad hoc",0.5,"Unknown",0),0)</f>
        <v/>
      </c>
      <c r="J167" s="3">
        <f>IFERROR((G167*H167*I167)/60,0)</f>
        <v/>
      </c>
      <c r="K167" s="3">
        <f>IFERROR(J167*12,0)</f>
        <v/>
      </c>
      <c r="L167" s="3">
        <f>IFERROR(XLOOKUP(A167,'Intake Responses'!$A:$A,'Intake Responses'!$T:$T),"")</f>
        <v/>
      </c>
      <c r="M167" s="3">
        <f>IFERROR(XLOOKUP(A167,'Intake Responses'!$A:$A,'Intake Responses'!$U:$U),"")</f>
        <v/>
      </c>
      <c r="N167" s="3">
        <f>IFERROR(XLOOKUP(A167,'Intake Responses'!$A:$A,'Intake Responses'!$V:$V),"")</f>
        <v/>
      </c>
      <c r="O167" s="3">
        <f>IFERROR(XLOOKUP(A167,'Intake Responses'!$A:$A,'Intake Responses'!$W:$W),"")</f>
        <v/>
      </c>
      <c r="P167" s="3">
        <f>IFERROR(XLOOKUP(A167,'Intake Responses'!$A:$A,'Intake Responses'!$X:$X),"")</f>
        <v/>
      </c>
      <c r="Q167" s="3">
        <f>IFERROR(XLOOKUP(A167,'Intake Responses'!$A:$A,'Intake Responses'!$AF:$AF),"")</f>
        <v/>
      </c>
      <c r="R167" s="3">
        <f>IFERROR(XLOOKUP(A167,'Intake Responses'!$A:$A,'Intake Responses'!$S:$S),"")</f>
        <v/>
      </c>
      <c r="S167" s="3" t="n"/>
      <c r="T167" s="3" t="n"/>
      <c r="U167" s="3" t="n"/>
      <c r="V167" s="3">
        <f>IFERROR(MIN(5,ROUND(((M167+O167)/2)+(IF(J167&gt;=20,2,IF(J167&gt;=10,1.5,IF(J167&gt;=5,1,IF(J167&gt;=1,0.5,0))))),1)),0)</f>
        <v/>
      </c>
      <c r="W167" s="3">
        <f>IFERROR(SWITCH(F167,"Multiple times per day",5,"Daily",4,"Weekly",3,"Monthly",2,"Quarterly",1,"Ad hoc",1,"Unknown",0),0)</f>
        <v/>
      </c>
      <c r="X167" s="3">
        <f>IFERROR(ROUND(AVERAGE(L167,N167),1),0)</f>
        <v/>
      </c>
      <c r="Y167" s="3">
        <f>IFERROR(SWITCH(U167,"High",3,"Medium",2,"Low",0,"Unknown",1,1)+IF(Q167="Yes",2,IF(Q167="Unsure",1,0)),0)</f>
        <v/>
      </c>
      <c r="Z167" s="3">
        <f>IFERROR(ROUND((V167*2)+(W167*1)+(X167*2)+(IF(T167="Easy",2,IF(T167="Medium",1,IF(T167="Hard",-1,0))))-(Y167*2),1),0)</f>
        <v/>
      </c>
      <c r="AA167" s="3">
        <f>IFERROR(IF(S167="Not a fit","Not a Fit",IF(Y167&gt;=5,"High Risk / Needs Review",IF(AND(Z167&gt;=18,T167="Easy"),"Quick Win",IF(AND(Z167&gt;=18,T167&lt;&gt;"Easy"),"Strategic Project",IF(Z167&gt;=10,"Discovery Needed","Process Issue"))))),"")</f>
        <v/>
      </c>
      <c r="AB167" s="3">
        <f>IFERROR(SWITCH(AA167,"Quick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7" s="3" t="n"/>
      <c r="AD167" s="3" t="n"/>
      <c r="AE167" s="3" t="n"/>
    </row>
    <row r="168" ht="25" customHeight="1">
      <c r="A168" s="2" t="n"/>
      <c r="B168" s="2">
        <f>IFERROR(XLOOKUP(A168,'Intake Responses'!$A:$A,'Intake Responses'!$E:$E),"")</f>
        <v/>
      </c>
      <c r="C168" s="2">
        <f>IFERROR(XLOOKUP(A168,'Intake Responses'!$A:$A,'Intake Responses'!$D:$D),"")</f>
        <v/>
      </c>
      <c r="D168" s="2">
        <f>IFERROR(XLOOKUP(A168,'Intake Responses'!$A:$A,'Intake Responses'!$F:$F),"")</f>
        <v/>
      </c>
      <c r="E168" s="2" t="n"/>
      <c r="F168" s="2">
        <f>IFERROR(XLOOKUP(A168,'Intake Responses'!$A:$A,'Intake Responses'!$M:$M),"")</f>
        <v/>
      </c>
      <c r="G168" s="2">
        <f>IFERROR(XLOOKUP(A168,'Intake Responses'!$A:$A,'Intake Responses'!$N:$N),"")</f>
        <v/>
      </c>
      <c r="H168" s="2">
        <f>IFERROR(XLOOKUP(A168,'Intake Responses'!$A:$A,'Intake Responses'!$O:$O),"")</f>
        <v/>
      </c>
      <c r="I168" s="2">
        <f>IFERROR(SWITCH(F168,"Multiple times per day",60,"Daily",20,"Weekly",4,"Monthly",1,"Quarterly",0.33,"Ad hoc",0.5,"Unknown",0),0)</f>
        <v/>
      </c>
      <c r="J168" s="2">
        <f>IFERROR((G168*H168*I168)/60,0)</f>
        <v/>
      </c>
      <c r="K168" s="2">
        <f>IFERROR(J168*12,0)</f>
        <v/>
      </c>
      <c r="L168" s="2">
        <f>IFERROR(XLOOKUP(A168,'Intake Responses'!$A:$A,'Intake Responses'!$T:$T),"")</f>
        <v/>
      </c>
      <c r="M168" s="2">
        <f>IFERROR(XLOOKUP(A168,'Intake Responses'!$A:$A,'Intake Responses'!$U:$U),"")</f>
        <v/>
      </c>
      <c r="N168" s="2">
        <f>IFERROR(XLOOKUP(A168,'Intake Responses'!$A:$A,'Intake Responses'!$V:$V),"")</f>
        <v/>
      </c>
      <c r="O168" s="2">
        <f>IFERROR(XLOOKUP(A168,'Intake Responses'!$A:$A,'Intake Responses'!$W:$W),"")</f>
        <v/>
      </c>
      <c r="P168" s="2">
        <f>IFERROR(XLOOKUP(A168,'Intake Responses'!$A:$A,'Intake Responses'!$X:$X),"")</f>
        <v/>
      </c>
      <c r="Q168" s="2">
        <f>IFERROR(XLOOKUP(A168,'Intake Responses'!$A:$A,'Intake Responses'!$AF:$AF),"")</f>
        <v/>
      </c>
      <c r="R168" s="2">
        <f>IFERROR(XLOOKUP(A168,'Intake Responses'!$A:$A,'Intake Responses'!$S:$S),"")</f>
        <v/>
      </c>
      <c r="S168" s="2" t="n"/>
      <c r="T168" s="2" t="n"/>
      <c r="U168" s="2" t="n"/>
      <c r="V168" s="2">
        <f>IFERROR(MIN(5,ROUND(((M168+O168)/2)+(IF(J168&gt;=20,2,IF(J168&gt;=10,1.5,IF(J168&gt;=5,1,IF(J168&gt;=1,0.5,0))))),1)),0)</f>
        <v/>
      </c>
      <c r="W168" s="2">
        <f>IFERROR(SWITCH(F168,"Multiple times per day",5,"Daily",4,"Weekly",3,"Monthly",2,"Quarterly",1,"Ad hoc",1,"Unknown",0),0)</f>
        <v/>
      </c>
      <c r="X168" s="2">
        <f>IFERROR(ROUND(AVERAGE(L168,N168),1),0)</f>
        <v/>
      </c>
      <c r="Y168" s="2">
        <f>IFERROR(SWITCH(U168,"High",3,"Medium",2,"Low",0,"Unknown",1,1)+IF(Q168="Yes",2,IF(Q168="Unsure",1,0)),0)</f>
        <v/>
      </c>
      <c r="Z168" s="2">
        <f>IFERROR(ROUND((V168*2)+(W168*1)+(X168*2)+(IF(T168="Easy",2,IF(T168="Medium",1,IF(T168="Hard",-1,0))))-(Y168*2),1),0)</f>
        <v/>
      </c>
      <c r="AA168" s="2">
        <f>IFERROR(IF(S168="Not a fit","Not a Fit",IF(Y168&gt;=5,"High Risk / Needs Review",IF(AND(Z168&gt;=18,T168="Easy"),"Quick Win",IF(AND(Z168&gt;=18,T168&lt;&gt;"Easy"),"Strategic Project",IF(Z168&gt;=10,"Discovery Needed","Process Issue"))))),"")</f>
        <v/>
      </c>
      <c r="AB168" s="2">
        <f>IFERROR(SWITCH(AA168,"Quick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8" s="2" t="n"/>
      <c r="AD168" s="2" t="n"/>
      <c r="AE168" s="2" t="n"/>
    </row>
    <row r="169" ht="25" customHeight="1">
      <c r="A169" s="3" t="n"/>
      <c r="B169" s="3">
        <f>IFERROR(XLOOKUP(A169,'Intake Responses'!$A:$A,'Intake Responses'!$E:$E),"")</f>
        <v/>
      </c>
      <c r="C169" s="3">
        <f>IFERROR(XLOOKUP(A169,'Intake Responses'!$A:$A,'Intake Responses'!$D:$D),"")</f>
        <v/>
      </c>
      <c r="D169" s="3">
        <f>IFERROR(XLOOKUP(A169,'Intake Responses'!$A:$A,'Intake Responses'!$F:$F),"")</f>
        <v/>
      </c>
      <c r="E169" s="3" t="n"/>
      <c r="F169" s="3">
        <f>IFERROR(XLOOKUP(A169,'Intake Responses'!$A:$A,'Intake Responses'!$M:$M),"")</f>
        <v/>
      </c>
      <c r="G169" s="3">
        <f>IFERROR(XLOOKUP(A169,'Intake Responses'!$A:$A,'Intake Responses'!$N:$N),"")</f>
        <v/>
      </c>
      <c r="H169" s="3">
        <f>IFERROR(XLOOKUP(A169,'Intake Responses'!$A:$A,'Intake Responses'!$O:$O),"")</f>
        <v/>
      </c>
      <c r="I169" s="3">
        <f>IFERROR(SWITCH(F169,"Multiple times per day",60,"Daily",20,"Weekly",4,"Monthly",1,"Quarterly",0.33,"Ad hoc",0.5,"Unknown",0),0)</f>
        <v/>
      </c>
      <c r="J169" s="3">
        <f>IFERROR((G169*H169*I169)/60,0)</f>
        <v/>
      </c>
      <c r="K169" s="3">
        <f>IFERROR(J169*12,0)</f>
        <v/>
      </c>
      <c r="L169" s="3">
        <f>IFERROR(XLOOKUP(A169,'Intake Responses'!$A:$A,'Intake Responses'!$T:$T),"")</f>
        <v/>
      </c>
      <c r="M169" s="3">
        <f>IFERROR(XLOOKUP(A169,'Intake Responses'!$A:$A,'Intake Responses'!$U:$U),"")</f>
        <v/>
      </c>
      <c r="N169" s="3">
        <f>IFERROR(XLOOKUP(A169,'Intake Responses'!$A:$A,'Intake Responses'!$V:$V),"")</f>
        <v/>
      </c>
      <c r="O169" s="3">
        <f>IFERROR(XLOOKUP(A169,'Intake Responses'!$A:$A,'Intake Responses'!$W:$W),"")</f>
        <v/>
      </c>
      <c r="P169" s="3">
        <f>IFERROR(XLOOKUP(A169,'Intake Responses'!$A:$A,'Intake Responses'!$X:$X),"")</f>
        <v/>
      </c>
      <c r="Q169" s="3">
        <f>IFERROR(XLOOKUP(A169,'Intake Responses'!$A:$A,'Intake Responses'!$AF:$AF),"")</f>
        <v/>
      </c>
      <c r="R169" s="3">
        <f>IFERROR(XLOOKUP(A169,'Intake Responses'!$A:$A,'Intake Responses'!$S:$S),"")</f>
        <v/>
      </c>
      <c r="S169" s="3" t="n"/>
      <c r="T169" s="3" t="n"/>
      <c r="U169" s="3" t="n"/>
      <c r="V169" s="3">
        <f>IFERROR(MIN(5,ROUND(((M169+O169)/2)+(IF(J169&gt;=20,2,IF(J169&gt;=10,1.5,IF(J169&gt;=5,1,IF(J169&gt;=1,0.5,0))))),1)),0)</f>
        <v/>
      </c>
      <c r="W169" s="3">
        <f>IFERROR(SWITCH(F169,"Multiple times per day",5,"Daily",4,"Weekly",3,"Monthly",2,"Quarterly",1,"Ad hoc",1,"Unknown",0),0)</f>
        <v/>
      </c>
      <c r="X169" s="3">
        <f>IFERROR(ROUND(AVERAGE(L169,N169),1),0)</f>
        <v/>
      </c>
      <c r="Y169" s="3">
        <f>IFERROR(SWITCH(U169,"High",3,"Medium",2,"Low",0,"Unknown",1,1)+IF(Q169="Yes",2,IF(Q169="Unsure",1,0)),0)</f>
        <v/>
      </c>
      <c r="Z169" s="3">
        <f>IFERROR(ROUND((V169*2)+(W169*1)+(X169*2)+(IF(T169="Easy",2,IF(T169="Medium",1,IF(T169="Hard",-1,0))))-(Y169*2),1),0)</f>
        <v/>
      </c>
      <c r="AA169" s="3">
        <f>IFERROR(IF(S169="Not a fit","Not a Fit",IF(Y169&gt;=5,"High Risk / Needs Review",IF(AND(Z169&gt;=18,T169="Easy"),"Quick Win",IF(AND(Z169&gt;=18,T169&lt;&gt;"Easy"),"Strategic Project",IF(Z169&gt;=10,"Discovery Needed","Process Issue"))))),"")</f>
        <v/>
      </c>
      <c r="AB169" s="3">
        <f>IFERROR(SWITCH(AA169,"Quick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69" s="3" t="n"/>
      <c r="AD169" s="3" t="n"/>
      <c r="AE169" s="3" t="n"/>
    </row>
    <row r="170" ht="25" customHeight="1">
      <c r="A170" s="2" t="n"/>
      <c r="B170" s="2">
        <f>IFERROR(XLOOKUP(A170,'Intake Responses'!$A:$A,'Intake Responses'!$E:$E),"")</f>
        <v/>
      </c>
      <c r="C170" s="2">
        <f>IFERROR(XLOOKUP(A170,'Intake Responses'!$A:$A,'Intake Responses'!$D:$D),"")</f>
        <v/>
      </c>
      <c r="D170" s="2">
        <f>IFERROR(XLOOKUP(A170,'Intake Responses'!$A:$A,'Intake Responses'!$F:$F),"")</f>
        <v/>
      </c>
      <c r="E170" s="2" t="n"/>
      <c r="F170" s="2">
        <f>IFERROR(XLOOKUP(A170,'Intake Responses'!$A:$A,'Intake Responses'!$M:$M),"")</f>
        <v/>
      </c>
      <c r="G170" s="2">
        <f>IFERROR(XLOOKUP(A170,'Intake Responses'!$A:$A,'Intake Responses'!$N:$N),"")</f>
        <v/>
      </c>
      <c r="H170" s="2">
        <f>IFERROR(XLOOKUP(A170,'Intake Responses'!$A:$A,'Intake Responses'!$O:$O),"")</f>
        <v/>
      </c>
      <c r="I170" s="2">
        <f>IFERROR(SWITCH(F170,"Multiple times per day",60,"Daily",20,"Weekly",4,"Monthly",1,"Quarterly",0.33,"Ad hoc",0.5,"Unknown",0),0)</f>
        <v/>
      </c>
      <c r="J170" s="2">
        <f>IFERROR((G170*H170*I170)/60,0)</f>
        <v/>
      </c>
      <c r="K170" s="2">
        <f>IFERROR(J170*12,0)</f>
        <v/>
      </c>
      <c r="L170" s="2">
        <f>IFERROR(XLOOKUP(A170,'Intake Responses'!$A:$A,'Intake Responses'!$T:$T),"")</f>
        <v/>
      </c>
      <c r="M170" s="2">
        <f>IFERROR(XLOOKUP(A170,'Intake Responses'!$A:$A,'Intake Responses'!$U:$U),"")</f>
        <v/>
      </c>
      <c r="N170" s="2">
        <f>IFERROR(XLOOKUP(A170,'Intake Responses'!$A:$A,'Intake Responses'!$V:$V),"")</f>
        <v/>
      </c>
      <c r="O170" s="2">
        <f>IFERROR(XLOOKUP(A170,'Intake Responses'!$A:$A,'Intake Responses'!$W:$W),"")</f>
        <v/>
      </c>
      <c r="P170" s="2">
        <f>IFERROR(XLOOKUP(A170,'Intake Responses'!$A:$A,'Intake Responses'!$X:$X),"")</f>
        <v/>
      </c>
      <c r="Q170" s="2">
        <f>IFERROR(XLOOKUP(A170,'Intake Responses'!$A:$A,'Intake Responses'!$AF:$AF),"")</f>
        <v/>
      </c>
      <c r="R170" s="2">
        <f>IFERROR(XLOOKUP(A170,'Intake Responses'!$A:$A,'Intake Responses'!$S:$S),"")</f>
        <v/>
      </c>
      <c r="S170" s="2" t="n"/>
      <c r="T170" s="2" t="n"/>
      <c r="U170" s="2" t="n"/>
      <c r="V170" s="2">
        <f>IFERROR(MIN(5,ROUND(((M170+O170)/2)+(IF(J170&gt;=20,2,IF(J170&gt;=10,1.5,IF(J170&gt;=5,1,IF(J170&gt;=1,0.5,0))))),1)),0)</f>
        <v/>
      </c>
      <c r="W170" s="2">
        <f>IFERROR(SWITCH(F170,"Multiple times per day",5,"Daily",4,"Weekly",3,"Monthly",2,"Quarterly",1,"Ad hoc",1,"Unknown",0),0)</f>
        <v/>
      </c>
      <c r="X170" s="2">
        <f>IFERROR(ROUND(AVERAGE(L170,N170),1),0)</f>
        <v/>
      </c>
      <c r="Y170" s="2">
        <f>IFERROR(SWITCH(U170,"High",3,"Medium",2,"Low",0,"Unknown",1,1)+IF(Q170="Yes",2,IF(Q170="Unsure",1,0)),0)</f>
        <v/>
      </c>
      <c r="Z170" s="2">
        <f>IFERROR(ROUND((V170*2)+(W170*1)+(X170*2)+(IF(T170="Easy",2,IF(T170="Medium",1,IF(T170="Hard",-1,0))))-(Y170*2),1),0)</f>
        <v/>
      </c>
      <c r="AA170" s="2">
        <f>IFERROR(IF(S170="Not a fit","Not a Fit",IF(Y170&gt;=5,"High Risk / Needs Review",IF(AND(Z170&gt;=18,T170="Easy"),"Quick Win",IF(AND(Z170&gt;=18,T170&lt;&gt;"Easy"),"Strategic Project",IF(Z170&gt;=10,"Discovery Needed","Process Issue"))))),"")</f>
        <v/>
      </c>
      <c r="AB170" s="2">
        <f>IFERROR(SWITCH(AA170,"Quick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0" s="2" t="n"/>
      <c r="AD170" s="2" t="n"/>
      <c r="AE170" s="2" t="n"/>
    </row>
    <row r="171" ht="25" customHeight="1">
      <c r="A171" s="3" t="n"/>
      <c r="B171" s="3">
        <f>IFERROR(XLOOKUP(A171,'Intake Responses'!$A:$A,'Intake Responses'!$E:$E),"")</f>
        <v/>
      </c>
      <c r="C171" s="3">
        <f>IFERROR(XLOOKUP(A171,'Intake Responses'!$A:$A,'Intake Responses'!$D:$D),"")</f>
        <v/>
      </c>
      <c r="D171" s="3">
        <f>IFERROR(XLOOKUP(A171,'Intake Responses'!$A:$A,'Intake Responses'!$F:$F),"")</f>
        <v/>
      </c>
      <c r="E171" s="3" t="n"/>
      <c r="F171" s="3">
        <f>IFERROR(XLOOKUP(A171,'Intake Responses'!$A:$A,'Intake Responses'!$M:$M),"")</f>
        <v/>
      </c>
      <c r="G171" s="3">
        <f>IFERROR(XLOOKUP(A171,'Intake Responses'!$A:$A,'Intake Responses'!$N:$N),"")</f>
        <v/>
      </c>
      <c r="H171" s="3">
        <f>IFERROR(XLOOKUP(A171,'Intake Responses'!$A:$A,'Intake Responses'!$O:$O),"")</f>
        <v/>
      </c>
      <c r="I171" s="3">
        <f>IFERROR(SWITCH(F171,"Multiple times per day",60,"Daily",20,"Weekly",4,"Monthly",1,"Quarterly",0.33,"Ad hoc",0.5,"Unknown",0),0)</f>
        <v/>
      </c>
      <c r="J171" s="3">
        <f>IFERROR((G171*H171*I171)/60,0)</f>
        <v/>
      </c>
      <c r="K171" s="3">
        <f>IFERROR(J171*12,0)</f>
        <v/>
      </c>
      <c r="L171" s="3">
        <f>IFERROR(XLOOKUP(A171,'Intake Responses'!$A:$A,'Intake Responses'!$T:$T),"")</f>
        <v/>
      </c>
      <c r="M171" s="3">
        <f>IFERROR(XLOOKUP(A171,'Intake Responses'!$A:$A,'Intake Responses'!$U:$U),"")</f>
        <v/>
      </c>
      <c r="N171" s="3">
        <f>IFERROR(XLOOKUP(A171,'Intake Responses'!$A:$A,'Intake Responses'!$V:$V),"")</f>
        <v/>
      </c>
      <c r="O171" s="3">
        <f>IFERROR(XLOOKUP(A171,'Intake Responses'!$A:$A,'Intake Responses'!$W:$W),"")</f>
        <v/>
      </c>
      <c r="P171" s="3">
        <f>IFERROR(XLOOKUP(A171,'Intake Responses'!$A:$A,'Intake Responses'!$X:$X),"")</f>
        <v/>
      </c>
      <c r="Q171" s="3">
        <f>IFERROR(XLOOKUP(A171,'Intake Responses'!$A:$A,'Intake Responses'!$AF:$AF),"")</f>
        <v/>
      </c>
      <c r="R171" s="3">
        <f>IFERROR(XLOOKUP(A171,'Intake Responses'!$A:$A,'Intake Responses'!$S:$S),"")</f>
        <v/>
      </c>
      <c r="S171" s="3" t="n"/>
      <c r="T171" s="3" t="n"/>
      <c r="U171" s="3" t="n"/>
      <c r="V171" s="3">
        <f>IFERROR(MIN(5,ROUND(((M171+O171)/2)+(IF(J171&gt;=20,2,IF(J171&gt;=10,1.5,IF(J171&gt;=5,1,IF(J171&gt;=1,0.5,0))))),1)),0)</f>
        <v/>
      </c>
      <c r="W171" s="3">
        <f>IFERROR(SWITCH(F171,"Multiple times per day",5,"Daily",4,"Weekly",3,"Monthly",2,"Quarterly",1,"Ad hoc",1,"Unknown",0),0)</f>
        <v/>
      </c>
      <c r="X171" s="3">
        <f>IFERROR(ROUND(AVERAGE(L171,N171),1),0)</f>
        <v/>
      </c>
      <c r="Y171" s="3">
        <f>IFERROR(SWITCH(U171,"High",3,"Medium",2,"Low",0,"Unknown",1,1)+IF(Q171="Yes",2,IF(Q171="Unsure",1,0)),0)</f>
        <v/>
      </c>
      <c r="Z171" s="3">
        <f>IFERROR(ROUND((V171*2)+(W171*1)+(X171*2)+(IF(T171="Easy",2,IF(T171="Medium",1,IF(T171="Hard",-1,0))))-(Y171*2),1),0)</f>
        <v/>
      </c>
      <c r="AA171" s="3">
        <f>IFERROR(IF(S171="Not a fit","Not a Fit",IF(Y171&gt;=5,"High Risk / Needs Review",IF(AND(Z171&gt;=18,T171="Easy"),"Quick Win",IF(AND(Z171&gt;=18,T171&lt;&gt;"Easy"),"Strategic Project",IF(Z171&gt;=10,"Discovery Needed","Process Issue"))))),"")</f>
        <v/>
      </c>
      <c r="AB171" s="3">
        <f>IFERROR(SWITCH(AA171,"Quick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1" s="3" t="n"/>
      <c r="AD171" s="3" t="n"/>
      <c r="AE171" s="3" t="n"/>
    </row>
    <row r="172" ht="25" customHeight="1">
      <c r="A172" s="2" t="n"/>
      <c r="B172" s="2">
        <f>IFERROR(XLOOKUP(A172,'Intake Responses'!$A:$A,'Intake Responses'!$E:$E),"")</f>
        <v/>
      </c>
      <c r="C172" s="2">
        <f>IFERROR(XLOOKUP(A172,'Intake Responses'!$A:$A,'Intake Responses'!$D:$D),"")</f>
        <v/>
      </c>
      <c r="D172" s="2">
        <f>IFERROR(XLOOKUP(A172,'Intake Responses'!$A:$A,'Intake Responses'!$F:$F),"")</f>
        <v/>
      </c>
      <c r="E172" s="2" t="n"/>
      <c r="F172" s="2">
        <f>IFERROR(XLOOKUP(A172,'Intake Responses'!$A:$A,'Intake Responses'!$M:$M),"")</f>
        <v/>
      </c>
      <c r="G172" s="2">
        <f>IFERROR(XLOOKUP(A172,'Intake Responses'!$A:$A,'Intake Responses'!$N:$N),"")</f>
        <v/>
      </c>
      <c r="H172" s="2">
        <f>IFERROR(XLOOKUP(A172,'Intake Responses'!$A:$A,'Intake Responses'!$O:$O),"")</f>
        <v/>
      </c>
      <c r="I172" s="2">
        <f>IFERROR(SWITCH(F172,"Multiple times per day",60,"Daily",20,"Weekly",4,"Monthly",1,"Quarterly",0.33,"Ad hoc",0.5,"Unknown",0),0)</f>
        <v/>
      </c>
      <c r="J172" s="2">
        <f>IFERROR((G172*H172*I172)/60,0)</f>
        <v/>
      </c>
      <c r="K172" s="2">
        <f>IFERROR(J172*12,0)</f>
        <v/>
      </c>
      <c r="L172" s="2">
        <f>IFERROR(XLOOKUP(A172,'Intake Responses'!$A:$A,'Intake Responses'!$T:$T),"")</f>
        <v/>
      </c>
      <c r="M172" s="2">
        <f>IFERROR(XLOOKUP(A172,'Intake Responses'!$A:$A,'Intake Responses'!$U:$U),"")</f>
        <v/>
      </c>
      <c r="N172" s="2">
        <f>IFERROR(XLOOKUP(A172,'Intake Responses'!$A:$A,'Intake Responses'!$V:$V),"")</f>
        <v/>
      </c>
      <c r="O172" s="2">
        <f>IFERROR(XLOOKUP(A172,'Intake Responses'!$A:$A,'Intake Responses'!$W:$W),"")</f>
        <v/>
      </c>
      <c r="P172" s="2">
        <f>IFERROR(XLOOKUP(A172,'Intake Responses'!$A:$A,'Intake Responses'!$X:$X),"")</f>
        <v/>
      </c>
      <c r="Q172" s="2">
        <f>IFERROR(XLOOKUP(A172,'Intake Responses'!$A:$A,'Intake Responses'!$AF:$AF),"")</f>
        <v/>
      </c>
      <c r="R172" s="2">
        <f>IFERROR(XLOOKUP(A172,'Intake Responses'!$A:$A,'Intake Responses'!$S:$S),"")</f>
        <v/>
      </c>
      <c r="S172" s="2" t="n"/>
      <c r="T172" s="2" t="n"/>
      <c r="U172" s="2" t="n"/>
      <c r="V172" s="2">
        <f>IFERROR(MIN(5,ROUND(((M172+O172)/2)+(IF(J172&gt;=20,2,IF(J172&gt;=10,1.5,IF(J172&gt;=5,1,IF(J172&gt;=1,0.5,0))))),1)),0)</f>
        <v/>
      </c>
      <c r="W172" s="2">
        <f>IFERROR(SWITCH(F172,"Multiple times per day",5,"Daily",4,"Weekly",3,"Monthly",2,"Quarterly",1,"Ad hoc",1,"Unknown",0),0)</f>
        <v/>
      </c>
      <c r="X172" s="2">
        <f>IFERROR(ROUND(AVERAGE(L172,N172),1),0)</f>
        <v/>
      </c>
      <c r="Y172" s="2">
        <f>IFERROR(SWITCH(U172,"High",3,"Medium",2,"Low",0,"Unknown",1,1)+IF(Q172="Yes",2,IF(Q172="Unsure",1,0)),0)</f>
        <v/>
      </c>
      <c r="Z172" s="2">
        <f>IFERROR(ROUND((V172*2)+(W172*1)+(X172*2)+(IF(T172="Easy",2,IF(T172="Medium",1,IF(T172="Hard",-1,0))))-(Y172*2),1),0)</f>
        <v/>
      </c>
      <c r="AA172" s="2">
        <f>IFERROR(IF(S172="Not a fit","Not a Fit",IF(Y172&gt;=5,"High Risk / Needs Review",IF(AND(Z172&gt;=18,T172="Easy"),"Quick Win",IF(AND(Z172&gt;=18,T172&lt;&gt;"Easy"),"Strategic Project",IF(Z172&gt;=10,"Discovery Needed","Process Issue"))))),"")</f>
        <v/>
      </c>
      <c r="AB172" s="2">
        <f>IFERROR(SWITCH(AA172,"Quick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2" s="2" t="n"/>
      <c r="AD172" s="2" t="n"/>
      <c r="AE172" s="2" t="n"/>
    </row>
    <row r="173" ht="25" customHeight="1">
      <c r="A173" s="3" t="n"/>
      <c r="B173" s="3">
        <f>IFERROR(XLOOKUP(A173,'Intake Responses'!$A:$A,'Intake Responses'!$E:$E),"")</f>
        <v/>
      </c>
      <c r="C173" s="3">
        <f>IFERROR(XLOOKUP(A173,'Intake Responses'!$A:$A,'Intake Responses'!$D:$D),"")</f>
        <v/>
      </c>
      <c r="D173" s="3">
        <f>IFERROR(XLOOKUP(A173,'Intake Responses'!$A:$A,'Intake Responses'!$F:$F),"")</f>
        <v/>
      </c>
      <c r="E173" s="3" t="n"/>
      <c r="F173" s="3">
        <f>IFERROR(XLOOKUP(A173,'Intake Responses'!$A:$A,'Intake Responses'!$M:$M),"")</f>
        <v/>
      </c>
      <c r="G173" s="3">
        <f>IFERROR(XLOOKUP(A173,'Intake Responses'!$A:$A,'Intake Responses'!$N:$N),"")</f>
        <v/>
      </c>
      <c r="H173" s="3">
        <f>IFERROR(XLOOKUP(A173,'Intake Responses'!$A:$A,'Intake Responses'!$O:$O),"")</f>
        <v/>
      </c>
      <c r="I173" s="3">
        <f>IFERROR(SWITCH(F173,"Multiple times per day",60,"Daily",20,"Weekly",4,"Monthly",1,"Quarterly",0.33,"Ad hoc",0.5,"Unknown",0),0)</f>
        <v/>
      </c>
      <c r="J173" s="3">
        <f>IFERROR((G173*H173*I173)/60,0)</f>
        <v/>
      </c>
      <c r="K173" s="3">
        <f>IFERROR(J173*12,0)</f>
        <v/>
      </c>
      <c r="L173" s="3">
        <f>IFERROR(XLOOKUP(A173,'Intake Responses'!$A:$A,'Intake Responses'!$T:$T),"")</f>
        <v/>
      </c>
      <c r="M173" s="3">
        <f>IFERROR(XLOOKUP(A173,'Intake Responses'!$A:$A,'Intake Responses'!$U:$U),"")</f>
        <v/>
      </c>
      <c r="N173" s="3">
        <f>IFERROR(XLOOKUP(A173,'Intake Responses'!$A:$A,'Intake Responses'!$V:$V),"")</f>
        <v/>
      </c>
      <c r="O173" s="3">
        <f>IFERROR(XLOOKUP(A173,'Intake Responses'!$A:$A,'Intake Responses'!$W:$W),"")</f>
        <v/>
      </c>
      <c r="P173" s="3">
        <f>IFERROR(XLOOKUP(A173,'Intake Responses'!$A:$A,'Intake Responses'!$X:$X),"")</f>
        <v/>
      </c>
      <c r="Q173" s="3">
        <f>IFERROR(XLOOKUP(A173,'Intake Responses'!$A:$A,'Intake Responses'!$AF:$AF),"")</f>
        <v/>
      </c>
      <c r="R173" s="3">
        <f>IFERROR(XLOOKUP(A173,'Intake Responses'!$A:$A,'Intake Responses'!$S:$S),"")</f>
        <v/>
      </c>
      <c r="S173" s="3" t="n"/>
      <c r="T173" s="3" t="n"/>
      <c r="U173" s="3" t="n"/>
      <c r="V173" s="3">
        <f>IFERROR(MIN(5,ROUND(((M173+O173)/2)+(IF(J173&gt;=20,2,IF(J173&gt;=10,1.5,IF(J173&gt;=5,1,IF(J173&gt;=1,0.5,0))))),1)),0)</f>
        <v/>
      </c>
      <c r="W173" s="3">
        <f>IFERROR(SWITCH(F173,"Multiple times per day",5,"Daily",4,"Weekly",3,"Monthly",2,"Quarterly",1,"Ad hoc",1,"Unknown",0),0)</f>
        <v/>
      </c>
      <c r="X173" s="3">
        <f>IFERROR(ROUND(AVERAGE(L173,N173),1),0)</f>
        <v/>
      </c>
      <c r="Y173" s="3">
        <f>IFERROR(SWITCH(U173,"High",3,"Medium",2,"Low",0,"Unknown",1,1)+IF(Q173="Yes",2,IF(Q173="Unsure",1,0)),0)</f>
        <v/>
      </c>
      <c r="Z173" s="3">
        <f>IFERROR(ROUND((V173*2)+(W173*1)+(X173*2)+(IF(T173="Easy",2,IF(T173="Medium",1,IF(T173="Hard",-1,0))))-(Y173*2),1),0)</f>
        <v/>
      </c>
      <c r="AA173" s="3">
        <f>IFERROR(IF(S173="Not a fit","Not a Fit",IF(Y173&gt;=5,"High Risk / Needs Review",IF(AND(Z173&gt;=18,T173="Easy"),"Quick Win",IF(AND(Z173&gt;=18,T173&lt;&gt;"Easy"),"Strategic Project",IF(Z173&gt;=10,"Discovery Needed","Process Issue"))))),"")</f>
        <v/>
      </c>
      <c r="AB173" s="3">
        <f>IFERROR(SWITCH(AA173,"Quick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3" s="3" t="n"/>
      <c r="AD173" s="3" t="n"/>
      <c r="AE173" s="3" t="n"/>
    </row>
    <row r="174" ht="25" customHeight="1">
      <c r="A174" s="2" t="n"/>
      <c r="B174" s="2">
        <f>IFERROR(XLOOKUP(A174,'Intake Responses'!$A:$A,'Intake Responses'!$E:$E),"")</f>
        <v/>
      </c>
      <c r="C174" s="2">
        <f>IFERROR(XLOOKUP(A174,'Intake Responses'!$A:$A,'Intake Responses'!$D:$D),"")</f>
        <v/>
      </c>
      <c r="D174" s="2">
        <f>IFERROR(XLOOKUP(A174,'Intake Responses'!$A:$A,'Intake Responses'!$F:$F),"")</f>
        <v/>
      </c>
      <c r="E174" s="2" t="n"/>
      <c r="F174" s="2">
        <f>IFERROR(XLOOKUP(A174,'Intake Responses'!$A:$A,'Intake Responses'!$M:$M),"")</f>
        <v/>
      </c>
      <c r="G174" s="2">
        <f>IFERROR(XLOOKUP(A174,'Intake Responses'!$A:$A,'Intake Responses'!$N:$N),"")</f>
        <v/>
      </c>
      <c r="H174" s="2">
        <f>IFERROR(XLOOKUP(A174,'Intake Responses'!$A:$A,'Intake Responses'!$O:$O),"")</f>
        <v/>
      </c>
      <c r="I174" s="2">
        <f>IFERROR(SWITCH(F174,"Multiple times per day",60,"Daily",20,"Weekly",4,"Monthly",1,"Quarterly",0.33,"Ad hoc",0.5,"Unknown",0),0)</f>
        <v/>
      </c>
      <c r="J174" s="2">
        <f>IFERROR((G174*H174*I174)/60,0)</f>
        <v/>
      </c>
      <c r="K174" s="2">
        <f>IFERROR(J174*12,0)</f>
        <v/>
      </c>
      <c r="L174" s="2">
        <f>IFERROR(XLOOKUP(A174,'Intake Responses'!$A:$A,'Intake Responses'!$T:$T),"")</f>
        <v/>
      </c>
      <c r="M174" s="2">
        <f>IFERROR(XLOOKUP(A174,'Intake Responses'!$A:$A,'Intake Responses'!$U:$U),"")</f>
        <v/>
      </c>
      <c r="N174" s="2">
        <f>IFERROR(XLOOKUP(A174,'Intake Responses'!$A:$A,'Intake Responses'!$V:$V),"")</f>
        <v/>
      </c>
      <c r="O174" s="2">
        <f>IFERROR(XLOOKUP(A174,'Intake Responses'!$A:$A,'Intake Responses'!$W:$W),"")</f>
        <v/>
      </c>
      <c r="P174" s="2">
        <f>IFERROR(XLOOKUP(A174,'Intake Responses'!$A:$A,'Intake Responses'!$X:$X),"")</f>
        <v/>
      </c>
      <c r="Q174" s="2">
        <f>IFERROR(XLOOKUP(A174,'Intake Responses'!$A:$A,'Intake Responses'!$AF:$AF),"")</f>
        <v/>
      </c>
      <c r="R174" s="2">
        <f>IFERROR(XLOOKUP(A174,'Intake Responses'!$A:$A,'Intake Responses'!$S:$S),"")</f>
        <v/>
      </c>
      <c r="S174" s="2" t="n"/>
      <c r="T174" s="2" t="n"/>
      <c r="U174" s="2" t="n"/>
      <c r="V174" s="2">
        <f>IFERROR(MIN(5,ROUND(((M174+O174)/2)+(IF(J174&gt;=20,2,IF(J174&gt;=10,1.5,IF(J174&gt;=5,1,IF(J174&gt;=1,0.5,0))))),1)),0)</f>
        <v/>
      </c>
      <c r="W174" s="2">
        <f>IFERROR(SWITCH(F174,"Multiple times per day",5,"Daily",4,"Weekly",3,"Monthly",2,"Quarterly",1,"Ad hoc",1,"Unknown",0),0)</f>
        <v/>
      </c>
      <c r="X174" s="2">
        <f>IFERROR(ROUND(AVERAGE(L174,N174),1),0)</f>
        <v/>
      </c>
      <c r="Y174" s="2">
        <f>IFERROR(SWITCH(U174,"High",3,"Medium",2,"Low",0,"Unknown",1,1)+IF(Q174="Yes",2,IF(Q174="Unsure",1,0)),0)</f>
        <v/>
      </c>
      <c r="Z174" s="2">
        <f>IFERROR(ROUND((V174*2)+(W174*1)+(X174*2)+(IF(T174="Easy",2,IF(T174="Medium",1,IF(T174="Hard",-1,0))))-(Y174*2),1),0)</f>
        <v/>
      </c>
      <c r="AA174" s="2">
        <f>IFERROR(IF(S174="Not a fit","Not a Fit",IF(Y174&gt;=5,"High Risk / Needs Review",IF(AND(Z174&gt;=18,T174="Easy"),"Quick Win",IF(AND(Z174&gt;=18,T174&lt;&gt;"Easy"),"Strategic Project",IF(Z174&gt;=10,"Discovery Needed","Process Issue"))))),"")</f>
        <v/>
      </c>
      <c r="AB174" s="2">
        <f>IFERROR(SWITCH(AA174,"Quick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4" s="2" t="n"/>
      <c r="AD174" s="2" t="n"/>
      <c r="AE174" s="2" t="n"/>
    </row>
    <row r="175" ht="25" customHeight="1">
      <c r="A175" s="3" t="n"/>
      <c r="B175" s="3">
        <f>IFERROR(XLOOKUP(A175,'Intake Responses'!$A:$A,'Intake Responses'!$E:$E),"")</f>
        <v/>
      </c>
      <c r="C175" s="3">
        <f>IFERROR(XLOOKUP(A175,'Intake Responses'!$A:$A,'Intake Responses'!$D:$D),"")</f>
        <v/>
      </c>
      <c r="D175" s="3">
        <f>IFERROR(XLOOKUP(A175,'Intake Responses'!$A:$A,'Intake Responses'!$F:$F),"")</f>
        <v/>
      </c>
      <c r="E175" s="3" t="n"/>
      <c r="F175" s="3">
        <f>IFERROR(XLOOKUP(A175,'Intake Responses'!$A:$A,'Intake Responses'!$M:$M),"")</f>
        <v/>
      </c>
      <c r="G175" s="3">
        <f>IFERROR(XLOOKUP(A175,'Intake Responses'!$A:$A,'Intake Responses'!$N:$N),"")</f>
        <v/>
      </c>
      <c r="H175" s="3">
        <f>IFERROR(XLOOKUP(A175,'Intake Responses'!$A:$A,'Intake Responses'!$O:$O),"")</f>
        <v/>
      </c>
      <c r="I175" s="3">
        <f>IFERROR(SWITCH(F175,"Multiple times per day",60,"Daily",20,"Weekly",4,"Monthly",1,"Quarterly",0.33,"Ad hoc",0.5,"Unknown",0),0)</f>
        <v/>
      </c>
      <c r="J175" s="3">
        <f>IFERROR((G175*H175*I175)/60,0)</f>
        <v/>
      </c>
      <c r="K175" s="3">
        <f>IFERROR(J175*12,0)</f>
        <v/>
      </c>
      <c r="L175" s="3">
        <f>IFERROR(XLOOKUP(A175,'Intake Responses'!$A:$A,'Intake Responses'!$T:$T),"")</f>
        <v/>
      </c>
      <c r="M175" s="3">
        <f>IFERROR(XLOOKUP(A175,'Intake Responses'!$A:$A,'Intake Responses'!$U:$U),"")</f>
        <v/>
      </c>
      <c r="N175" s="3">
        <f>IFERROR(XLOOKUP(A175,'Intake Responses'!$A:$A,'Intake Responses'!$V:$V),"")</f>
        <v/>
      </c>
      <c r="O175" s="3">
        <f>IFERROR(XLOOKUP(A175,'Intake Responses'!$A:$A,'Intake Responses'!$W:$W),"")</f>
        <v/>
      </c>
      <c r="P175" s="3">
        <f>IFERROR(XLOOKUP(A175,'Intake Responses'!$A:$A,'Intake Responses'!$X:$X),"")</f>
        <v/>
      </c>
      <c r="Q175" s="3">
        <f>IFERROR(XLOOKUP(A175,'Intake Responses'!$A:$A,'Intake Responses'!$AF:$AF),"")</f>
        <v/>
      </c>
      <c r="R175" s="3">
        <f>IFERROR(XLOOKUP(A175,'Intake Responses'!$A:$A,'Intake Responses'!$S:$S),"")</f>
        <v/>
      </c>
      <c r="S175" s="3" t="n"/>
      <c r="T175" s="3" t="n"/>
      <c r="U175" s="3" t="n"/>
      <c r="V175" s="3">
        <f>IFERROR(MIN(5,ROUND(((M175+O175)/2)+(IF(J175&gt;=20,2,IF(J175&gt;=10,1.5,IF(J175&gt;=5,1,IF(J175&gt;=1,0.5,0))))),1)),0)</f>
        <v/>
      </c>
      <c r="W175" s="3">
        <f>IFERROR(SWITCH(F175,"Multiple times per day",5,"Daily",4,"Weekly",3,"Monthly",2,"Quarterly",1,"Ad hoc",1,"Unknown",0),0)</f>
        <v/>
      </c>
      <c r="X175" s="3">
        <f>IFERROR(ROUND(AVERAGE(L175,N175),1),0)</f>
        <v/>
      </c>
      <c r="Y175" s="3">
        <f>IFERROR(SWITCH(U175,"High",3,"Medium",2,"Low",0,"Unknown",1,1)+IF(Q175="Yes",2,IF(Q175="Unsure",1,0)),0)</f>
        <v/>
      </c>
      <c r="Z175" s="3">
        <f>IFERROR(ROUND((V175*2)+(W175*1)+(X175*2)+(IF(T175="Easy",2,IF(T175="Medium",1,IF(T175="Hard",-1,0))))-(Y175*2),1),0)</f>
        <v/>
      </c>
      <c r="AA175" s="3">
        <f>IFERROR(IF(S175="Not a fit","Not a Fit",IF(Y175&gt;=5,"High Risk / Needs Review",IF(AND(Z175&gt;=18,T175="Easy"),"Quick Win",IF(AND(Z175&gt;=18,T175&lt;&gt;"Easy"),"Strategic Project",IF(Z175&gt;=10,"Discovery Needed","Process Issue"))))),"")</f>
        <v/>
      </c>
      <c r="AB175" s="3">
        <f>IFERROR(SWITCH(AA175,"Quick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5" s="3" t="n"/>
      <c r="AD175" s="3" t="n"/>
      <c r="AE175" s="3" t="n"/>
    </row>
    <row r="176" ht="25" customHeight="1">
      <c r="A176" s="2" t="n"/>
      <c r="B176" s="2">
        <f>IFERROR(XLOOKUP(A176,'Intake Responses'!$A:$A,'Intake Responses'!$E:$E),"")</f>
        <v/>
      </c>
      <c r="C176" s="2">
        <f>IFERROR(XLOOKUP(A176,'Intake Responses'!$A:$A,'Intake Responses'!$D:$D),"")</f>
        <v/>
      </c>
      <c r="D176" s="2">
        <f>IFERROR(XLOOKUP(A176,'Intake Responses'!$A:$A,'Intake Responses'!$F:$F),"")</f>
        <v/>
      </c>
      <c r="E176" s="2" t="n"/>
      <c r="F176" s="2">
        <f>IFERROR(XLOOKUP(A176,'Intake Responses'!$A:$A,'Intake Responses'!$M:$M),"")</f>
        <v/>
      </c>
      <c r="G176" s="2">
        <f>IFERROR(XLOOKUP(A176,'Intake Responses'!$A:$A,'Intake Responses'!$N:$N),"")</f>
        <v/>
      </c>
      <c r="H176" s="2">
        <f>IFERROR(XLOOKUP(A176,'Intake Responses'!$A:$A,'Intake Responses'!$O:$O),"")</f>
        <v/>
      </c>
      <c r="I176" s="2">
        <f>IFERROR(SWITCH(F176,"Multiple times per day",60,"Daily",20,"Weekly",4,"Monthly",1,"Quarterly",0.33,"Ad hoc",0.5,"Unknown",0),0)</f>
        <v/>
      </c>
      <c r="J176" s="2">
        <f>IFERROR((G176*H176*I176)/60,0)</f>
        <v/>
      </c>
      <c r="K176" s="2">
        <f>IFERROR(J176*12,0)</f>
        <v/>
      </c>
      <c r="L176" s="2">
        <f>IFERROR(XLOOKUP(A176,'Intake Responses'!$A:$A,'Intake Responses'!$T:$T),"")</f>
        <v/>
      </c>
      <c r="M176" s="2">
        <f>IFERROR(XLOOKUP(A176,'Intake Responses'!$A:$A,'Intake Responses'!$U:$U),"")</f>
        <v/>
      </c>
      <c r="N176" s="2">
        <f>IFERROR(XLOOKUP(A176,'Intake Responses'!$A:$A,'Intake Responses'!$V:$V),"")</f>
        <v/>
      </c>
      <c r="O176" s="2">
        <f>IFERROR(XLOOKUP(A176,'Intake Responses'!$A:$A,'Intake Responses'!$W:$W),"")</f>
        <v/>
      </c>
      <c r="P176" s="2">
        <f>IFERROR(XLOOKUP(A176,'Intake Responses'!$A:$A,'Intake Responses'!$X:$X),"")</f>
        <v/>
      </c>
      <c r="Q176" s="2">
        <f>IFERROR(XLOOKUP(A176,'Intake Responses'!$A:$A,'Intake Responses'!$AF:$AF),"")</f>
        <v/>
      </c>
      <c r="R176" s="2">
        <f>IFERROR(XLOOKUP(A176,'Intake Responses'!$A:$A,'Intake Responses'!$S:$S),"")</f>
        <v/>
      </c>
      <c r="S176" s="2" t="n"/>
      <c r="T176" s="2" t="n"/>
      <c r="U176" s="2" t="n"/>
      <c r="V176" s="2">
        <f>IFERROR(MIN(5,ROUND(((M176+O176)/2)+(IF(J176&gt;=20,2,IF(J176&gt;=10,1.5,IF(J176&gt;=5,1,IF(J176&gt;=1,0.5,0))))),1)),0)</f>
        <v/>
      </c>
      <c r="W176" s="2">
        <f>IFERROR(SWITCH(F176,"Multiple times per day",5,"Daily",4,"Weekly",3,"Monthly",2,"Quarterly",1,"Ad hoc",1,"Unknown",0),0)</f>
        <v/>
      </c>
      <c r="X176" s="2">
        <f>IFERROR(ROUND(AVERAGE(L176,N176),1),0)</f>
        <v/>
      </c>
      <c r="Y176" s="2">
        <f>IFERROR(SWITCH(U176,"High",3,"Medium",2,"Low",0,"Unknown",1,1)+IF(Q176="Yes",2,IF(Q176="Unsure",1,0)),0)</f>
        <v/>
      </c>
      <c r="Z176" s="2">
        <f>IFERROR(ROUND((V176*2)+(W176*1)+(X176*2)+(IF(T176="Easy",2,IF(T176="Medium",1,IF(T176="Hard",-1,0))))-(Y176*2),1),0)</f>
        <v/>
      </c>
      <c r="AA176" s="2">
        <f>IFERROR(IF(S176="Not a fit","Not a Fit",IF(Y176&gt;=5,"High Risk / Needs Review",IF(AND(Z176&gt;=18,T176="Easy"),"Quick Win",IF(AND(Z176&gt;=18,T176&lt;&gt;"Easy"),"Strategic Project",IF(Z176&gt;=10,"Discovery Needed","Process Issue"))))),"")</f>
        <v/>
      </c>
      <c r="AB176" s="2">
        <f>IFERROR(SWITCH(AA176,"Quick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6" s="2" t="n"/>
      <c r="AD176" s="2" t="n"/>
      <c r="AE176" s="2" t="n"/>
    </row>
    <row r="177" ht="25" customHeight="1">
      <c r="A177" s="3" t="n"/>
      <c r="B177" s="3">
        <f>IFERROR(XLOOKUP(A177,'Intake Responses'!$A:$A,'Intake Responses'!$E:$E),"")</f>
        <v/>
      </c>
      <c r="C177" s="3">
        <f>IFERROR(XLOOKUP(A177,'Intake Responses'!$A:$A,'Intake Responses'!$D:$D),"")</f>
        <v/>
      </c>
      <c r="D177" s="3">
        <f>IFERROR(XLOOKUP(A177,'Intake Responses'!$A:$A,'Intake Responses'!$F:$F),"")</f>
        <v/>
      </c>
      <c r="E177" s="3" t="n"/>
      <c r="F177" s="3">
        <f>IFERROR(XLOOKUP(A177,'Intake Responses'!$A:$A,'Intake Responses'!$M:$M),"")</f>
        <v/>
      </c>
      <c r="G177" s="3">
        <f>IFERROR(XLOOKUP(A177,'Intake Responses'!$A:$A,'Intake Responses'!$N:$N),"")</f>
        <v/>
      </c>
      <c r="H177" s="3">
        <f>IFERROR(XLOOKUP(A177,'Intake Responses'!$A:$A,'Intake Responses'!$O:$O),"")</f>
        <v/>
      </c>
      <c r="I177" s="3">
        <f>IFERROR(SWITCH(F177,"Multiple times per day",60,"Daily",20,"Weekly",4,"Monthly",1,"Quarterly",0.33,"Ad hoc",0.5,"Unknown",0),0)</f>
        <v/>
      </c>
      <c r="J177" s="3">
        <f>IFERROR((G177*H177*I177)/60,0)</f>
        <v/>
      </c>
      <c r="K177" s="3">
        <f>IFERROR(J177*12,0)</f>
        <v/>
      </c>
      <c r="L177" s="3">
        <f>IFERROR(XLOOKUP(A177,'Intake Responses'!$A:$A,'Intake Responses'!$T:$T),"")</f>
        <v/>
      </c>
      <c r="M177" s="3">
        <f>IFERROR(XLOOKUP(A177,'Intake Responses'!$A:$A,'Intake Responses'!$U:$U),"")</f>
        <v/>
      </c>
      <c r="N177" s="3">
        <f>IFERROR(XLOOKUP(A177,'Intake Responses'!$A:$A,'Intake Responses'!$V:$V),"")</f>
        <v/>
      </c>
      <c r="O177" s="3">
        <f>IFERROR(XLOOKUP(A177,'Intake Responses'!$A:$A,'Intake Responses'!$W:$W),"")</f>
        <v/>
      </c>
      <c r="P177" s="3">
        <f>IFERROR(XLOOKUP(A177,'Intake Responses'!$A:$A,'Intake Responses'!$X:$X),"")</f>
        <v/>
      </c>
      <c r="Q177" s="3">
        <f>IFERROR(XLOOKUP(A177,'Intake Responses'!$A:$A,'Intake Responses'!$AF:$AF),"")</f>
        <v/>
      </c>
      <c r="R177" s="3">
        <f>IFERROR(XLOOKUP(A177,'Intake Responses'!$A:$A,'Intake Responses'!$S:$S),"")</f>
        <v/>
      </c>
      <c r="S177" s="3" t="n"/>
      <c r="T177" s="3" t="n"/>
      <c r="U177" s="3" t="n"/>
      <c r="V177" s="3">
        <f>IFERROR(MIN(5,ROUND(((M177+O177)/2)+(IF(J177&gt;=20,2,IF(J177&gt;=10,1.5,IF(J177&gt;=5,1,IF(J177&gt;=1,0.5,0))))),1)),0)</f>
        <v/>
      </c>
      <c r="W177" s="3">
        <f>IFERROR(SWITCH(F177,"Multiple times per day",5,"Daily",4,"Weekly",3,"Monthly",2,"Quarterly",1,"Ad hoc",1,"Unknown",0),0)</f>
        <v/>
      </c>
      <c r="X177" s="3">
        <f>IFERROR(ROUND(AVERAGE(L177,N177),1),0)</f>
        <v/>
      </c>
      <c r="Y177" s="3">
        <f>IFERROR(SWITCH(U177,"High",3,"Medium",2,"Low",0,"Unknown",1,1)+IF(Q177="Yes",2,IF(Q177="Unsure",1,0)),0)</f>
        <v/>
      </c>
      <c r="Z177" s="3">
        <f>IFERROR(ROUND((V177*2)+(W177*1)+(X177*2)+(IF(T177="Easy",2,IF(T177="Medium",1,IF(T177="Hard",-1,0))))-(Y177*2),1),0)</f>
        <v/>
      </c>
      <c r="AA177" s="3">
        <f>IFERROR(IF(S177="Not a fit","Not a Fit",IF(Y177&gt;=5,"High Risk / Needs Review",IF(AND(Z177&gt;=18,T177="Easy"),"Quick Win",IF(AND(Z177&gt;=18,T177&lt;&gt;"Easy"),"Strategic Project",IF(Z177&gt;=10,"Discovery Needed","Process Issue"))))),"")</f>
        <v/>
      </c>
      <c r="AB177" s="3">
        <f>IFERROR(SWITCH(AA177,"Quick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7" s="3" t="n"/>
      <c r="AD177" s="3" t="n"/>
      <c r="AE177" s="3" t="n"/>
    </row>
    <row r="178" ht="25" customHeight="1">
      <c r="A178" s="2" t="n"/>
      <c r="B178" s="2">
        <f>IFERROR(XLOOKUP(A178,'Intake Responses'!$A:$A,'Intake Responses'!$E:$E),"")</f>
        <v/>
      </c>
      <c r="C178" s="2">
        <f>IFERROR(XLOOKUP(A178,'Intake Responses'!$A:$A,'Intake Responses'!$D:$D),"")</f>
        <v/>
      </c>
      <c r="D178" s="2">
        <f>IFERROR(XLOOKUP(A178,'Intake Responses'!$A:$A,'Intake Responses'!$F:$F),"")</f>
        <v/>
      </c>
      <c r="E178" s="2" t="n"/>
      <c r="F178" s="2">
        <f>IFERROR(XLOOKUP(A178,'Intake Responses'!$A:$A,'Intake Responses'!$M:$M),"")</f>
        <v/>
      </c>
      <c r="G178" s="2">
        <f>IFERROR(XLOOKUP(A178,'Intake Responses'!$A:$A,'Intake Responses'!$N:$N),"")</f>
        <v/>
      </c>
      <c r="H178" s="2">
        <f>IFERROR(XLOOKUP(A178,'Intake Responses'!$A:$A,'Intake Responses'!$O:$O),"")</f>
        <v/>
      </c>
      <c r="I178" s="2">
        <f>IFERROR(SWITCH(F178,"Multiple times per day",60,"Daily",20,"Weekly",4,"Monthly",1,"Quarterly",0.33,"Ad hoc",0.5,"Unknown",0),0)</f>
        <v/>
      </c>
      <c r="J178" s="2">
        <f>IFERROR((G178*H178*I178)/60,0)</f>
        <v/>
      </c>
      <c r="K178" s="2">
        <f>IFERROR(J178*12,0)</f>
        <v/>
      </c>
      <c r="L178" s="2">
        <f>IFERROR(XLOOKUP(A178,'Intake Responses'!$A:$A,'Intake Responses'!$T:$T),"")</f>
        <v/>
      </c>
      <c r="M178" s="2">
        <f>IFERROR(XLOOKUP(A178,'Intake Responses'!$A:$A,'Intake Responses'!$U:$U),"")</f>
        <v/>
      </c>
      <c r="N178" s="2">
        <f>IFERROR(XLOOKUP(A178,'Intake Responses'!$A:$A,'Intake Responses'!$V:$V),"")</f>
        <v/>
      </c>
      <c r="O178" s="2">
        <f>IFERROR(XLOOKUP(A178,'Intake Responses'!$A:$A,'Intake Responses'!$W:$W),"")</f>
        <v/>
      </c>
      <c r="P178" s="2">
        <f>IFERROR(XLOOKUP(A178,'Intake Responses'!$A:$A,'Intake Responses'!$X:$X),"")</f>
        <v/>
      </c>
      <c r="Q178" s="2">
        <f>IFERROR(XLOOKUP(A178,'Intake Responses'!$A:$A,'Intake Responses'!$AF:$AF),"")</f>
        <v/>
      </c>
      <c r="R178" s="2">
        <f>IFERROR(XLOOKUP(A178,'Intake Responses'!$A:$A,'Intake Responses'!$S:$S),"")</f>
        <v/>
      </c>
      <c r="S178" s="2" t="n"/>
      <c r="T178" s="2" t="n"/>
      <c r="U178" s="2" t="n"/>
      <c r="V178" s="2">
        <f>IFERROR(MIN(5,ROUND(((M178+O178)/2)+(IF(J178&gt;=20,2,IF(J178&gt;=10,1.5,IF(J178&gt;=5,1,IF(J178&gt;=1,0.5,0))))),1)),0)</f>
        <v/>
      </c>
      <c r="W178" s="2">
        <f>IFERROR(SWITCH(F178,"Multiple times per day",5,"Daily",4,"Weekly",3,"Monthly",2,"Quarterly",1,"Ad hoc",1,"Unknown",0),0)</f>
        <v/>
      </c>
      <c r="X178" s="2">
        <f>IFERROR(ROUND(AVERAGE(L178,N178),1),0)</f>
        <v/>
      </c>
      <c r="Y178" s="2">
        <f>IFERROR(SWITCH(U178,"High",3,"Medium",2,"Low",0,"Unknown",1,1)+IF(Q178="Yes",2,IF(Q178="Unsure",1,0)),0)</f>
        <v/>
      </c>
      <c r="Z178" s="2">
        <f>IFERROR(ROUND((V178*2)+(W178*1)+(X178*2)+(IF(T178="Easy",2,IF(T178="Medium",1,IF(T178="Hard",-1,0))))-(Y178*2),1),0)</f>
        <v/>
      </c>
      <c r="AA178" s="2">
        <f>IFERROR(IF(S178="Not a fit","Not a Fit",IF(Y178&gt;=5,"High Risk / Needs Review",IF(AND(Z178&gt;=18,T178="Easy"),"Quick Win",IF(AND(Z178&gt;=18,T178&lt;&gt;"Easy"),"Strategic Project",IF(Z178&gt;=10,"Discovery Needed","Process Issue"))))),"")</f>
        <v/>
      </c>
      <c r="AB178" s="2">
        <f>IFERROR(SWITCH(AA178,"Quick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8" s="2" t="n"/>
      <c r="AD178" s="2" t="n"/>
      <c r="AE178" s="2" t="n"/>
    </row>
    <row r="179" ht="25" customHeight="1">
      <c r="A179" s="3" t="n"/>
      <c r="B179" s="3">
        <f>IFERROR(XLOOKUP(A179,'Intake Responses'!$A:$A,'Intake Responses'!$E:$E),"")</f>
        <v/>
      </c>
      <c r="C179" s="3">
        <f>IFERROR(XLOOKUP(A179,'Intake Responses'!$A:$A,'Intake Responses'!$D:$D),"")</f>
        <v/>
      </c>
      <c r="D179" s="3">
        <f>IFERROR(XLOOKUP(A179,'Intake Responses'!$A:$A,'Intake Responses'!$F:$F),"")</f>
        <v/>
      </c>
      <c r="E179" s="3" t="n"/>
      <c r="F179" s="3">
        <f>IFERROR(XLOOKUP(A179,'Intake Responses'!$A:$A,'Intake Responses'!$M:$M),"")</f>
        <v/>
      </c>
      <c r="G179" s="3">
        <f>IFERROR(XLOOKUP(A179,'Intake Responses'!$A:$A,'Intake Responses'!$N:$N),"")</f>
        <v/>
      </c>
      <c r="H179" s="3">
        <f>IFERROR(XLOOKUP(A179,'Intake Responses'!$A:$A,'Intake Responses'!$O:$O),"")</f>
        <v/>
      </c>
      <c r="I179" s="3">
        <f>IFERROR(SWITCH(F179,"Multiple times per day",60,"Daily",20,"Weekly",4,"Monthly",1,"Quarterly",0.33,"Ad hoc",0.5,"Unknown",0),0)</f>
        <v/>
      </c>
      <c r="J179" s="3">
        <f>IFERROR((G179*H179*I179)/60,0)</f>
        <v/>
      </c>
      <c r="K179" s="3">
        <f>IFERROR(J179*12,0)</f>
        <v/>
      </c>
      <c r="L179" s="3">
        <f>IFERROR(XLOOKUP(A179,'Intake Responses'!$A:$A,'Intake Responses'!$T:$T),"")</f>
        <v/>
      </c>
      <c r="M179" s="3">
        <f>IFERROR(XLOOKUP(A179,'Intake Responses'!$A:$A,'Intake Responses'!$U:$U),"")</f>
        <v/>
      </c>
      <c r="N179" s="3">
        <f>IFERROR(XLOOKUP(A179,'Intake Responses'!$A:$A,'Intake Responses'!$V:$V),"")</f>
        <v/>
      </c>
      <c r="O179" s="3">
        <f>IFERROR(XLOOKUP(A179,'Intake Responses'!$A:$A,'Intake Responses'!$W:$W),"")</f>
        <v/>
      </c>
      <c r="P179" s="3">
        <f>IFERROR(XLOOKUP(A179,'Intake Responses'!$A:$A,'Intake Responses'!$X:$X),"")</f>
        <v/>
      </c>
      <c r="Q179" s="3">
        <f>IFERROR(XLOOKUP(A179,'Intake Responses'!$A:$A,'Intake Responses'!$AF:$AF),"")</f>
        <v/>
      </c>
      <c r="R179" s="3">
        <f>IFERROR(XLOOKUP(A179,'Intake Responses'!$A:$A,'Intake Responses'!$S:$S),"")</f>
        <v/>
      </c>
      <c r="S179" s="3" t="n"/>
      <c r="T179" s="3" t="n"/>
      <c r="U179" s="3" t="n"/>
      <c r="V179" s="3">
        <f>IFERROR(MIN(5,ROUND(((M179+O179)/2)+(IF(J179&gt;=20,2,IF(J179&gt;=10,1.5,IF(J179&gt;=5,1,IF(J179&gt;=1,0.5,0))))),1)),0)</f>
        <v/>
      </c>
      <c r="W179" s="3">
        <f>IFERROR(SWITCH(F179,"Multiple times per day",5,"Daily",4,"Weekly",3,"Monthly",2,"Quarterly",1,"Ad hoc",1,"Unknown",0),0)</f>
        <v/>
      </c>
      <c r="X179" s="3">
        <f>IFERROR(ROUND(AVERAGE(L179,N179),1),0)</f>
        <v/>
      </c>
      <c r="Y179" s="3">
        <f>IFERROR(SWITCH(U179,"High",3,"Medium",2,"Low",0,"Unknown",1,1)+IF(Q179="Yes",2,IF(Q179="Unsure",1,0)),0)</f>
        <v/>
      </c>
      <c r="Z179" s="3">
        <f>IFERROR(ROUND((V179*2)+(W179*1)+(X179*2)+(IF(T179="Easy",2,IF(T179="Medium",1,IF(T179="Hard",-1,0))))-(Y179*2),1),0)</f>
        <v/>
      </c>
      <c r="AA179" s="3">
        <f>IFERROR(IF(S179="Not a fit","Not a Fit",IF(Y179&gt;=5,"High Risk / Needs Review",IF(AND(Z179&gt;=18,T179="Easy"),"Quick Win",IF(AND(Z179&gt;=18,T179&lt;&gt;"Easy"),"Strategic Project",IF(Z179&gt;=10,"Discovery Needed","Process Issue"))))),"")</f>
        <v/>
      </c>
      <c r="AB179" s="3">
        <f>IFERROR(SWITCH(AA179,"Quick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79" s="3" t="n"/>
      <c r="AD179" s="3" t="n"/>
      <c r="AE179" s="3" t="n"/>
    </row>
    <row r="180" ht="25" customHeight="1">
      <c r="A180" s="2" t="n"/>
      <c r="B180" s="2">
        <f>IFERROR(XLOOKUP(A180,'Intake Responses'!$A:$A,'Intake Responses'!$E:$E),"")</f>
        <v/>
      </c>
      <c r="C180" s="2">
        <f>IFERROR(XLOOKUP(A180,'Intake Responses'!$A:$A,'Intake Responses'!$D:$D),"")</f>
        <v/>
      </c>
      <c r="D180" s="2">
        <f>IFERROR(XLOOKUP(A180,'Intake Responses'!$A:$A,'Intake Responses'!$F:$F),"")</f>
        <v/>
      </c>
      <c r="E180" s="2" t="n"/>
      <c r="F180" s="2">
        <f>IFERROR(XLOOKUP(A180,'Intake Responses'!$A:$A,'Intake Responses'!$M:$M),"")</f>
        <v/>
      </c>
      <c r="G180" s="2">
        <f>IFERROR(XLOOKUP(A180,'Intake Responses'!$A:$A,'Intake Responses'!$N:$N),"")</f>
        <v/>
      </c>
      <c r="H180" s="2">
        <f>IFERROR(XLOOKUP(A180,'Intake Responses'!$A:$A,'Intake Responses'!$O:$O),"")</f>
        <v/>
      </c>
      <c r="I180" s="2">
        <f>IFERROR(SWITCH(F180,"Multiple times per day",60,"Daily",20,"Weekly",4,"Monthly",1,"Quarterly",0.33,"Ad hoc",0.5,"Unknown",0),0)</f>
        <v/>
      </c>
      <c r="J180" s="2">
        <f>IFERROR((G180*H180*I180)/60,0)</f>
        <v/>
      </c>
      <c r="K180" s="2">
        <f>IFERROR(J180*12,0)</f>
        <v/>
      </c>
      <c r="L180" s="2">
        <f>IFERROR(XLOOKUP(A180,'Intake Responses'!$A:$A,'Intake Responses'!$T:$T),"")</f>
        <v/>
      </c>
      <c r="M180" s="2">
        <f>IFERROR(XLOOKUP(A180,'Intake Responses'!$A:$A,'Intake Responses'!$U:$U),"")</f>
        <v/>
      </c>
      <c r="N180" s="2">
        <f>IFERROR(XLOOKUP(A180,'Intake Responses'!$A:$A,'Intake Responses'!$V:$V),"")</f>
        <v/>
      </c>
      <c r="O180" s="2">
        <f>IFERROR(XLOOKUP(A180,'Intake Responses'!$A:$A,'Intake Responses'!$W:$W),"")</f>
        <v/>
      </c>
      <c r="P180" s="2">
        <f>IFERROR(XLOOKUP(A180,'Intake Responses'!$A:$A,'Intake Responses'!$X:$X),"")</f>
        <v/>
      </c>
      <c r="Q180" s="2">
        <f>IFERROR(XLOOKUP(A180,'Intake Responses'!$A:$A,'Intake Responses'!$AF:$AF),"")</f>
        <v/>
      </c>
      <c r="R180" s="2">
        <f>IFERROR(XLOOKUP(A180,'Intake Responses'!$A:$A,'Intake Responses'!$S:$S),"")</f>
        <v/>
      </c>
      <c r="S180" s="2" t="n"/>
      <c r="T180" s="2" t="n"/>
      <c r="U180" s="2" t="n"/>
      <c r="V180" s="2">
        <f>IFERROR(MIN(5,ROUND(((M180+O180)/2)+(IF(J180&gt;=20,2,IF(J180&gt;=10,1.5,IF(J180&gt;=5,1,IF(J180&gt;=1,0.5,0))))),1)),0)</f>
        <v/>
      </c>
      <c r="W180" s="2">
        <f>IFERROR(SWITCH(F180,"Multiple times per day",5,"Daily",4,"Weekly",3,"Monthly",2,"Quarterly",1,"Ad hoc",1,"Unknown",0),0)</f>
        <v/>
      </c>
      <c r="X180" s="2">
        <f>IFERROR(ROUND(AVERAGE(L180,N180),1),0)</f>
        <v/>
      </c>
      <c r="Y180" s="2">
        <f>IFERROR(SWITCH(U180,"High",3,"Medium",2,"Low",0,"Unknown",1,1)+IF(Q180="Yes",2,IF(Q180="Unsure",1,0)),0)</f>
        <v/>
      </c>
      <c r="Z180" s="2">
        <f>IFERROR(ROUND((V180*2)+(W180*1)+(X180*2)+(IF(T180="Easy",2,IF(T180="Medium",1,IF(T180="Hard",-1,0))))-(Y180*2),1),0)</f>
        <v/>
      </c>
      <c r="AA180" s="2">
        <f>IFERROR(IF(S180="Not a fit","Not a Fit",IF(Y180&gt;=5,"High Risk / Needs Review",IF(AND(Z180&gt;=18,T180="Easy"),"Quick Win",IF(AND(Z180&gt;=18,T180&lt;&gt;"Easy"),"Strategic Project",IF(Z180&gt;=10,"Discovery Needed","Process Issue"))))),"")</f>
        <v/>
      </c>
      <c r="AB180" s="2">
        <f>IFERROR(SWITCH(AA180,"Quick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0" s="2" t="n"/>
      <c r="AD180" s="2" t="n"/>
      <c r="AE180" s="2" t="n"/>
    </row>
    <row r="181" ht="25" customHeight="1">
      <c r="A181" s="3" t="n"/>
      <c r="B181" s="3">
        <f>IFERROR(XLOOKUP(A181,'Intake Responses'!$A:$A,'Intake Responses'!$E:$E),"")</f>
        <v/>
      </c>
      <c r="C181" s="3">
        <f>IFERROR(XLOOKUP(A181,'Intake Responses'!$A:$A,'Intake Responses'!$D:$D),"")</f>
        <v/>
      </c>
      <c r="D181" s="3">
        <f>IFERROR(XLOOKUP(A181,'Intake Responses'!$A:$A,'Intake Responses'!$F:$F),"")</f>
        <v/>
      </c>
      <c r="E181" s="3" t="n"/>
      <c r="F181" s="3">
        <f>IFERROR(XLOOKUP(A181,'Intake Responses'!$A:$A,'Intake Responses'!$M:$M),"")</f>
        <v/>
      </c>
      <c r="G181" s="3">
        <f>IFERROR(XLOOKUP(A181,'Intake Responses'!$A:$A,'Intake Responses'!$N:$N),"")</f>
        <v/>
      </c>
      <c r="H181" s="3">
        <f>IFERROR(XLOOKUP(A181,'Intake Responses'!$A:$A,'Intake Responses'!$O:$O),"")</f>
        <v/>
      </c>
      <c r="I181" s="3">
        <f>IFERROR(SWITCH(F181,"Multiple times per day",60,"Daily",20,"Weekly",4,"Monthly",1,"Quarterly",0.33,"Ad hoc",0.5,"Unknown",0),0)</f>
        <v/>
      </c>
      <c r="J181" s="3">
        <f>IFERROR((G181*H181*I181)/60,0)</f>
        <v/>
      </c>
      <c r="K181" s="3">
        <f>IFERROR(J181*12,0)</f>
        <v/>
      </c>
      <c r="L181" s="3">
        <f>IFERROR(XLOOKUP(A181,'Intake Responses'!$A:$A,'Intake Responses'!$T:$T),"")</f>
        <v/>
      </c>
      <c r="M181" s="3">
        <f>IFERROR(XLOOKUP(A181,'Intake Responses'!$A:$A,'Intake Responses'!$U:$U),"")</f>
        <v/>
      </c>
      <c r="N181" s="3">
        <f>IFERROR(XLOOKUP(A181,'Intake Responses'!$A:$A,'Intake Responses'!$V:$V),"")</f>
        <v/>
      </c>
      <c r="O181" s="3">
        <f>IFERROR(XLOOKUP(A181,'Intake Responses'!$A:$A,'Intake Responses'!$W:$W),"")</f>
        <v/>
      </c>
      <c r="P181" s="3">
        <f>IFERROR(XLOOKUP(A181,'Intake Responses'!$A:$A,'Intake Responses'!$X:$X),"")</f>
        <v/>
      </c>
      <c r="Q181" s="3">
        <f>IFERROR(XLOOKUP(A181,'Intake Responses'!$A:$A,'Intake Responses'!$AF:$AF),"")</f>
        <v/>
      </c>
      <c r="R181" s="3">
        <f>IFERROR(XLOOKUP(A181,'Intake Responses'!$A:$A,'Intake Responses'!$S:$S),"")</f>
        <v/>
      </c>
      <c r="S181" s="3" t="n"/>
      <c r="T181" s="3" t="n"/>
      <c r="U181" s="3" t="n"/>
      <c r="V181" s="3">
        <f>IFERROR(MIN(5,ROUND(((M181+O181)/2)+(IF(J181&gt;=20,2,IF(J181&gt;=10,1.5,IF(J181&gt;=5,1,IF(J181&gt;=1,0.5,0))))),1)),0)</f>
        <v/>
      </c>
      <c r="W181" s="3">
        <f>IFERROR(SWITCH(F181,"Multiple times per day",5,"Daily",4,"Weekly",3,"Monthly",2,"Quarterly",1,"Ad hoc",1,"Unknown",0),0)</f>
        <v/>
      </c>
      <c r="X181" s="3">
        <f>IFERROR(ROUND(AVERAGE(L181,N181),1),0)</f>
        <v/>
      </c>
      <c r="Y181" s="3">
        <f>IFERROR(SWITCH(U181,"High",3,"Medium",2,"Low",0,"Unknown",1,1)+IF(Q181="Yes",2,IF(Q181="Unsure",1,0)),0)</f>
        <v/>
      </c>
      <c r="Z181" s="3">
        <f>IFERROR(ROUND((V181*2)+(W181*1)+(X181*2)+(IF(T181="Easy",2,IF(T181="Medium",1,IF(T181="Hard",-1,0))))-(Y181*2),1),0)</f>
        <v/>
      </c>
      <c r="AA181" s="3">
        <f>IFERROR(IF(S181="Not a fit","Not a Fit",IF(Y181&gt;=5,"High Risk / Needs Review",IF(AND(Z181&gt;=18,T181="Easy"),"Quick Win",IF(AND(Z181&gt;=18,T181&lt;&gt;"Easy"),"Strategic Project",IF(Z181&gt;=10,"Discovery Needed","Process Issue"))))),"")</f>
        <v/>
      </c>
      <c r="AB181" s="3">
        <f>IFERROR(SWITCH(AA181,"Quick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1" s="3" t="n"/>
      <c r="AD181" s="3" t="n"/>
      <c r="AE181" s="3" t="n"/>
    </row>
    <row r="182" ht="25" customHeight="1">
      <c r="A182" s="2" t="n"/>
      <c r="B182" s="2">
        <f>IFERROR(XLOOKUP(A182,'Intake Responses'!$A:$A,'Intake Responses'!$E:$E),"")</f>
        <v/>
      </c>
      <c r="C182" s="2">
        <f>IFERROR(XLOOKUP(A182,'Intake Responses'!$A:$A,'Intake Responses'!$D:$D),"")</f>
        <v/>
      </c>
      <c r="D182" s="2">
        <f>IFERROR(XLOOKUP(A182,'Intake Responses'!$A:$A,'Intake Responses'!$F:$F),"")</f>
        <v/>
      </c>
      <c r="E182" s="2" t="n"/>
      <c r="F182" s="2">
        <f>IFERROR(XLOOKUP(A182,'Intake Responses'!$A:$A,'Intake Responses'!$M:$M),"")</f>
        <v/>
      </c>
      <c r="G182" s="2">
        <f>IFERROR(XLOOKUP(A182,'Intake Responses'!$A:$A,'Intake Responses'!$N:$N),"")</f>
        <v/>
      </c>
      <c r="H182" s="2">
        <f>IFERROR(XLOOKUP(A182,'Intake Responses'!$A:$A,'Intake Responses'!$O:$O),"")</f>
        <v/>
      </c>
      <c r="I182" s="2">
        <f>IFERROR(SWITCH(F182,"Multiple times per day",60,"Daily",20,"Weekly",4,"Monthly",1,"Quarterly",0.33,"Ad hoc",0.5,"Unknown",0),0)</f>
        <v/>
      </c>
      <c r="J182" s="2">
        <f>IFERROR((G182*H182*I182)/60,0)</f>
        <v/>
      </c>
      <c r="K182" s="2">
        <f>IFERROR(J182*12,0)</f>
        <v/>
      </c>
      <c r="L182" s="2">
        <f>IFERROR(XLOOKUP(A182,'Intake Responses'!$A:$A,'Intake Responses'!$T:$T),"")</f>
        <v/>
      </c>
      <c r="M182" s="2">
        <f>IFERROR(XLOOKUP(A182,'Intake Responses'!$A:$A,'Intake Responses'!$U:$U),"")</f>
        <v/>
      </c>
      <c r="N182" s="2">
        <f>IFERROR(XLOOKUP(A182,'Intake Responses'!$A:$A,'Intake Responses'!$V:$V),"")</f>
        <v/>
      </c>
      <c r="O182" s="2">
        <f>IFERROR(XLOOKUP(A182,'Intake Responses'!$A:$A,'Intake Responses'!$W:$W),"")</f>
        <v/>
      </c>
      <c r="P182" s="2">
        <f>IFERROR(XLOOKUP(A182,'Intake Responses'!$A:$A,'Intake Responses'!$X:$X),"")</f>
        <v/>
      </c>
      <c r="Q182" s="2">
        <f>IFERROR(XLOOKUP(A182,'Intake Responses'!$A:$A,'Intake Responses'!$AF:$AF),"")</f>
        <v/>
      </c>
      <c r="R182" s="2">
        <f>IFERROR(XLOOKUP(A182,'Intake Responses'!$A:$A,'Intake Responses'!$S:$S),"")</f>
        <v/>
      </c>
      <c r="S182" s="2" t="n"/>
      <c r="T182" s="2" t="n"/>
      <c r="U182" s="2" t="n"/>
      <c r="V182" s="2">
        <f>IFERROR(MIN(5,ROUND(((M182+O182)/2)+(IF(J182&gt;=20,2,IF(J182&gt;=10,1.5,IF(J182&gt;=5,1,IF(J182&gt;=1,0.5,0))))),1)),0)</f>
        <v/>
      </c>
      <c r="W182" s="2">
        <f>IFERROR(SWITCH(F182,"Multiple times per day",5,"Daily",4,"Weekly",3,"Monthly",2,"Quarterly",1,"Ad hoc",1,"Unknown",0),0)</f>
        <v/>
      </c>
      <c r="X182" s="2">
        <f>IFERROR(ROUND(AVERAGE(L182,N182),1),0)</f>
        <v/>
      </c>
      <c r="Y182" s="2">
        <f>IFERROR(SWITCH(U182,"High",3,"Medium",2,"Low",0,"Unknown",1,1)+IF(Q182="Yes",2,IF(Q182="Unsure",1,0)),0)</f>
        <v/>
      </c>
      <c r="Z182" s="2">
        <f>IFERROR(ROUND((V182*2)+(W182*1)+(X182*2)+(IF(T182="Easy",2,IF(T182="Medium",1,IF(T182="Hard",-1,0))))-(Y182*2),1),0)</f>
        <v/>
      </c>
      <c r="AA182" s="2">
        <f>IFERROR(IF(S182="Not a fit","Not a Fit",IF(Y182&gt;=5,"High Risk / Needs Review",IF(AND(Z182&gt;=18,T182="Easy"),"Quick Win",IF(AND(Z182&gt;=18,T182&lt;&gt;"Easy"),"Strategic Project",IF(Z182&gt;=10,"Discovery Needed","Process Issue"))))),"")</f>
        <v/>
      </c>
      <c r="AB182" s="2">
        <f>IFERROR(SWITCH(AA182,"Quick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2" s="2" t="n"/>
      <c r="AD182" s="2" t="n"/>
      <c r="AE182" s="2" t="n"/>
    </row>
    <row r="183" ht="25" customHeight="1">
      <c r="A183" s="3" t="n"/>
      <c r="B183" s="3">
        <f>IFERROR(XLOOKUP(A183,'Intake Responses'!$A:$A,'Intake Responses'!$E:$E),"")</f>
        <v/>
      </c>
      <c r="C183" s="3">
        <f>IFERROR(XLOOKUP(A183,'Intake Responses'!$A:$A,'Intake Responses'!$D:$D),"")</f>
        <v/>
      </c>
      <c r="D183" s="3">
        <f>IFERROR(XLOOKUP(A183,'Intake Responses'!$A:$A,'Intake Responses'!$F:$F),"")</f>
        <v/>
      </c>
      <c r="E183" s="3" t="n"/>
      <c r="F183" s="3">
        <f>IFERROR(XLOOKUP(A183,'Intake Responses'!$A:$A,'Intake Responses'!$M:$M),"")</f>
        <v/>
      </c>
      <c r="G183" s="3">
        <f>IFERROR(XLOOKUP(A183,'Intake Responses'!$A:$A,'Intake Responses'!$N:$N),"")</f>
        <v/>
      </c>
      <c r="H183" s="3">
        <f>IFERROR(XLOOKUP(A183,'Intake Responses'!$A:$A,'Intake Responses'!$O:$O),"")</f>
        <v/>
      </c>
      <c r="I183" s="3">
        <f>IFERROR(SWITCH(F183,"Multiple times per day",60,"Daily",20,"Weekly",4,"Monthly",1,"Quarterly",0.33,"Ad hoc",0.5,"Unknown",0),0)</f>
        <v/>
      </c>
      <c r="J183" s="3">
        <f>IFERROR((G183*H183*I183)/60,0)</f>
        <v/>
      </c>
      <c r="K183" s="3">
        <f>IFERROR(J183*12,0)</f>
        <v/>
      </c>
      <c r="L183" s="3">
        <f>IFERROR(XLOOKUP(A183,'Intake Responses'!$A:$A,'Intake Responses'!$T:$T),"")</f>
        <v/>
      </c>
      <c r="M183" s="3">
        <f>IFERROR(XLOOKUP(A183,'Intake Responses'!$A:$A,'Intake Responses'!$U:$U),"")</f>
        <v/>
      </c>
      <c r="N183" s="3">
        <f>IFERROR(XLOOKUP(A183,'Intake Responses'!$A:$A,'Intake Responses'!$V:$V),"")</f>
        <v/>
      </c>
      <c r="O183" s="3">
        <f>IFERROR(XLOOKUP(A183,'Intake Responses'!$A:$A,'Intake Responses'!$W:$W),"")</f>
        <v/>
      </c>
      <c r="P183" s="3">
        <f>IFERROR(XLOOKUP(A183,'Intake Responses'!$A:$A,'Intake Responses'!$X:$X),"")</f>
        <v/>
      </c>
      <c r="Q183" s="3">
        <f>IFERROR(XLOOKUP(A183,'Intake Responses'!$A:$A,'Intake Responses'!$AF:$AF),"")</f>
        <v/>
      </c>
      <c r="R183" s="3">
        <f>IFERROR(XLOOKUP(A183,'Intake Responses'!$A:$A,'Intake Responses'!$S:$S),"")</f>
        <v/>
      </c>
      <c r="S183" s="3" t="n"/>
      <c r="T183" s="3" t="n"/>
      <c r="U183" s="3" t="n"/>
      <c r="V183" s="3">
        <f>IFERROR(MIN(5,ROUND(((M183+O183)/2)+(IF(J183&gt;=20,2,IF(J183&gt;=10,1.5,IF(J183&gt;=5,1,IF(J183&gt;=1,0.5,0))))),1)),0)</f>
        <v/>
      </c>
      <c r="W183" s="3">
        <f>IFERROR(SWITCH(F183,"Multiple times per day",5,"Daily",4,"Weekly",3,"Monthly",2,"Quarterly",1,"Ad hoc",1,"Unknown",0),0)</f>
        <v/>
      </c>
      <c r="X183" s="3">
        <f>IFERROR(ROUND(AVERAGE(L183,N183),1),0)</f>
        <v/>
      </c>
      <c r="Y183" s="3">
        <f>IFERROR(SWITCH(U183,"High",3,"Medium",2,"Low",0,"Unknown",1,1)+IF(Q183="Yes",2,IF(Q183="Unsure",1,0)),0)</f>
        <v/>
      </c>
      <c r="Z183" s="3">
        <f>IFERROR(ROUND((V183*2)+(W183*1)+(X183*2)+(IF(T183="Easy",2,IF(T183="Medium",1,IF(T183="Hard",-1,0))))-(Y183*2),1),0)</f>
        <v/>
      </c>
      <c r="AA183" s="3">
        <f>IFERROR(IF(S183="Not a fit","Not a Fit",IF(Y183&gt;=5,"High Risk / Needs Review",IF(AND(Z183&gt;=18,T183="Easy"),"Quick Win",IF(AND(Z183&gt;=18,T183&lt;&gt;"Easy"),"Strategic Project",IF(Z183&gt;=10,"Discovery Needed","Process Issue"))))),"")</f>
        <v/>
      </c>
      <c r="AB183" s="3">
        <f>IFERROR(SWITCH(AA183,"Quick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3" s="3" t="n"/>
      <c r="AD183" s="3" t="n"/>
      <c r="AE183" s="3" t="n"/>
    </row>
    <row r="184" ht="25" customHeight="1">
      <c r="A184" s="2" t="n"/>
      <c r="B184" s="2">
        <f>IFERROR(XLOOKUP(A184,'Intake Responses'!$A:$A,'Intake Responses'!$E:$E),"")</f>
        <v/>
      </c>
      <c r="C184" s="2">
        <f>IFERROR(XLOOKUP(A184,'Intake Responses'!$A:$A,'Intake Responses'!$D:$D),"")</f>
        <v/>
      </c>
      <c r="D184" s="2">
        <f>IFERROR(XLOOKUP(A184,'Intake Responses'!$A:$A,'Intake Responses'!$F:$F),"")</f>
        <v/>
      </c>
      <c r="E184" s="2" t="n"/>
      <c r="F184" s="2">
        <f>IFERROR(XLOOKUP(A184,'Intake Responses'!$A:$A,'Intake Responses'!$M:$M),"")</f>
        <v/>
      </c>
      <c r="G184" s="2">
        <f>IFERROR(XLOOKUP(A184,'Intake Responses'!$A:$A,'Intake Responses'!$N:$N),"")</f>
        <v/>
      </c>
      <c r="H184" s="2">
        <f>IFERROR(XLOOKUP(A184,'Intake Responses'!$A:$A,'Intake Responses'!$O:$O),"")</f>
        <v/>
      </c>
      <c r="I184" s="2">
        <f>IFERROR(SWITCH(F184,"Multiple times per day",60,"Daily",20,"Weekly",4,"Monthly",1,"Quarterly",0.33,"Ad hoc",0.5,"Unknown",0),0)</f>
        <v/>
      </c>
      <c r="J184" s="2">
        <f>IFERROR((G184*H184*I184)/60,0)</f>
        <v/>
      </c>
      <c r="K184" s="2">
        <f>IFERROR(J184*12,0)</f>
        <v/>
      </c>
      <c r="L184" s="2">
        <f>IFERROR(XLOOKUP(A184,'Intake Responses'!$A:$A,'Intake Responses'!$T:$T),"")</f>
        <v/>
      </c>
      <c r="M184" s="2">
        <f>IFERROR(XLOOKUP(A184,'Intake Responses'!$A:$A,'Intake Responses'!$U:$U),"")</f>
        <v/>
      </c>
      <c r="N184" s="2">
        <f>IFERROR(XLOOKUP(A184,'Intake Responses'!$A:$A,'Intake Responses'!$V:$V),"")</f>
        <v/>
      </c>
      <c r="O184" s="2">
        <f>IFERROR(XLOOKUP(A184,'Intake Responses'!$A:$A,'Intake Responses'!$W:$W),"")</f>
        <v/>
      </c>
      <c r="P184" s="2">
        <f>IFERROR(XLOOKUP(A184,'Intake Responses'!$A:$A,'Intake Responses'!$X:$X),"")</f>
        <v/>
      </c>
      <c r="Q184" s="2">
        <f>IFERROR(XLOOKUP(A184,'Intake Responses'!$A:$A,'Intake Responses'!$AF:$AF),"")</f>
        <v/>
      </c>
      <c r="R184" s="2">
        <f>IFERROR(XLOOKUP(A184,'Intake Responses'!$A:$A,'Intake Responses'!$S:$S),"")</f>
        <v/>
      </c>
      <c r="S184" s="2" t="n"/>
      <c r="T184" s="2" t="n"/>
      <c r="U184" s="2" t="n"/>
      <c r="V184" s="2">
        <f>IFERROR(MIN(5,ROUND(((M184+O184)/2)+(IF(J184&gt;=20,2,IF(J184&gt;=10,1.5,IF(J184&gt;=5,1,IF(J184&gt;=1,0.5,0))))),1)),0)</f>
        <v/>
      </c>
      <c r="W184" s="2">
        <f>IFERROR(SWITCH(F184,"Multiple times per day",5,"Daily",4,"Weekly",3,"Monthly",2,"Quarterly",1,"Ad hoc",1,"Unknown",0),0)</f>
        <v/>
      </c>
      <c r="X184" s="2">
        <f>IFERROR(ROUND(AVERAGE(L184,N184),1),0)</f>
        <v/>
      </c>
      <c r="Y184" s="2">
        <f>IFERROR(SWITCH(U184,"High",3,"Medium",2,"Low",0,"Unknown",1,1)+IF(Q184="Yes",2,IF(Q184="Unsure",1,0)),0)</f>
        <v/>
      </c>
      <c r="Z184" s="2">
        <f>IFERROR(ROUND((V184*2)+(W184*1)+(X184*2)+(IF(T184="Easy",2,IF(T184="Medium",1,IF(T184="Hard",-1,0))))-(Y184*2),1),0)</f>
        <v/>
      </c>
      <c r="AA184" s="2">
        <f>IFERROR(IF(S184="Not a fit","Not a Fit",IF(Y184&gt;=5,"High Risk / Needs Review",IF(AND(Z184&gt;=18,T184="Easy"),"Quick Win",IF(AND(Z184&gt;=18,T184&lt;&gt;"Easy"),"Strategic Project",IF(Z184&gt;=10,"Discovery Needed","Process Issue"))))),"")</f>
        <v/>
      </c>
      <c r="AB184" s="2">
        <f>IFERROR(SWITCH(AA184,"Quick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4" s="2" t="n"/>
      <c r="AD184" s="2" t="n"/>
      <c r="AE184" s="2" t="n"/>
    </row>
    <row r="185" ht="25" customHeight="1">
      <c r="A185" s="3" t="n"/>
      <c r="B185" s="3">
        <f>IFERROR(XLOOKUP(A185,'Intake Responses'!$A:$A,'Intake Responses'!$E:$E),"")</f>
        <v/>
      </c>
      <c r="C185" s="3">
        <f>IFERROR(XLOOKUP(A185,'Intake Responses'!$A:$A,'Intake Responses'!$D:$D),"")</f>
        <v/>
      </c>
      <c r="D185" s="3">
        <f>IFERROR(XLOOKUP(A185,'Intake Responses'!$A:$A,'Intake Responses'!$F:$F),"")</f>
        <v/>
      </c>
      <c r="E185" s="3" t="n"/>
      <c r="F185" s="3">
        <f>IFERROR(XLOOKUP(A185,'Intake Responses'!$A:$A,'Intake Responses'!$M:$M),"")</f>
        <v/>
      </c>
      <c r="G185" s="3">
        <f>IFERROR(XLOOKUP(A185,'Intake Responses'!$A:$A,'Intake Responses'!$N:$N),"")</f>
        <v/>
      </c>
      <c r="H185" s="3">
        <f>IFERROR(XLOOKUP(A185,'Intake Responses'!$A:$A,'Intake Responses'!$O:$O),"")</f>
        <v/>
      </c>
      <c r="I185" s="3">
        <f>IFERROR(SWITCH(F185,"Multiple times per day",60,"Daily",20,"Weekly",4,"Monthly",1,"Quarterly",0.33,"Ad hoc",0.5,"Unknown",0),0)</f>
        <v/>
      </c>
      <c r="J185" s="3">
        <f>IFERROR((G185*H185*I185)/60,0)</f>
        <v/>
      </c>
      <c r="K185" s="3">
        <f>IFERROR(J185*12,0)</f>
        <v/>
      </c>
      <c r="L185" s="3">
        <f>IFERROR(XLOOKUP(A185,'Intake Responses'!$A:$A,'Intake Responses'!$T:$T),"")</f>
        <v/>
      </c>
      <c r="M185" s="3">
        <f>IFERROR(XLOOKUP(A185,'Intake Responses'!$A:$A,'Intake Responses'!$U:$U),"")</f>
        <v/>
      </c>
      <c r="N185" s="3">
        <f>IFERROR(XLOOKUP(A185,'Intake Responses'!$A:$A,'Intake Responses'!$V:$V),"")</f>
        <v/>
      </c>
      <c r="O185" s="3">
        <f>IFERROR(XLOOKUP(A185,'Intake Responses'!$A:$A,'Intake Responses'!$W:$W),"")</f>
        <v/>
      </c>
      <c r="P185" s="3">
        <f>IFERROR(XLOOKUP(A185,'Intake Responses'!$A:$A,'Intake Responses'!$X:$X),"")</f>
        <v/>
      </c>
      <c r="Q185" s="3">
        <f>IFERROR(XLOOKUP(A185,'Intake Responses'!$A:$A,'Intake Responses'!$AF:$AF),"")</f>
        <v/>
      </c>
      <c r="R185" s="3">
        <f>IFERROR(XLOOKUP(A185,'Intake Responses'!$A:$A,'Intake Responses'!$S:$S),"")</f>
        <v/>
      </c>
      <c r="S185" s="3" t="n"/>
      <c r="T185" s="3" t="n"/>
      <c r="U185" s="3" t="n"/>
      <c r="V185" s="3">
        <f>IFERROR(MIN(5,ROUND(((M185+O185)/2)+(IF(J185&gt;=20,2,IF(J185&gt;=10,1.5,IF(J185&gt;=5,1,IF(J185&gt;=1,0.5,0))))),1)),0)</f>
        <v/>
      </c>
      <c r="W185" s="3">
        <f>IFERROR(SWITCH(F185,"Multiple times per day",5,"Daily",4,"Weekly",3,"Monthly",2,"Quarterly",1,"Ad hoc",1,"Unknown",0),0)</f>
        <v/>
      </c>
      <c r="X185" s="3">
        <f>IFERROR(ROUND(AVERAGE(L185,N185),1),0)</f>
        <v/>
      </c>
      <c r="Y185" s="3">
        <f>IFERROR(SWITCH(U185,"High",3,"Medium",2,"Low",0,"Unknown",1,1)+IF(Q185="Yes",2,IF(Q185="Unsure",1,0)),0)</f>
        <v/>
      </c>
      <c r="Z185" s="3">
        <f>IFERROR(ROUND((V185*2)+(W185*1)+(X185*2)+(IF(T185="Easy",2,IF(T185="Medium",1,IF(T185="Hard",-1,0))))-(Y185*2),1),0)</f>
        <v/>
      </c>
      <c r="AA185" s="3">
        <f>IFERROR(IF(S185="Not a fit","Not a Fit",IF(Y185&gt;=5,"High Risk / Needs Review",IF(AND(Z185&gt;=18,T185="Easy"),"Quick Win",IF(AND(Z185&gt;=18,T185&lt;&gt;"Easy"),"Strategic Project",IF(Z185&gt;=10,"Discovery Needed","Process Issue"))))),"")</f>
        <v/>
      </c>
      <c r="AB185" s="3">
        <f>IFERROR(SWITCH(AA185,"Quick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5" s="3" t="n"/>
      <c r="AD185" s="3" t="n"/>
      <c r="AE185" s="3" t="n"/>
    </row>
    <row r="186" ht="25" customHeight="1">
      <c r="A186" s="2" t="n"/>
      <c r="B186" s="2">
        <f>IFERROR(XLOOKUP(A186,'Intake Responses'!$A:$A,'Intake Responses'!$E:$E),"")</f>
        <v/>
      </c>
      <c r="C186" s="2">
        <f>IFERROR(XLOOKUP(A186,'Intake Responses'!$A:$A,'Intake Responses'!$D:$D),"")</f>
        <v/>
      </c>
      <c r="D186" s="2">
        <f>IFERROR(XLOOKUP(A186,'Intake Responses'!$A:$A,'Intake Responses'!$F:$F),"")</f>
        <v/>
      </c>
      <c r="E186" s="2" t="n"/>
      <c r="F186" s="2">
        <f>IFERROR(XLOOKUP(A186,'Intake Responses'!$A:$A,'Intake Responses'!$M:$M),"")</f>
        <v/>
      </c>
      <c r="G186" s="2">
        <f>IFERROR(XLOOKUP(A186,'Intake Responses'!$A:$A,'Intake Responses'!$N:$N),"")</f>
        <v/>
      </c>
      <c r="H186" s="2">
        <f>IFERROR(XLOOKUP(A186,'Intake Responses'!$A:$A,'Intake Responses'!$O:$O),"")</f>
        <v/>
      </c>
      <c r="I186" s="2">
        <f>IFERROR(SWITCH(F186,"Multiple times per day",60,"Daily",20,"Weekly",4,"Monthly",1,"Quarterly",0.33,"Ad hoc",0.5,"Unknown",0),0)</f>
        <v/>
      </c>
      <c r="J186" s="2">
        <f>IFERROR((G186*H186*I186)/60,0)</f>
        <v/>
      </c>
      <c r="K186" s="2">
        <f>IFERROR(J186*12,0)</f>
        <v/>
      </c>
      <c r="L186" s="2">
        <f>IFERROR(XLOOKUP(A186,'Intake Responses'!$A:$A,'Intake Responses'!$T:$T),"")</f>
        <v/>
      </c>
      <c r="M186" s="2">
        <f>IFERROR(XLOOKUP(A186,'Intake Responses'!$A:$A,'Intake Responses'!$U:$U),"")</f>
        <v/>
      </c>
      <c r="N186" s="2">
        <f>IFERROR(XLOOKUP(A186,'Intake Responses'!$A:$A,'Intake Responses'!$V:$V),"")</f>
        <v/>
      </c>
      <c r="O186" s="2">
        <f>IFERROR(XLOOKUP(A186,'Intake Responses'!$A:$A,'Intake Responses'!$W:$W),"")</f>
        <v/>
      </c>
      <c r="P186" s="2">
        <f>IFERROR(XLOOKUP(A186,'Intake Responses'!$A:$A,'Intake Responses'!$X:$X),"")</f>
        <v/>
      </c>
      <c r="Q186" s="2">
        <f>IFERROR(XLOOKUP(A186,'Intake Responses'!$A:$A,'Intake Responses'!$AF:$AF),"")</f>
        <v/>
      </c>
      <c r="R186" s="2">
        <f>IFERROR(XLOOKUP(A186,'Intake Responses'!$A:$A,'Intake Responses'!$S:$S),"")</f>
        <v/>
      </c>
      <c r="S186" s="2" t="n"/>
      <c r="T186" s="2" t="n"/>
      <c r="U186" s="2" t="n"/>
      <c r="V186" s="2">
        <f>IFERROR(MIN(5,ROUND(((M186+O186)/2)+(IF(J186&gt;=20,2,IF(J186&gt;=10,1.5,IF(J186&gt;=5,1,IF(J186&gt;=1,0.5,0))))),1)),0)</f>
        <v/>
      </c>
      <c r="W186" s="2">
        <f>IFERROR(SWITCH(F186,"Multiple times per day",5,"Daily",4,"Weekly",3,"Monthly",2,"Quarterly",1,"Ad hoc",1,"Unknown",0),0)</f>
        <v/>
      </c>
      <c r="X186" s="2">
        <f>IFERROR(ROUND(AVERAGE(L186,N186),1),0)</f>
        <v/>
      </c>
      <c r="Y186" s="2">
        <f>IFERROR(SWITCH(U186,"High",3,"Medium",2,"Low",0,"Unknown",1,1)+IF(Q186="Yes",2,IF(Q186="Unsure",1,0)),0)</f>
        <v/>
      </c>
      <c r="Z186" s="2">
        <f>IFERROR(ROUND((V186*2)+(W186*1)+(X186*2)+(IF(T186="Easy",2,IF(T186="Medium",1,IF(T186="Hard",-1,0))))-(Y186*2),1),0)</f>
        <v/>
      </c>
      <c r="AA186" s="2">
        <f>IFERROR(IF(S186="Not a fit","Not a Fit",IF(Y186&gt;=5,"High Risk / Needs Review",IF(AND(Z186&gt;=18,T186="Easy"),"Quick Win",IF(AND(Z186&gt;=18,T186&lt;&gt;"Easy"),"Strategic Project",IF(Z186&gt;=10,"Discovery Needed","Process Issue"))))),"")</f>
        <v/>
      </c>
      <c r="AB186" s="2">
        <f>IFERROR(SWITCH(AA186,"Quick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6" s="2" t="n"/>
      <c r="AD186" s="2" t="n"/>
      <c r="AE186" s="2" t="n"/>
    </row>
    <row r="187" ht="25" customHeight="1">
      <c r="A187" s="3" t="n"/>
      <c r="B187" s="3">
        <f>IFERROR(XLOOKUP(A187,'Intake Responses'!$A:$A,'Intake Responses'!$E:$E),"")</f>
        <v/>
      </c>
      <c r="C187" s="3">
        <f>IFERROR(XLOOKUP(A187,'Intake Responses'!$A:$A,'Intake Responses'!$D:$D),"")</f>
        <v/>
      </c>
      <c r="D187" s="3">
        <f>IFERROR(XLOOKUP(A187,'Intake Responses'!$A:$A,'Intake Responses'!$F:$F),"")</f>
        <v/>
      </c>
      <c r="E187" s="3" t="n"/>
      <c r="F187" s="3">
        <f>IFERROR(XLOOKUP(A187,'Intake Responses'!$A:$A,'Intake Responses'!$M:$M),"")</f>
        <v/>
      </c>
      <c r="G187" s="3">
        <f>IFERROR(XLOOKUP(A187,'Intake Responses'!$A:$A,'Intake Responses'!$N:$N),"")</f>
        <v/>
      </c>
      <c r="H187" s="3">
        <f>IFERROR(XLOOKUP(A187,'Intake Responses'!$A:$A,'Intake Responses'!$O:$O),"")</f>
        <v/>
      </c>
      <c r="I187" s="3">
        <f>IFERROR(SWITCH(F187,"Multiple times per day",60,"Daily",20,"Weekly",4,"Monthly",1,"Quarterly",0.33,"Ad hoc",0.5,"Unknown",0),0)</f>
        <v/>
      </c>
      <c r="J187" s="3">
        <f>IFERROR((G187*H187*I187)/60,0)</f>
        <v/>
      </c>
      <c r="K187" s="3">
        <f>IFERROR(J187*12,0)</f>
        <v/>
      </c>
      <c r="L187" s="3">
        <f>IFERROR(XLOOKUP(A187,'Intake Responses'!$A:$A,'Intake Responses'!$T:$T),"")</f>
        <v/>
      </c>
      <c r="M187" s="3">
        <f>IFERROR(XLOOKUP(A187,'Intake Responses'!$A:$A,'Intake Responses'!$U:$U),"")</f>
        <v/>
      </c>
      <c r="N187" s="3">
        <f>IFERROR(XLOOKUP(A187,'Intake Responses'!$A:$A,'Intake Responses'!$V:$V),"")</f>
        <v/>
      </c>
      <c r="O187" s="3">
        <f>IFERROR(XLOOKUP(A187,'Intake Responses'!$A:$A,'Intake Responses'!$W:$W),"")</f>
        <v/>
      </c>
      <c r="P187" s="3">
        <f>IFERROR(XLOOKUP(A187,'Intake Responses'!$A:$A,'Intake Responses'!$X:$X),"")</f>
        <v/>
      </c>
      <c r="Q187" s="3">
        <f>IFERROR(XLOOKUP(A187,'Intake Responses'!$A:$A,'Intake Responses'!$AF:$AF),"")</f>
        <v/>
      </c>
      <c r="R187" s="3">
        <f>IFERROR(XLOOKUP(A187,'Intake Responses'!$A:$A,'Intake Responses'!$S:$S),"")</f>
        <v/>
      </c>
      <c r="S187" s="3" t="n"/>
      <c r="T187" s="3" t="n"/>
      <c r="U187" s="3" t="n"/>
      <c r="V187" s="3">
        <f>IFERROR(MIN(5,ROUND(((M187+O187)/2)+(IF(J187&gt;=20,2,IF(J187&gt;=10,1.5,IF(J187&gt;=5,1,IF(J187&gt;=1,0.5,0))))),1)),0)</f>
        <v/>
      </c>
      <c r="W187" s="3">
        <f>IFERROR(SWITCH(F187,"Multiple times per day",5,"Daily",4,"Weekly",3,"Monthly",2,"Quarterly",1,"Ad hoc",1,"Unknown",0),0)</f>
        <v/>
      </c>
      <c r="X187" s="3">
        <f>IFERROR(ROUND(AVERAGE(L187,N187),1),0)</f>
        <v/>
      </c>
      <c r="Y187" s="3">
        <f>IFERROR(SWITCH(U187,"High",3,"Medium",2,"Low",0,"Unknown",1,1)+IF(Q187="Yes",2,IF(Q187="Unsure",1,0)),0)</f>
        <v/>
      </c>
      <c r="Z187" s="3">
        <f>IFERROR(ROUND((V187*2)+(W187*1)+(X187*2)+(IF(T187="Easy",2,IF(T187="Medium",1,IF(T187="Hard",-1,0))))-(Y187*2),1),0)</f>
        <v/>
      </c>
      <c r="AA187" s="3">
        <f>IFERROR(IF(S187="Not a fit","Not a Fit",IF(Y187&gt;=5,"High Risk / Needs Review",IF(AND(Z187&gt;=18,T187="Easy"),"Quick Win",IF(AND(Z187&gt;=18,T187&lt;&gt;"Easy"),"Strategic Project",IF(Z187&gt;=10,"Discovery Needed","Process Issue"))))),"")</f>
        <v/>
      </c>
      <c r="AB187" s="3">
        <f>IFERROR(SWITCH(AA187,"Quick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7" s="3" t="n"/>
      <c r="AD187" s="3" t="n"/>
      <c r="AE187" s="3" t="n"/>
    </row>
    <row r="188" ht="25" customHeight="1">
      <c r="A188" s="2" t="n"/>
      <c r="B188" s="2">
        <f>IFERROR(XLOOKUP(A188,'Intake Responses'!$A:$A,'Intake Responses'!$E:$E),"")</f>
        <v/>
      </c>
      <c r="C188" s="2">
        <f>IFERROR(XLOOKUP(A188,'Intake Responses'!$A:$A,'Intake Responses'!$D:$D),"")</f>
        <v/>
      </c>
      <c r="D188" s="2">
        <f>IFERROR(XLOOKUP(A188,'Intake Responses'!$A:$A,'Intake Responses'!$F:$F),"")</f>
        <v/>
      </c>
      <c r="E188" s="2" t="n"/>
      <c r="F188" s="2">
        <f>IFERROR(XLOOKUP(A188,'Intake Responses'!$A:$A,'Intake Responses'!$M:$M),"")</f>
        <v/>
      </c>
      <c r="G188" s="2">
        <f>IFERROR(XLOOKUP(A188,'Intake Responses'!$A:$A,'Intake Responses'!$N:$N),"")</f>
        <v/>
      </c>
      <c r="H188" s="2">
        <f>IFERROR(XLOOKUP(A188,'Intake Responses'!$A:$A,'Intake Responses'!$O:$O),"")</f>
        <v/>
      </c>
      <c r="I188" s="2">
        <f>IFERROR(SWITCH(F188,"Multiple times per day",60,"Daily",20,"Weekly",4,"Monthly",1,"Quarterly",0.33,"Ad hoc",0.5,"Unknown",0),0)</f>
        <v/>
      </c>
      <c r="J188" s="2">
        <f>IFERROR((G188*H188*I188)/60,0)</f>
        <v/>
      </c>
      <c r="K188" s="2">
        <f>IFERROR(J188*12,0)</f>
        <v/>
      </c>
      <c r="L188" s="2">
        <f>IFERROR(XLOOKUP(A188,'Intake Responses'!$A:$A,'Intake Responses'!$T:$T),"")</f>
        <v/>
      </c>
      <c r="M188" s="2">
        <f>IFERROR(XLOOKUP(A188,'Intake Responses'!$A:$A,'Intake Responses'!$U:$U),"")</f>
        <v/>
      </c>
      <c r="N188" s="2">
        <f>IFERROR(XLOOKUP(A188,'Intake Responses'!$A:$A,'Intake Responses'!$V:$V),"")</f>
        <v/>
      </c>
      <c r="O188" s="2">
        <f>IFERROR(XLOOKUP(A188,'Intake Responses'!$A:$A,'Intake Responses'!$W:$W),"")</f>
        <v/>
      </c>
      <c r="P188" s="2">
        <f>IFERROR(XLOOKUP(A188,'Intake Responses'!$A:$A,'Intake Responses'!$X:$X),"")</f>
        <v/>
      </c>
      <c r="Q188" s="2">
        <f>IFERROR(XLOOKUP(A188,'Intake Responses'!$A:$A,'Intake Responses'!$AF:$AF),"")</f>
        <v/>
      </c>
      <c r="R188" s="2">
        <f>IFERROR(XLOOKUP(A188,'Intake Responses'!$A:$A,'Intake Responses'!$S:$S),"")</f>
        <v/>
      </c>
      <c r="S188" s="2" t="n"/>
      <c r="T188" s="2" t="n"/>
      <c r="U188" s="2" t="n"/>
      <c r="V188" s="2">
        <f>IFERROR(MIN(5,ROUND(((M188+O188)/2)+(IF(J188&gt;=20,2,IF(J188&gt;=10,1.5,IF(J188&gt;=5,1,IF(J188&gt;=1,0.5,0))))),1)),0)</f>
        <v/>
      </c>
      <c r="W188" s="2">
        <f>IFERROR(SWITCH(F188,"Multiple times per day",5,"Daily",4,"Weekly",3,"Monthly",2,"Quarterly",1,"Ad hoc",1,"Unknown",0),0)</f>
        <v/>
      </c>
      <c r="X188" s="2">
        <f>IFERROR(ROUND(AVERAGE(L188,N188),1),0)</f>
        <v/>
      </c>
      <c r="Y188" s="2">
        <f>IFERROR(SWITCH(U188,"High",3,"Medium",2,"Low",0,"Unknown",1,1)+IF(Q188="Yes",2,IF(Q188="Unsure",1,0)),0)</f>
        <v/>
      </c>
      <c r="Z188" s="2">
        <f>IFERROR(ROUND((V188*2)+(W188*1)+(X188*2)+(IF(T188="Easy",2,IF(T188="Medium",1,IF(T188="Hard",-1,0))))-(Y188*2),1),0)</f>
        <v/>
      </c>
      <c r="AA188" s="2">
        <f>IFERROR(IF(S188="Not a fit","Not a Fit",IF(Y188&gt;=5,"High Risk / Needs Review",IF(AND(Z188&gt;=18,T188="Easy"),"Quick Win",IF(AND(Z188&gt;=18,T188&lt;&gt;"Easy"),"Strategic Project",IF(Z188&gt;=10,"Discovery Needed","Process Issue"))))),"")</f>
        <v/>
      </c>
      <c r="AB188" s="2">
        <f>IFERROR(SWITCH(AA188,"Quick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8" s="2" t="n"/>
      <c r="AD188" s="2" t="n"/>
      <c r="AE188" s="2" t="n"/>
    </row>
    <row r="189" ht="25" customHeight="1">
      <c r="A189" s="3" t="n"/>
      <c r="B189" s="3">
        <f>IFERROR(XLOOKUP(A189,'Intake Responses'!$A:$A,'Intake Responses'!$E:$E),"")</f>
        <v/>
      </c>
      <c r="C189" s="3">
        <f>IFERROR(XLOOKUP(A189,'Intake Responses'!$A:$A,'Intake Responses'!$D:$D),"")</f>
        <v/>
      </c>
      <c r="D189" s="3">
        <f>IFERROR(XLOOKUP(A189,'Intake Responses'!$A:$A,'Intake Responses'!$F:$F),"")</f>
        <v/>
      </c>
      <c r="E189" s="3" t="n"/>
      <c r="F189" s="3">
        <f>IFERROR(XLOOKUP(A189,'Intake Responses'!$A:$A,'Intake Responses'!$M:$M),"")</f>
        <v/>
      </c>
      <c r="G189" s="3">
        <f>IFERROR(XLOOKUP(A189,'Intake Responses'!$A:$A,'Intake Responses'!$N:$N),"")</f>
        <v/>
      </c>
      <c r="H189" s="3">
        <f>IFERROR(XLOOKUP(A189,'Intake Responses'!$A:$A,'Intake Responses'!$O:$O),"")</f>
        <v/>
      </c>
      <c r="I189" s="3">
        <f>IFERROR(SWITCH(F189,"Multiple times per day",60,"Daily",20,"Weekly",4,"Monthly",1,"Quarterly",0.33,"Ad hoc",0.5,"Unknown",0),0)</f>
        <v/>
      </c>
      <c r="J189" s="3">
        <f>IFERROR((G189*H189*I189)/60,0)</f>
        <v/>
      </c>
      <c r="K189" s="3">
        <f>IFERROR(J189*12,0)</f>
        <v/>
      </c>
      <c r="L189" s="3">
        <f>IFERROR(XLOOKUP(A189,'Intake Responses'!$A:$A,'Intake Responses'!$T:$T),"")</f>
        <v/>
      </c>
      <c r="M189" s="3">
        <f>IFERROR(XLOOKUP(A189,'Intake Responses'!$A:$A,'Intake Responses'!$U:$U),"")</f>
        <v/>
      </c>
      <c r="N189" s="3">
        <f>IFERROR(XLOOKUP(A189,'Intake Responses'!$A:$A,'Intake Responses'!$V:$V),"")</f>
        <v/>
      </c>
      <c r="O189" s="3">
        <f>IFERROR(XLOOKUP(A189,'Intake Responses'!$A:$A,'Intake Responses'!$W:$W),"")</f>
        <v/>
      </c>
      <c r="P189" s="3">
        <f>IFERROR(XLOOKUP(A189,'Intake Responses'!$A:$A,'Intake Responses'!$X:$X),"")</f>
        <v/>
      </c>
      <c r="Q189" s="3">
        <f>IFERROR(XLOOKUP(A189,'Intake Responses'!$A:$A,'Intake Responses'!$AF:$AF),"")</f>
        <v/>
      </c>
      <c r="R189" s="3">
        <f>IFERROR(XLOOKUP(A189,'Intake Responses'!$A:$A,'Intake Responses'!$S:$S),"")</f>
        <v/>
      </c>
      <c r="S189" s="3" t="n"/>
      <c r="T189" s="3" t="n"/>
      <c r="U189" s="3" t="n"/>
      <c r="V189" s="3">
        <f>IFERROR(MIN(5,ROUND(((M189+O189)/2)+(IF(J189&gt;=20,2,IF(J189&gt;=10,1.5,IF(J189&gt;=5,1,IF(J189&gt;=1,0.5,0))))),1)),0)</f>
        <v/>
      </c>
      <c r="W189" s="3">
        <f>IFERROR(SWITCH(F189,"Multiple times per day",5,"Daily",4,"Weekly",3,"Monthly",2,"Quarterly",1,"Ad hoc",1,"Unknown",0),0)</f>
        <v/>
      </c>
      <c r="X189" s="3">
        <f>IFERROR(ROUND(AVERAGE(L189,N189),1),0)</f>
        <v/>
      </c>
      <c r="Y189" s="3">
        <f>IFERROR(SWITCH(U189,"High",3,"Medium",2,"Low",0,"Unknown",1,1)+IF(Q189="Yes",2,IF(Q189="Unsure",1,0)),0)</f>
        <v/>
      </c>
      <c r="Z189" s="3">
        <f>IFERROR(ROUND((V189*2)+(W189*1)+(X189*2)+(IF(T189="Easy",2,IF(T189="Medium",1,IF(T189="Hard",-1,0))))-(Y189*2),1),0)</f>
        <v/>
      </c>
      <c r="AA189" s="3">
        <f>IFERROR(IF(S189="Not a fit","Not a Fit",IF(Y189&gt;=5,"High Risk / Needs Review",IF(AND(Z189&gt;=18,T189="Easy"),"Quick Win",IF(AND(Z189&gt;=18,T189&lt;&gt;"Easy"),"Strategic Project",IF(Z189&gt;=10,"Discovery Needed","Process Issue"))))),"")</f>
        <v/>
      </c>
      <c r="AB189" s="3">
        <f>IFERROR(SWITCH(AA189,"Quick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89" s="3" t="n"/>
      <c r="AD189" s="3" t="n"/>
      <c r="AE189" s="3" t="n"/>
    </row>
    <row r="190" ht="25" customHeight="1">
      <c r="A190" s="2" t="n"/>
      <c r="B190" s="2">
        <f>IFERROR(XLOOKUP(A190,'Intake Responses'!$A:$A,'Intake Responses'!$E:$E),"")</f>
        <v/>
      </c>
      <c r="C190" s="2">
        <f>IFERROR(XLOOKUP(A190,'Intake Responses'!$A:$A,'Intake Responses'!$D:$D),"")</f>
        <v/>
      </c>
      <c r="D190" s="2">
        <f>IFERROR(XLOOKUP(A190,'Intake Responses'!$A:$A,'Intake Responses'!$F:$F),"")</f>
        <v/>
      </c>
      <c r="E190" s="2" t="n"/>
      <c r="F190" s="2">
        <f>IFERROR(XLOOKUP(A190,'Intake Responses'!$A:$A,'Intake Responses'!$M:$M),"")</f>
        <v/>
      </c>
      <c r="G190" s="2">
        <f>IFERROR(XLOOKUP(A190,'Intake Responses'!$A:$A,'Intake Responses'!$N:$N),"")</f>
        <v/>
      </c>
      <c r="H190" s="2">
        <f>IFERROR(XLOOKUP(A190,'Intake Responses'!$A:$A,'Intake Responses'!$O:$O),"")</f>
        <v/>
      </c>
      <c r="I190" s="2">
        <f>IFERROR(SWITCH(F190,"Multiple times per day",60,"Daily",20,"Weekly",4,"Monthly",1,"Quarterly",0.33,"Ad hoc",0.5,"Unknown",0),0)</f>
        <v/>
      </c>
      <c r="J190" s="2">
        <f>IFERROR((G190*H190*I190)/60,0)</f>
        <v/>
      </c>
      <c r="K190" s="2">
        <f>IFERROR(J190*12,0)</f>
        <v/>
      </c>
      <c r="L190" s="2">
        <f>IFERROR(XLOOKUP(A190,'Intake Responses'!$A:$A,'Intake Responses'!$T:$T),"")</f>
        <v/>
      </c>
      <c r="M190" s="2">
        <f>IFERROR(XLOOKUP(A190,'Intake Responses'!$A:$A,'Intake Responses'!$U:$U),"")</f>
        <v/>
      </c>
      <c r="N190" s="2">
        <f>IFERROR(XLOOKUP(A190,'Intake Responses'!$A:$A,'Intake Responses'!$V:$V),"")</f>
        <v/>
      </c>
      <c r="O190" s="2">
        <f>IFERROR(XLOOKUP(A190,'Intake Responses'!$A:$A,'Intake Responses'!$W:$W),"")</f>
        <v/>
      </c>
      <c r="P190" s="2">
        <f>IFERROR(XLOOKUP(A190,'Intake Responses'!$A:$A,'Intake Responses'!$X:$X),"")</f>
        <v/>
      </c>
      <c r="Q190" s="2">
        <f>IFERROR(XLOOKUP(A190,'Intake Responses'!$A:$A,'Intake Responses'!$AF:$AF),"")</f>
        <v/>
      </c>
      <c r="R190" s="2">
        <f>IFERROR(XLOOKUP(A190,'Intake Responses'!$A:$A,'Intake Responses'!$S:$S),"")</f>
        <v/>
      </c>
      <c r="S190" s="2" t="n"/>
      <c r="T190" s="2" t="n"/>
      <c r="U190" s="2" t="n"/>
      <c r="V190" s="2">
        <f>IFERROR(MIN(5,ROUND(((M190+O190)/2)+(IF(J190&gt;=20,2,IF(J190&gt;=10,1.5,IF(J190&gt;=5,1,IF(J190&gt;=1,0.5,0))))),1)),0)</f>
        <v/>
      </c>
      <c r="W190" s="2">
        <f>IFERROR(SWITCH(F190,"Multiple times per day",5,"Daily",4,"Weekly",3,"Monthly",2,"Quarterly",1,"Ad hoc",1,"Unknown",0),0)</f>
        <v/>
      </c>
      <c r="X190" s="2">
        <f>IFERROR(ROUND(AVERAGE(L190,N190),1),0)</f>
        <v/>
      </c>
      <c r="Y190" s="2">
        <f>IFERROR(SWITCH(U190,"High",3,"Medium",2,"Low",0,"Unknown",1,1)+IF(Q190="Yes",2,IF(Q190="Unsure",1,0)),0)</f>
        <v/>
      </c>
      <c r="Z190" s="2">
        <f>IFERROR(ROUND((V190*2)+(W190*1)+(X190*2)+(IF(T190="Easy",2,IF(T190="Medium",1,IF(T190="Hard",-1,0))))-(Y190*2),1),0)</f>
        <v/>
      </c>
      <c r="AA190" s="2">
        <f>IFERROR(IF(S190="Not a fit","Not a Fit",IF(Y190&gt;=5,"High Risk / Needs Review",IF(AND(Z190&gt;=18,T190="Easy"),"Quick Win",IF(AND(Z190&gt;=18,T190&lt;&gt;"Easy"),"Strategic Project",IF(Z190&gt;=10,"Discovery Needed","Process Issue"))))),"")</f>
        <v/>
      </c>
      <c r="AB190" s="2">
        <f>IFERROR(SWITCH(AA190,"Quick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0" s="2" t="n"/>
      <c r="AD190" s="2" t="n"/>
      <c r="AE190" s="2" t="n"/>
    </row>
    <row r="191" ht="25" customHeight="1">
      <c r="A191" s="3" t="n"/>
      <c r="B191" s="3">
        <f>IFERROR(XLOOKUP(A191,'Intake Responses'!$A:$A,'Intake Responses'!$E:$E),"")</f>
        <v/>
      </c>
      <c r="C191" s="3">
        <f>IFERROR(XLOOKUP(A191,'Intake Responses'!$A:$A,'Intake Responses'!$D:$D),"")</f>
        <v/>
      </c>
      <c r="D191" s="3">
        <f>IFERROR(XLOOKUP(A191,'Intake Responses'!$A:$A,'Intake Responses'!$F:$F),"")</f>
        <v/>
      </c>
      <c r="E191" s="3" t="n"/>
      <c r="F191" s="3">
        <f>IFERROR(XLOOKUP(A191,'Intake Responses'!$A:$A,'Intake Responses'!$M:$M),"")</f>
        <v/>
      </c>
      <c r="G191" s="3">
        <f>IFERROR(XLOOKUP(A191,'Intake Responses'!$A:$A,'Intake Responses'!$N:$N),"")</f>
        <v/>
      </c>
      <c r="H191" s="3">
        <f>IFERROR(XLOOKUP(A191,'Intake Responses'!$A:$A,'Intake Responses'!$O:$O),"")</f>
        <v/>
      </c>
      <c r="I191" s="3">
        <f>IFERROR(SWITCH(F191,"Multiple times per day",60,"Daily",20,"Weekly",4,"Monthly",1,"Quarterly",0.33,"Ad hoc",0.5,"Unknown",0),0)</f>
        <v/>
      </c>
      <c r="J191" s="3">
        <f>IFERROR((G191*H191*I191)/60,0)</f>
        <v/>
      </c>
      <c r="K191" s="3">
        <f>IFERROR(J191*12,0)</f>
        <v/>
      </c>
      <c r="L191" s="3">
        <f>IFERROR(XLOOKUP(A191,'Intake Responses'!$A:$A,'Intake Responses'!$T:$T),"")</f>
        <v/>
      </c>
      <c r="M191" s="3">
        <f>IFERROR(XLOOKUP(A191,'Intake Responses'!$A:$A,'Intake Responses'!$U:$U),"")</f>
        <v/>
      </c>
      <c r="N191" s="3">
        <f>IFERROR(XLOOKUP(A191,'Intake Responses'!$A:$A,'Intake Responses'!$V:$V),"")</f>
        <v/>
      </c>
      <c r="O191" s="3">
        <f>IFERROR(XLOOKUP(A191,'Intake Responses'!$A:$A,'Intake Responses'!$W:$W),"")</f>
        <v/>
      </c>
      <c r="P191" s="3">
        <f>IFERROR(XLOOKUP(A191,'Intake Responses'!$A:$A,'Intake Responses'!$X:$X),"")</f>
        <v/>
      </c>
      <c r="Q191" s="3">
        <f>IFERROR(XLOOKUP(A191,'Intake Responses'!$A:$A,'Intake Responses'!$AF:$AF),"")</f>
        <v/>
      </c>
      <c r="R191" s="3">
        <f>IFERROR(XLOOKUP(A191,'Intake Responses'!$A:$A,'Intake Responses'!$S:$S),"")</f>
        <v/>
      </c>
      <c r="S191" s="3" t="n"/>
      <c r="T191" s="3" t="n"/>
      <c r="U191" s="3" t="n"/>
      <c r="V191" s="3">
        <f>IFERROR(MIN(5,ROUND(((M191+O191)/2)+(IF(J191&gt;=20,2,IF(J191&gt;=10,1.5,IF(J191&gt;=5,1,IF(J191&gt;=1,0.5,0))))),1)),0)</f>
        <v/>
      </c>
      <c r="W191" s="3">
        <f>IFERROR(SWITCH(F191,"Multiple times per day",5,"Daily",4,"Weekly",3,"Monthly",2,"Quarterly",1,"Ad hoc",1,"Unknown",0),0)</f>
        <v/>
      </c>
      <c r="X191" s="3">
        <f>IFERROR(ROUND(AVERAGE(L191,N191),1),0)</f>
        <v/>
      </c>
      <c r="Y191" s="3">
        <f>IFERROR(SWITCH(U191,"High",3,"Medium",2,"Low",0,"Unknown",1,1)+IF(Q191="Yes",2,IF(Q191="Unsure",1,0)),0)</f>
        <v/>
      </c>
      <c r="Z191" s="3">
        <f>IFERROR(ROUND((V191*2)+(W191*1)+(X191*2)+(IF(T191="Easy",2,IF(T191="Medium",1,IF(T191="Hard",-1,0))))-(Y191*2),1),0)</f>
        <v/>
      </c>
      <c r="AA191" s="3">
        <f>IFERROR(IF(S191="Not a fit","Not a Fit",IF(Y191&gt;=5,"High Risk / Needs Review",IF(AND(Z191&gt;=18,T191="Easy"),"Quick Win",IF(AND(Z191&gt;=18,T191&lt;&gt;"Easy"),"Strategic Project",IF(Z191&gt;=10,"Discovery Needed","Process Issue"))))),"")</f>
        <v/>
      </c>
      <c r="AB191" s="3">
        <f>IFERROR(SWITCH(AA191,"Quick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1" s="3" t="n"/>
      <c r="AD191" s="3" t="n"/>
      <c r="AE191" s="3" t="n"/>
    </row>
    <row r="192" ht="25" customHeight="1">
      <c r="A192" s="2" t="n"/>
      <c r="B192" s="2">
        <f>IFERROR(XLOOKUP(A192,'Intake Responses'!$A:$A,'Intake Responses'!$E:$E),"")</f>
        <v/>
      </c>
      <c r="C192" s="2">
        <f>IFERROR(XLOOKUP(A192,'Intake Responses'!$A:$A,'Intake Responses'!$D:$D),"")</f>
        <v/>
      </c>
      <c r="D192" s="2">
        <f>IFERROR(XLOOKUP(A192,'Intake Responses'!$A:$A,'Intake Responses'!$F:$F),"")</f>
        <v/>
      </c>
      <c r="E192" s="2" t="n"/>
      <c r="F192" s="2">
        <f>IFERROR(XLOOKUP(A192,'Intake Responses'!$A:$A,'Intake Responses'!$M:$M),"")</f>
        <v/>
      </c>
      <c r="G192" s="2">
        <f>IFERROR(XLOOKUP(A192,'Intake Responses'!$A:$A,'Intake Responses'!$N:$N),"")</f>
        <v/>
      </c>
      <c r="H192" s="2">
        <f>IFERROR(XLOOKUP(A192,'Intake Responses'!$A:$A,'Intake Responses'!$O:$O),"")</f>
        <v/>
      </c>
      <c r="I192" s="2">
        <f>IFERROR(SWITCH(F192,"Multiple times per day",60,"Daily",20,"Weekly",4,"Monthly",1,"Quarterly",0.33,"Ad hoc",0.5,"Unknown",0),0)</f>
        <v/>
      </c>
      <c r="J192" s="2">
        <f>IFERROR((G192*H192*I192)/60,0)</f>
        <v/>
      </c>
      <c r="K192" s="2">
        <f>IFERROR(J192*12,0)</f>
        <v/>
      </c>
      <c r="L192" s="2">
        <f>IFERROR(XLOOKUP(A192,'Intake Responses'!$A:$A,'Intake Responses'!$T:$T),"")</f>
        <v/>
      </c>
      <c r="M192" s="2">
        <f>IFERROR(XLOOKUP(A192,'Intake Responses'!$A:$A,'Intake Responses'!$U:$U),"")</f>
        <v/>
      </c>
      <c r="N192" s="2">
        <f>IFERROR(XLOOKUP(A192,'Intake Responses'!$A:$A,'Intake Responses'!$V:$V),"")</f>
        <v/>
      </c>
      <c r="O192" s="2">
        <f>IFERROR(XLOOKUP(A192,'Intake Responses'!$A:$A,'Intake Responses'!$W:$W),"")</f>
        <v/>
      </c>
      <c r="P192" s="2">
        <f>IFERROR(XLOOKUP(A192,'Intake Responses'!$A:$A,'Intake Responses'!$X:$X),"")</f>
        <v/>
      </c>
      <c r="Q192" s="2">
        <f>IFERROR(XLOOKUP(A192,'Intake Responses'!$A:$A,'Intake Responses'!$AF:$AF),"")</f>
        <v/>
      </c>
      <c r="R192" s="2">
        <f>IFERROR(XLOOKUP(A192,'Intake Responses'!$A:$A,'Intake Responses'!$S:$S),"")</f>
        <v/>
      </c>
      <c r="S192" s="2" t="n"/>
      <c r="T192" s="2" t="n"/>
      <c r="U192" s="2" t="n"/>
      <c r="V192" s="2">
        <f>IFERROR(MIN(5,ROUND(((M192+O192)/2)+(IF(J192&gt;=20,2,IF(J192&gt;=10,1.5,IF(J192&gt;=5,1,IF(J192&gt;=1,0.5,0))))),1)),0)</f>
        <v/>
      </c>
      <c r="W192" s="2">
        <f>IFERROR(SWITCH(F192,"Multiple times per day",5,"Daily",4,"Weekly",3,"Monthly",2,"Quarterly",1,"Ad hoc",1,"Unknown",0),0)</f>
        <v/>
      </c>
      <c r="X192" s="2">
        <f>IFERROR(ROUND(AVERAGE(L192,N192),1),0)</f>
        <v/>
      </c>
      <c r="Y192" s="2">
        <f>IFERROR(SWITCH(U192,"High",3,"Medium",2,"Low",0,"Unknown",1,1)+IF(Q192="Yes",2,IF(Q192="Unsure",1,0)),0)</f>
        <v/>
      </c>
      <c r="Z192" s="2">
        <f>IFERROR(ROUND((V192*2)+(W192*1)+(X192*2)+(IF(T192="Easy",2,IF(T192="Medium",1,IF(T192="Hard",-1,0))))-(Y192*2),1),0)</f>
        <v/>
      </c>
      <c r="AA192" s="2">
        <f>IFERROR(IF(S192="Not a fit","Not a Fit",IF(Y192&gt;=5,"High Risk / Needs Review",IF(AND(Z192&gt;=18,T192="Easy"),"Quick Win",IF(AND(Z192&gt;=18,T192&lt;&gt;"Easy"),"Strategic Project",IF(Z192&gt;=10,"Discovery Needed","Process Issue"))))),"")</f>
        <v/>
      </c>
      <c r="AB192" s="2">
        <f>IFERROR(SWITCH(AA192,"Quick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2" s="2" t="n"/>
      <c r="AD192" s="2" t="n"/>
      <c r="AE192" s="2" t="n"/>
    </row>
    <row r="193" ht="25" customHeight="1">
      <c r="A193" s="3" t="n"/>
      <c r="B193" s="3">
        <f>IFERROR(XLOOKUP(A193,'Intake Responses'!$A:$A,'Intake Responses'!$E:$E),"")</f>
        <v/>
      </c>
      <c r="C193" s="3">
        <f>IFERROR(XLOOKUP(A193,'Intake Responses'!$A:$A,'Intake Responses'!$D:$D),"")</f>
        <v/>
      </c>
      <c r="D193" s="3">
        <f>IFERROR(XLOOKUP(A193,'Intake Responses'!$A:$A,'Intake Responses'!$F:$F),"")</f>
        <v/>
      </c>
      <c r="E193" s="3" t="n"/>
      <c r="F193" s="3">
        <f>IFERROR(XLOOKUP(A193,'Intake Responses'!$A:$A,'Intake Responses'!$M:$M),"")</f>
        <v/>
      </c>
      <c r="G193" s="3">
        <f>IFERROR(XLOOKUP(A193,'Intake Responses'!$A:$A,'Intake Responses'!$N:$N),"")</f>
        <v/>
      </c>
      <c r="H193" s="3">
        <f>IFERROR(XLOOKUP(A193,'Intake Responses'!$A:$A,'Intake Responses'!$O:$O),"")</f>
        <v/>
      </c>
      <c r="I193" s="3">
        <f>IFERROR(SWITCH(F193,"Multiple times per day",60,"Daily",20,"Weekly",4,"Monthly",1,"Quarterly",0.33,"Ad hoc",0.5,"Unknown",0),0)</f>
        <v/>
      </c>
      <c r="J193" s="3">
        <f>IFERROR((G193*H193*I193)/60,0)</f>
        <v/>
      </c>
      <c r="K193" s="3">
        <f>IFERROR(J193*12,0)</f>
        <v/>
      </c>
      <c r="L193" s="3">
        <f>IFERROR(XLOOKUP(A193,'Intake Responses'!$A:$A,'Intake Responses'!$T:$T),"")</f>
        <v/>
      </c>
      <c r="M193" s="3">
        <f>IFERROR(XLOOKUP(A193,'Intake Responses'!$A:$A,'Intake Responses'!$U:$U),"")</f>
        <v/>
      </c>
      <c r="N193" s="3">
        <f>IFERROR(XLOOKUP(A193,'Intake Responses'!$A:$A,'Intake Responses'!$V:$V),"")</f>
        <v/>
      </c>
      <c r="O193" s="3">
        <f>IFERROR(XLOOKUP(A193,'Intake Responses'!$A:$A,'Intake Responses'!$W:$W),"")</f>
        <v/>
      </c>
      <c r="P193" s="3">
        <f>IFERROR(XLOOKUP(A193,'Intake Responses'!$A:$A,'Intake Responses'!$X:$X),"")</f>
        <v/>
      </c>
      <c r="Q193" s="3">
        <f>IFERROR(XLOOKUP(A193,'Intake Responses'!$A:$A,'Intake Responses'!$AF:$AF),"")</f>
        <v/>
      </c>
      <c r="R193" s="3">
        <f>IFERROR(XLOOKUP(A193,'Intake Responses'!$A:$A,'Intake Responses'!$S:$S),"")</f>
        <v/>
      </c>
      <c r="S193" s="3" t="n"/>
      <c r="T193" s="3" t="n"/>
      <c r="U193" s="3" t="n"/>
      <c r="V193" s="3">
        <f>IFERROR(MIN(5,ROUND(((M193+O193)/2)+(IF(J193&gt;=20,2,IF(J193&gt;=10,1.5,IF(J193&gt;=5,1,IF(J193&gt;=1,0.5,0))))),1)),0)</f>
        <v/>
      </c>
      <c r="W193" s="3">
        <f>IFERROR(SWITCH(F193,"Multiple times per day",5,"Daily",4,"Weekly",3,"Monthly",2,"Quarterly",1,"Ad hoc",1,"Unknown",0),0)</f>
        <v/>
      </c>
      <c r="X193" s="3">
        <f>IFERROR(ROUND(AVERAGE(L193,N193),1),0)</f>
        <v/>
      </c>
      <c r="Y193" s="3">
        <f>IFERROR(SWITCH(U193,"High",3,"Medium",2,"Low",0,"Unknown",1,1)+IF(Q193="Yes",2,IF(Q193="Unsure",1,0)),0)</f>
        <v/>
      </c>
      <c r="Z193" s="3">
        <f>IFERROR(ROUND((V193*2)+(W193*1)+(X193*2)+(IF(T193="Easy",2,IF(T193="Medium",1,IF(T193="Hard",-1,0))))-(Y193*2),1),0)</f>
        <v/>
      </c>
      <c r="AA193" s="3">
        <f>IFERROR(IF(S193="Not a fit","Not a Fit",IF(Y193&gt;=5,"High Risk / Needs Review",IF(AND(Z193&gt;=18,T193="Easy"),"Quick Win",IF(AND(Z193&gt;=18,T193&lt;&gt;"Easy"),"Strategic Project",IF(Z193&gt;=10,"Discovery Needed","Process Issue"))))),"")</f>
        <v/>
      </c>
      <c r="AB193" s="3">
        <f>IFERROR(SWITCH(AA193,"Quick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3" s="3" t="n"/>
      <c r="AD193" s="3" t="n"/>
      <c r="AE193" s="3" t="n"/>
    </row>
    <row r="194" ht="25" customHeight="1">
      <c r="A194" s="2" t="n"/>
      <c r="B194" s="2">
        <f>IFERROR(XLOOKUP(A194,'Intake Responses'!$A:$A,'Intake Responses'!$E:$E),"")</f>
        <v/>
      </c>
      <c r="C194" s="2">
        <f>IFERROR(XLOOKUP(A194,'Intake Responses'!$A:$A,'Intake Responses'!$D:$D),"")</f>
        <v/>
      </c>
      <c r="D194" s="2">
        <f>IFERROR(XLOOKUP(A194,'Intake Responses'!$A:$A,'Intake Responses'!$F:$F),"")</f>
        <v/>
      </c>
      <c r="E194" s="2" t="n"/>
      <c r="F194" s="2">
        <f>IFERROR(XLOOKUP(A194,'Intake Responses'!$A:$A,'Intake Responses'!$M:$M),"")</f>
        <v/>
      </c>
      <c r="G194" s="2">
        <f>IFERROR(XLOOKUP(A194,'Intake Responses'!$A:$A,'Intake Responses'!$N:$N),"")</f>
        <v/>
      </c>
      <c r="H194" s="2">
        <f>IFERROR(XLOOKUP(A194,'Intake Responses'!$A:$A,'Intake Responses'!$O:$O),"")</f>
        <v/>
      </c>
      <c r="I194" s="2">
        <f>IFERROR(SWITCH(F194,"Multiple times per day",60,"Daily",20,"Weekly",4,"Monthly",1,"Quarterly",0.33,"Ad hoc",0.5,"Unknown",0),0)</f>
        <v/>
      </c>
      <c r="J194" s="2">
        <f>IFERROR((G194*H194*I194)/60,0)</f>
        <v/>
      </c>
      <c r="K194" s="2">
        <f>IFERROR(J194*12,0)</f>
        <v/>
      </c>
      <c r="L194" s="2">
        <f>IFERROR(XLOOKUP(A194,'Intake Responses'!$A:$A,'Intake Responses'!$T:$T),"")</f>
        <v/>
      </c>
      <c r="M194" s="2">
        <f>IFERROR(XLOOKUP(A194,'Intake Responses'!$A:$A,'Intake Responses'!$U:$U),"")</f>
        <v/>
      </c>
      <c r="N194" s="2">
        <f>IFERROR(XLOOKUP(A194,'Intake Responses'!$A:$A,'Intake Responses'!$V:$V),"")</f>
        <v/>
      </c>
      <c r="O194" s="2">
        <f>IFERROR(XLOOKUP(A194,'Intake Responses'!$A:$A,'Intake Responses'!$W:$W),"")</f>
        <v/>
      </c>
      <c r="P194" s="2">
        <f>IFERROR(XLOOKUP(A194,'Intake Responses'!$A:$A,'Intake Responses'!$X:$X),"")</f>
        <v/>
      </c>
      <c r="Q194" s="2">
        <f>IFERROR(XLOOKUP(A194,'Intake Responses'!$A:$A,'Intake Responses'!$AF:$AF),"")</f>
        <v/>
      </c>
      <c r="R194" s="2">
        <f>IFERROR(XLOOKUP(A194,'Intake Responses'!$A:$A,'Intake Responses'!$S:$S),"")</f>
        <v/>
      </c>
      <c r="S194" s="2" t="n"/>
      <c r="T194" s="2" t="n"/>
      <c r="U194" s="2" t="n"/>
      <c r="V194" s="2">
        <f>IFERROR(MIN(5,ROUND(((M194+O194)/2)+(IF(J194&gt;=20,2,IF(J194&gt;=10,1.5,IF(J194&gt;=5,1,IF(J194&gt;=1,0.5,0))))),1)),0)</f>
        <v/>
      </c>
      <c r="W194" s="2">
        <f>IFERROR(SWITCH(F194,"Multiple times per day",5,"Daily",4,"Weekly",3,"Monthly",2,"Quarterly",1,"Ad hoc",1,"Unknown",0),0)</f>
        <v/>
      </c>
      <c r="X194" s="2">
        <f>IFERROR(ROUND(AVERAGE(L194,N194),1),0)</f>
        <v/>
      </c>
      <c r="Y194" s="2">
        <f>IFERROR(SWITCH(U194,"High",3,"Medium",2,"Low",0,"Unknown",1,1)+IF(Q194="Yes",2,IF(Q194="Unsure",1,0)),0)</f>
        <v/>
      </c>
      <c r="Z194" s="2">
        <f>IFERROR(ROUND((V194*2)+(W194*1)+(X194*2)+(IF(T194="Easy",2,IF(T194="Medium",1,IF(T194="Hard",-1,0))))-(Y194*2),1),0)</f>
        <v/>
      </c>
      <c r="AA194" s="2">
        <f>IFERROR(IF(S194="Not a fit","Not a Fit",IF(Y194&gt;=5,"High Risk / Needs Review",IF(AND(Z194&gt;=18,T194="Easy"),"Quick Win",IF(AND(Z194&gt;=18,T194&lt;&gt;"Easy"),"Strategic Project",IF(Z194&gt;=10,"Discovery Needed","Process Issue"))))),"")</f>
        <v/>
      </c>
      <c r="AB194" s="2">
        <f>IFERROR(SWITCH(AA194,"Quick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4" s="2" t="n"/>
      <c r="AD194" s="2" t="n"/>
      <c r="AE194" s="2" t="n"/>
    </row>
    <row r="195" ht="25" customHeight="1">
      <c r="A195" s="3" t="n"/>
      <c r="B195" s="3">
        <f>IFERROR(XLOOKUP(A195,'Intake Responses'!$A:$A,'Intake Responses'!$E:$E),"")</f>
        <v/>
      </c>
      <c r="C195" s="3">
        <f>IFERROR(XLOOKUP(A195,'Intake Responses'!$A:$A,'Intake Responses'!$D:$D),"")</f>
        <v/>
      </c>
      <c r="D195" s="3">
        <f>IFERROR(XLOOKUP(A195,'Intake Responses'!$A:$A,'Intake Responses'!$F:$F),"")</f>
        <v/>
      </c>
      <c r="E195" s="3" t="n"/>
      <c r="F195" s="3">
        <f>IFERROR(XLOOKUP(A195,'Intake Responses'!$A:$A,'Intake Responses'!$M:$M),"")</f>
        <v/>
      </c>
      <c r="G195" s="3">
        <f>IFERROR(XLOOKUP(A195,'Intake Responses'!$A:$A,'Intake Responses'!$N:$N),"")</f>
        <v/>
      </c>
      <c r="H195" s="3">
        <f>IFERROR(XLOOKUP(A195,'Intake Responses'!$A:$A,'Intake Responses'!$O:$O),"")</f>
        <v/>
      </c>
      <c r="I195" s="3">
        <f>IFERROR(SWITCH(F195,"Multiple times per day",60,"Daily",20,"Weekly",4,"Monthly",1,"Quarterly",0.33,"Ad hoc",0.5,"Unknown",0),0)</f>
        <v/>
      </c>
      <c r="J195" s="3">
        <f>IFERROR((G195*H195*I195)/60,0)</f>
        <v/>
      </c>
      <c r="K195" s="3">
        <f>IFERROR(J195*12,0)</f>
        <v/>
      </c>
      <c r="L195" s="3">
        <f>IFERROR(XLOOKUP(A195,'Intake Responses'!$A:$A,'Intake Responses'!$T:$T),"")</f>
        <v/>
      </c>
      <c r="M195" s="3">
        <f>IFERROR(XLOOKUP(A195,'Intake Responses'!$A:$A,'Intake Responses'!$U:$U),"")</f>
        <v/>
      </c>
      <c r="N195" s="3">
        <f>IFERROR(XLOOKUP(A195,'Intake Responses'!$A:$A,'Intake Responses'!$V:$V),"")</f>
        <v/>
      </c>
      <c r="O195" s="3">
        <f>IFERROR(XLOOKUP(A195,'Intake Responses'!$A:$A,'Intake Responses'!$W:$W),"")</f>
        <v/>
      </c>
      <c r="P195" s="3">
        <f>IFERROR(XLOOKUP(A195,'Intake Responses'!$A:$A,'Intake Responses'!$X:$X),"")</f>
        <v/>
      </c>
      <c r="Q195" s="3">
        <f>IFERROR(XLOOKUP(A195,'Intake Responses'!$A:$A,'Intake Responses'!$AF:$AF),"")</f>
        <v/>
      </c>
      <c r="R195" s="3">
        <f>IFERROR(XLOOKUP(A195,'Intake Responses'!$A:$A,'Intake Responses'!$S:$S),"")</f>
        <v/>
      </c>
      <c r="S195" s="3" t="n"/>
      <c r="T195" s="3" t="n"/>
      <c r="U195" s="3" t="n"/>
      <c r="V195" s="3">
        <f>IFERROR(MIN(5,ROUND(((M195+O195)/2)+(IF(J195&gt;=20,2,IF(J195&gt;=10,1.5,IF(J195&gt;=5,1,IF(J195&gt;=1,0.5,0))))),1)),0)</f>
        <v/>
      </c>
      <c r="W195" s="3">
        <f>IFERROR(SWITCH(F195,"Multiple times per day",5,"Daily",4,"Weekly",3,"Monthly",2,"Quarterly",1,"Ad hoc",1,"Unknown",0),0)</f>
        <v/>
      </c>
      <c r="X195" s="3">
        <f>IFERROR(ROUND(AVERAGE(L195,N195),1),0)</f>
        <v/>
      </c>
      <c r="Y195" s="3">
        <f>IFERROR(SWITCH(U195,"High",3,"Medium",2,"Low",0,"Unknown",1,1)+IF(Q195="Yes",2,IF(Q195="Unsure",1,0)),0)</f>
        <v/>
      </c>
      <c r="Z195" s="3">
        <f>IFERROR(ROUND((V195*2)+(W195*1)+(X195*2)+(IF(T195="Easy",2,IF(T195="Medium",1,IF(T195="Hard",-1,0))))-(Y195*2),1),0)</f>
        <v/>
      </c>
      <c r="AA195" s="3">
        <f>IFERROR(IF(S195="Not a fit","Not a Fit",IF(Y195&gt;=5,"High Risk / Needs Review",IF(AND(Z195&gt;=18,T195="Easy"),"Quick Win",IF(AND(Z195&gt;=18,T195&lt;&gt;"Easy"),"Strategic Project",IF(Z195&gt;=10,"Discovery Needed","Process Issue"))))),"")</f>
        <v/>
      </c>
      <c r="AB195" s="3">
        <f>IFERROR(SWITCH(AA195,"Quick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5" s="3" t="n"/>
      <c r="AD195" s="3" t="n"/>
      <c r="AE195" s="3" t="n"/>
    </row>
    <row r="196" ht="25" customHeight="1">
      <c r="A196" s="2" t="n"/>
      <c r="B196" s="2">
        <f>IFERROR(XLOOKUP(A196,'Intake Responses'!$A:$A,'Intake Responses'!$E:$E),"")</f>
        <v/>
      </c>
      <c r="C196" s="2">
        <f>IFERROR(XLOOKUP(A196,'Intake Responses'!$A:$A,'Intake Responses'!$D:$D),"")</f>
        <v/>
      </c>
      <c r="D196" s="2">
        <f>IFERROR(XLOOKUP(A196,'Intake Responses'!$A:$A,'Intake Responses'!$F:$F),"")</f>
        <v/>
      </c>
      <c r="E196" s="2" t="n"/>
      <c r="F196" s="2">
        <f>IFERROR(XLOOKUP(A196,'Intake Responses'!$A:$A,'Intake Responses'!$M:$M),"")</f>
        <v/>
      </c>
      <c r="G196" s="2">
        <f>IFERROR(XLOOKUP(A196,'Intake Responses'!$A:$A,'Intake Responses'!$N:$N),"")</f>
        <v/>
      </c>
      <c r="H196" s="2">
        <f>IFERROR(XLOOKUP(A196,'Intake Responses'!$A:$A,'Intake Responses'!$O:$O),"")</f>
        <v/>
      </c>
      <c r="I196" s="2">
        <f>IFERROR(SWITCH(F196,"Multiple times per day",60,"Daily",20,"Weekly",4,"Monthly",1,"Quarterly",0.33,"Ad hoc",0.5,"Unknown",0),0)</f>
        <v/>
      </c>
      <c r="J196" s="2">
        <f>IFERROR((G196*H196*I196)/60,0)</f>
        <v/>
      </c>
      <c r="K196" s="2">
        <f>IFERROR(J196*12,0)</f>
        <v/>
      </c>
      <c r="L196" s="2">
        <f>IFERROR(XLOOKUP(A196,'Intake Responses'!$A:$A,'Intake Responses'!$T:$T),"")</f>
        <v/>
      </c>
      <c r="M196" s="2">
        <f>IFERROR(XLOOKUP(A196,'Intake Responses'!$A:$A,'Intake Responses'!$U:$U),"")</f>
        <v/>
      </c>
      <c r="N196" s="2">
        <f>IFERROR(XLOOKUP(A196,'Intake Responses'!$A:$A,'Intake Responses'!$V:$V),"")</f>
        <v/>
      </c>
      <c r="O196" s="2">
        <f>IFERROR(XLOOKUP(A196,'Intake Responses'!$A:$A,'Intake Responses'!$W:$W),"")</f>
        <v/>
      </c>
      <c r="P196" s="2">
        <f>IFERROR(XLOOKUP(A196,'Intake Responses'!$A:$A,'Intake Responses'!$X:$X),"")</f>
        <v/>
      </c>
      <c r="Q196" s="2">
        <f>IFERROR(XLOOKUP(A196,'Intake Responses'!$A:$A,'Intake Responses'!$AF:$AF),"")</f>
        <v/>
      </c>
      <c r="R196" s="2">
        <f>IFERROR(XLOOKUP(A196,'Intake Responses'!$A:$A,'Intake Responses'!$S:$S),"")</f>
        <v/>
      </c>
      <c r="S196" s="2" t="n"/>
      <c r="T196" s="2" t="n"/>
      <c r="U196" s="2" t="n"/>
      <c r="V196" s="2">
        <f>IFERROR(MIN(5,ROUND(((M196+O196)/2)+(IF(J196&gt;=20,2,IF(J196&gt;=10,1.5,IF(J196&gt;=5,1,IF(J196&gt;=1,0.5,0))))),1)),0)</f>
        <v/>
      </c>
      <c r="W196" s="2">
        <f>IFERROR(SWITCH(F196,"Multiple times per day",5,"Daily",4,"Weekly",3,"Monthly",2,"Quarterly",1,"Ad hoc",1,"Unknown",0),0)</f>
        <v/>
      </c>
      <c r="X196" s="2">
        <f>IFERROR(ROUND(AVERAGE(L196,N196),1),0)</f>
        <v/>
      </c>
      <c r="Y196" s="2">
        <f>IFERROR(SWITCH(U196,"High",3,"Medium",2,"Low",0,"Unknown",1,1)+IF(Q196="Yes",2,IF(Q196="Unsure",1,0)),0)</f>
        <v/>
      </c>
      <c r="Z196" s="2">
        <f>IFERROR(ROUND((V196*2)+(W196*1)+(X196*2)+(IF(T196="Easy",2,IF(T196="Medium",1,IF(T196="Hard",-1,0))))-(Y196*2),1),0)</f>
        <v/>
      </c>
      <c r="AA196" s="2">
        <f>IFERROR(IF(S196="Not a fit","Not a Fit",IF(Y196&gt;=5,"High Risk / Needs Review",IF(AND(Z196&gt;=18,T196="Easy"),"Quick Win",IF(AND(Z196&gt;=18,T196&lt;&gt;"Easy"),"Strategic Project",IF(Z196&gt;=10,"Discovery Needed","Process Issue"))))),"")</f>
        <v/>
      </c>
      <c r="AB196" s="2">
        <f>IFERROR(SWITCH(AA196,"Quick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6" s="2" t="n"/>
      <c r="AD196" s="2" t="n"/>
      <c r="AE196" s="2" t="n"/>
    </row>
    <row r="197" ht="25" customHeight="1">
      <c r="A197" s="3" t="n"/>
      <c r="B197" s="3">
        <f>IFERROR(XLOOKUP(A197,'Intake Responses'!$A:$A,'Intake Responses'!$E:$E),"")</f>
        <v/>
      </c>
      <c r="C197" s="3">
        <f>IFERROR(XLOOKUP(A197,'Intake Responses'!$A:$A,'Intake Responses'!$D:$D),"")</f>
        <v/>
      </c>
      <c r="D197" s="3">
        <f>IFERROR(XLOOKUP(A197,'Intake Responses'!$A:$A,'Intake Responses'!$F:$F),"")</f>
        <v/>
      </c>
      <c r="E197" s="3" t="n"/>
      <c r="F197" s="3">
        <f>IFERROR(XLOOKUP(A197,'Intake Responses'!$A:$A,'Intake Responses'!$M:$M),"")</f>
        <v/>
      </c>
      <c r="G197" s="3">
        <f>IFERROR(XLOOKUP(A197,'Intake Responses'!$A:$A,'Intake Responses'!$N:$N),"")</f>
        <v/>
      </c>
      <c r="H197" s="3">
        <f>IFERROR(XLOOKUP(A197,'Intake Responses'!$A:$A,'Intake Responses'!$O:$O),"")</f>
        <v/>
      </c>
      <c r="I197" s="3">
        <f>IFERROR(SWITCH(F197,"Multiple times per day",60,"Daily",20,"Weekly",4,"Monthly",1,"Quarterly",0.33,"Ad hoc",0.5,"Unknown",0),0)</f>
        <v/>
      </c>
      <c r="J197" s="3">
        <f>IFERROR((G197*H197*I197)/60,0)</f>
        <v/>
      </c>
      <c r="K197" s="3">
        <f>IFERROR(J197*12,0)</f>
        <v/>
      </c>
      <c r="L197" s="3">
        <f>IFERROR(XLOOKUP(A197,'Intake Responses'!$A:$A,'Intake Responses'!$T:$T),"")</f>
        <v/>
      </c>
      <c r="M197" s="3">
        <f>IFERROR(XLOOKUP(A197,'Intake Responses'!$A:$A,'Intake Responses'!$U:$U),"")</f>
        <v/>
      </c>
      <c r="N197" s="3">
        <f>IFERROR(XLOOKUP(A197,'Intake Responses'!$A:$A,'Intake Responses'!$V:$V),"")</f>
        <v/>
      </c>
      <c r="O197" s="3">
        <f>IFERROR(XLOOKUP(A197,'Intake Responses'!$A:$A,'Intake Responses'!$W:$W),"")</f>
        <v/>
      </c>
      <c r="P197" s="3">
        <f>IFERROR(XLOOKUP(A197,'Intake Responses'!$A:$A,'Intake Responses'!$X:$X),"")</f>
        <v/>
      </c>
      <c r="Q197" s="3">
        <f>IFERROR(XLOOKUP(A197,'Intake Responses'!$A:$A,'Intake Responses'!$AF:$AF),"")</f>
        <v/>
      </c>
      <c r="R197" s="3">
        <f>IFERROR(XLOOKUP(A197,'Intake Responses'!$A:$A,'Intake Responses'!$S:$S),"")</f>
        <v/>
      </c>
      <c r="S197" s="3" t="n"/>
      <c r="T197" s="3" t="n"/>
      <c r="U197" s="3" t="n"/>
      <c r="V197" s="3">
        <f>IFERROR(MIN(5,ROUND(((M197+O197)/2)+(IF(J197&gt;=20,2,IF(J197&gt;=10,1.5,IF(J197&gt;=5,1,IF(J197&gt;=1,0.5,0))))),1)),0)</f>
        <v/>
      </c>
      <c r="W197" s="3">
        <f>IFERROR(SWITCH(F197,"Multiple times per day",5,"Daily",4,"Weekly",3,"Monthly",2,"Quarterly",1,"Ad hoc",1,"Unknown",0),0)</f>
        <v/>
      </c>
      <c r="X197" s="3">
        <f>IFERROR(ROUND(AVERAGE(L197,N197),1),0)</f>
        <v/>
      </c>
      <c r="Y197" s="3">
        <f>IFERROR(SWITCH(U197,"High",3,"Medium",2,"Low",0,"Unknown",1,1)+IF(Q197="Yes",2,IF(Q197="Unsure",1,0)),0)</f>
        <v/>
      </c>
      <c r="Z197" s="3">
        <f>IFERROR(ROUND((V197*2)+(W197*1)+(X197*2)+(IF(T197="Easy",2,IF(T197="Medium",1,IF(T197="Hard",-1,0))))-(Y197*2),1),0)</f>
        <v/>
      </c>
      <c r="AA197" s="3">
        <f>IFERROR(IF(S197="Not a fit","Not a Fit",IF(Y197&gt;=5,"High Risk / Needs Review",IF(AND(Z197&gt;=18,T197="Easy"),"Quick Win",IF(AND(Z197&gt;=18,T197&lt;&gt;"Easy"),"Strategic Project",IF(Z197&gt;=10,"Discovery Needed","Process Issue"))))),"")</f>
        <v/>
      </c>
      <c r="AB197" s="3">
        <f>IFERROR(SWITCH(AA197,"Quick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7" s="3" t="n"/>
      <c r="AD197" s="3" t="n"/>
      <c r="AE197" s="3" t="n"/>
    </row>
    <row r="198" ht="25" customHeight="1">
      <c r="A198" s="2" t="n"/>
      <c r="B198" s="2">
        <f>IFERROR(XLOOKUP(A198,'Intake Responses'!$A:$A,'Intake Responses'!$E:$E),"")</f>
        <v/>
      </c>
      <c r="C198" s="2">
        <f>IFERROR(XLOOKUP(A198,'Intake Responses'!$A:$A,'Intake Responses'!$D:$D),"")</f>
        <v/>
      </c>
      <c r="D198" s="2">
        <f>IFERROR(XLOOKUP(A198,'Intake Responses'!$A:$A,'Intake Responses'!$F:$F),"")</f>
        <v/>
      </c>
      <c r="E198" s="2" t="n"/>
      <c r="F198" s="2">
        <f>IFERROR(XLOOKUP(A198,'Intake Responses'!$A:$A,'Intake Responses'!$M:$M),"")</f>
        <v/>
      </c>
      <c r="G198" s="2">
        <f>IFERROR(XLOOKUP(A198,'Intake Responses'!$A:$A,'Intake Responses'!$N:$N),"")</f>
        <v/>
      </c>
      <c r="H198" s="2">
        <f>IFERROR(XLOOKUP(A198,'Intake Responses'!$A:$A,'Intake Responses'!$O:$O),"")</f>
        <v/>
      </c>
      <c r="I198" s="2">
        <f>IFERROR(SWITCH(F198,"Multiple times per day",60,"Daily",20,"Weekly",4,"Monthly",1,"Quarterly",0.33,"Ad hoc",0.5,"Unknown",0),0)</f>
        <v/>
      </c>
      <c r="J198" s="2">
        <f>IFERROR((G198*H198*I198)/60,0)</f>
        <v/>
      </c>
      <c r="K198" s="2">
        <f>IFERROR(J198*12,0)</f>
        <v/>
      </c>
      <c r="L198" s="2">
        <f>IFERROR(XLOOKUP(A198,'Intake Responses'!$A:$A,'Intake Responses'!$T:$T),"")</f>
        <v/>
      </c>
      <c r="M198" s="2">
        <f>IFERROR(XLOOKUP(A198,'Intake Responses'!$A:$A,'Intake Responses'!$U:$U),"")</f>
        <v/>
      </c>
      <c r="N198" s="2">
        <f>IFERROR(XLOOKUP(A198,'Intake Responses'!$A:$A,'Intake Responses'!$V:$V),"")</f>
        <v/>
      </c>
      <c r="O198" s="2">
        <f>IFERROR(XLOOKUP(A198,'Intake Responses'!$A:$A,'Intake Responses'!$W:$W),"")</f>
        <v/>
      </c>
      <c r="P198" s="2">
        <f>IFERROR(XLOOKUP(A198,'Intake Responses'!$A:$A,'Intake Responses'!$X:$X),"")</f>
        <v/>
      </c>
      <c r="Q198" s="2">
        <f>IFERROR(XLOOKUP(A198,'Intake Responses'!$A:$A,'Intake Responses'!$AF:$AF),"")</f>
        <v/>
      </c>
      <c r="R198" s="2">
        <f>IFERROR(XLOOKUP(A198,'Intake Responses'!$A:$A,'Intake Responses'!$S:$S),"")</f>
        <v/>
      </c>
      <c r="S198" s="2" t="n"/>
      <c r="T198" s="2" t="n"/>
      <c r="U198" s="2" t="n"/>
      <c r="V198" s="2">
        <f>IFERROR(MIN(5,ROUND(((M198+O198)/2)+(IF(J198&gt;=20,2,IF(J198&gt;=10,1.5,IF(J198&gt;=5,1,IF(J198&gt;=1,0.5,0))))),1)),0)</f>
        <v/>
      </c>
      <c r="W198" s="2">
        <f>IFERROR(SWITCH(F198,"Multiple times per day",5,"Daily",4,"Weekly",3,"Monthly",2,"Quarterly",1,"Ad hoc",1,"Unknown",0),0)</f>
        <v/>
      </c>
      <c r="X198" s="2">
        <f>IFERROR(ROUND(AVERAGE(L198,N198),1),0)</f>
        <v/>
      </c>
      <c r="Y198" s="2">
        <f>IFERROR(SWITCH(U198,"High",3,"Medium",2,"Low",0,"Unknown",1,1)+IF(Q198="Yes",2,IF(Q198="Unsure",1,0)),0)</f>
        <v/>
      </c>
      <c r="Z198" s="2">
        <f>IFERROR(ROUND((V198*2)+(W198*1)+(X198*2)+(IF(T198="Easy",2,IF(T198="Medium",1,IF(T198="Hard",-1,0))))-(Y198*2),1),0)</f>
        <v/>
      </c>
      <c r="AA198" s="2">
        <f>IFERROR(IF(S198="Not a fit","Not a Fit",IF(Y198&gt;=5,"High Risk / Needs Review",IF(AND(Z198&gt;=18,T198="Easy"),"Quick Win",IF(AND(Z198&gt;=18,T198&lt;&gt;"Easy"),"Strategic Project",IF(Z198&gt;=10,"Discovery Needed","Process Issue"))))),"")</f>
        <v/>
      </c>
      <c r="AB198" s="2">
        <f>IFERROR(SWITCH(AA198,"Quick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8" s="2" t="n"/>
      <c r="AD198" s="2" t="n"/>
      <c r="AE198" s="2" t="n"/>
    </row>
    <row r="199" ht="25" customHeight="1">
      <c r="A199" s="3" t="n"/>
      <c r="B199" s="3">
        <f>IFERROR(XLOOKUP(A199,'Intake Responses'!$A:$A,'Intake Responses'!$E:$E),"")</f>
        <v/>
      </c>
      <c r="C199" s="3">
        <f>IFERROR(XLOOKUP(A199,'Intake Responses'!$A:$A,'Intake Responses'!$D:$D),"")</f>
        <v/>
      </c>
      <c r="D199" s="3">
        <f>IFERROR(XLOOKUP(A199,'Intake Responses'!$A:$A,'Intake Responses'!$F:$F),"")</f>
        <v/>
      </c>
      <c r="E199" s="3" t="n"/>
      <c r="F199" s="3">
        <f>IFERROR(XLOOKUP(A199,'Intake Responses'!$A:$A,'Intake Responses'!$M:$M),"")</f>
        <v/>
      </c>
      <c r="G199" s="3">
        <f>IFERROR(XLOOKUP(A199,'Intake Responses'!$A:$A,'Intake Responses'!$N:$N),"")</f>
        <v/>
      </c>
      <c r="H199" s="3">
        <f>IFERROR(XLOOKUP(A199,'Intake Responses'!$A:$A,'Intake Responses'!$O:$O),"")</f>
        <v/>
      </c>
      <c r="I199" s="3">
        <f>IFERROR(SWITCH(F199,"Multiple times per day",60,"Daily",20,"Weekly",4,"Monthly",1,"Quarterly",0.33,"Ad hoc",0.5,"Unknown",0),0)</f>
        <v/>
      </c>
      <c r="J199" s="3">
        <f>IFERROR((G199*H199*I199)/60,0)</f>
        <v/>
      </c>
      <c r="K199" s="3">
        <f>IFERROR(J199*12,0)</f>
        <v/>
      </c>
      <c r="L199" s="3">
        <f>IFERROR(XLOOKUP(A199,'Intake Responses'!$A:$A,'Intake Responses'!$T:$T),"")</f>
        <v/>
      </c>
      <c r="M199" s="3">
        <f>IFERROR(XLOOKUP(A199,'Intake Responses'!$A:$A,'Intake Responses'!$U:$U),"")</f>
        <v/>
      </c>
      <c r="N199" s="3">
        <f>IFERROR(XLOOKUP(A199,'Intake Responses'!$A:$A,'Intake Responses'!$V:$V),"")</f>
        <v/>
      </c>
      <c r="O199" s="3">
        <f>IFERROR(XLOOKUP(A199,'Intake Responses'!$A:$A,'Intake Responses'!$W:$W),"")</f>
        <v/>
      </c>
      <c r="P199" s="3">
        <f>IFERROR(XLOOKUP(A199,'Intake Responses'!$A:$A,'Intake Responses'!$X:$X),"")</f>
        <v/>
      </c>
      <c r="Q199" s="3">
        <f>IFERROR(XLOOKUP(A199,'Intake Responses'!$A:$A,'Intake Responses'!$AF:$AF),"")</f>
        <v/>
      </c>
      <c r="R199" s="3">
        <f>IFERROR(XLOOKUP(A199,'Intake Responses'!$A:$A,'Intake Responses'!$S:$S),"")</f>
        <v/>
      </c>
      <c r="S199" s="3" t="n"/>
      <c r="T199" s="3" t="n"/>
      <c r="U199" s="3" t="n"/>
      <c r="V199" s="3">
        <f>IFERROR(MIN(5,ROUND(((M199+O199)/2)+(IF(J199&gt;=20,2,IF(J199&gt;=10,1.5,IF(J199&gt;=5,1,IF(J199&gt;=1,0.5,0))))),1)),0)</f>
        <v/>
      </c>
      <c r="W199" s="3">
        <f>IFERROR(SWITCH(F199,"Multiple times per day",5,"Daily",4,"Weekly",3,"Monthly",2,"Quarterly",1,"Ad hoc",1,"Unknown",0),0)</f>
        <v/>
      </c>
      <c r="X199" s="3">
        <f>IFERROR(ROUND(AVERAGE(L199,N199),1),0)</f>
        <v/>
      </c>
      <c r="Y199" s="3">
        <f>IFERROR(SWITCH(U199,"High",3,"Medium",2,"Low",0,"Unknown",1,1)+IF(Q199="Yes",2,IF(Q199="Unsure",1,0)),0)</f>
        <v/>
      </c>
      <c r="Z199" s="3">
        <f>IFERROR(ROUND((V199*2)+(W199*1)+(X199*2)+(IF(T199="Easy",2,IF(T199="Medium",1,IF(T199="Hard",-1,0))))-(Y199*2),1),0)</f>
        <v/>
      </c>
      <c r="AA199" s="3">
        <f>IFERROR(IF(S199="Not a fit","Not a Fit",IF(Y199&gt;=5,"High Risk / Needs Review",IF(AND(Z199&gt;=18,T199="Easy"),"Quick Win",IF(AND(Z199&gt;=18,T199&lt;&gt;"Easy"),"Strategic Project",IF(Z199&gt;=10,"Discovery Needed","Process Issue"))))),"")</f>
        <v/>
      </c>
      <c r="AB199" s="3">
        <f>IFERROR(SWITCH(AA199,"Quick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199" s="3" t="n"/>
      <c r="AD199" s="3" t="n"/>
      <c r="AE199" s="3" t="n"/>
    </row>
    <row r="200" ht="25" customHeight="1">
      <c r="A200" s="2" t="n"/>
      <c r="B200" s="2">
        <f>IFERROR(XLOOKUP(A200,'Intake Responses'!$A:$A,'Intake Responses'!$E:$E),"")</f>
        <v/>
      </c>
      <c r="C200" s="2">
        <f>IFERROR(XLOOKUP(A200,'Intake Responses'!$A:$A,'Intake Responses'!$D:$D),"")</f>
        <v/>
      </c>
      <c r="D200" s="2">
        <f>IFERROR(XLOOKUP(A200,'Intake Responses'!$A:$A,'Intake Responses'!$F:$F),"")</f>
        <v/>
      </c>
      <c r="E200" s="2" t="n"/>
      <c r="F200" s="2">
        <f>IFERROR(XLOOKUP(A200,'Intake Responses'!$A:$A,'Intake Responses'!$M:$M),"")</f>
        <v/>
      </c>
      <c r="G200" s="2">
        <f>IFERROR(XLOOKUP(A200,'Intake Responses'!$A:$A,'Intake Responses'!$N:$N),"")</f>
        <v/>
      </c>
      <c r="H200" s="2">
        <f>IFERROR(XLOOKUP(A200,'Intake Responses'!$A:$A,'Intake Responses'!$O:$O),"")</f>
        <v/>
      </c>
      <c r="I200" s="2">
        <f>IFERROR(SWITCH(F200,"Multiple times per day",60,"Daily",20,"Weekly",4,"Monthly",1,"Quarterly",0.33,"Ad hoc",0.5,"Unknown",0),0)</f>
        <v/>
      </c>
      <c r="J200" s="2">
        <f>IFERROR((G200*H200*I200)/60,0)</f>
        <v/>
      </c>
      <c r="K200" s="2">
        <f>IFERROR(J200*12,0)</f>
        <v/>
      </c>
      <c r="L200" s="2">
        <f>IFERROR(XLOOKUP(A200,'Intake Responses'!$A:$A,'Intake Responses'!$T:$T),"")</f>
        <v/>
      </c>
      <c r="M200" s="2">
        <f>IFERROR(XLOOKUP(A200,'Intake Responses'!$A:$A,'Intake Responses'!$U:$U),"")</f>
        <v/>
      </c>
      <c r="N200" s="2">
        <f>IFERROR(XLOOKUP(A200,'Intake Responses'!$A:$A,'Intake Responses'!$V:$V),"")</f>
        <v/>
      </c>
      <c r="O200" s="2">
        <f>IFERROR(XLOOKUP(A200,'Intake Responses'!$A:$A,'Intake Responses'!$W:$W),"")</f>
        <v/>
      </c>
      <c r="P200" s="2">
        <f>IFERROR(XLOOKUP(A200,'Intake Responses'!$A:$A,'Intake Responses'!$X:$X),"")</f>
        <v/>
      </c>
      <c r="Q200" s="2">
        <f>IFERROR(XLOOKUP(A200,'Intake Responses'!$A:$A,'Intake Responses'!$AF:$AF),"")</f>
        <v/>
      </c>
      <c r="R200" s="2">
        <f>IFERROR(XLOOKUP(A200,'Intake Responses'!$A:$A,'Intake Responses'!$S:$S),"")</f>
        <v/>
      </c>
      <c r="S200" s="2" t="n"/>
      <c r="T200" s="2" t="n"/>
      <c r="U200" s="2" t="n"/>
      <c r="V200" s="2">
        <f>IFERROR(MIN(5,ROUND(((M200+O200)/2)+(IF(J200&gt;=20,2,IF(J200&gt;=10,1.5,IF(J200&gt;=5,1,IF(J200&gt;=1,0.5,0))))),1)),0)</f>
        <v/>
      </c>
      <c r="W200" s="2">
        <f>IFERROR(SWITCH(F200,"Multiple times per day",5,"Daily",4,"Weekly",3,"Monthly",2,"Quarterly",1,"Ad hoc",1,"Unknown",0),0)</f>
        <v/>
      </c>
      <c r="X200" s="2">
        <f>IFERROR(ROUND(AVERAGE(L200,N200),1),0)</f>
        <v/>
      </c>
      <c r="Y200" s="2">
        <f>IFERROR(SWITCH(U200,"High",3,"Medium",2,"Low",0,"Unknown",1,1)+IF(Q200="Yes",2,IF(Q200="Unsure",1,0)),0)</f>
        <v/>
      </c>
      <c r="Z200" s="2">
        <f>IFERROR(ROUND((V200*2)+(W200*1)+(X200*2)+(IF(T200="Easy",2,IF(T200="Medium",1,IF(T200="Hard",-1,0))))-(Y200*2),1),0)</f>
        <v/>
      </c>
      <c r="AA200" s="2">
        <f>IFERROR(IF(S200="Not a fit","Not a Fit",IF(Y200&gt;=5,"High Risk / Needs Review",IF(AND(Z200&gt;=18,T200="Easy"),"Quick Win",IF(AND(Z200&gt;=18,T200&lt;&gt;"Easy"),"Strategic Project",IF(Z200&gt;=10,"Discovery Needed","Process Issue"))))),"")</f>
        <v/>
      </c>
      <c r="AB200" s="2">
        <f>IFERROR(SWITCH(AA200,"Quick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0" s="2" t="n"/>
      <c r="AD200" s="2" t="n"/>
      <c r="AE200" s="2" t="n"/>
    </row>
    <row r="201" ht="25" customHeight="1">
      <c r="A201" s="3" t="n"/>
      <c r="B201" s="3">
        <f>IFERROR(XLOOKUP(A201,'Intake Responses'!$A:$A,'Intake Responses'!$E:$E),"")</f>
        <v/>
      </c>
      <c r="C201" s="3">
        <f>IFERROR(XLOOKUP(A201,'Intake Responses'!$A:$A,'Intake Responses'!$D:$D),"")</f>
        <v/>
      </c>
      <c r="D201" s="3">
        <f>IFERROR(XLOOKUP(A201,'Intake Responses'!$A:$A,'Intake Responses'!$F:$F),"")</f>
        <v/>
      </c>
      <c r="E201" s="3" t="n"/>
      <c r="F201" s="3">
        <f>IFERROR(XLOOKUP(A201,'Intake Responses'!$A:$A,'Intake Responses'!$M:$M),"")</f>
        <v/>
      </c>
      <c r="G201" s="3">
        <f>IFERROR(XLOOKUP(A201,'Intake Responses'!$A:$A,'Intake Responses'!$N:$N),"")</f>
        <v/>
      </c>
      <c r="H201" s="3">
        <f>IFERROR(XLOOKUP(A201,'Intake Responses'!$A:$A,'Intake Responses'!$O:$O),"")</f>
        <v/>
      </c>
      <c r="I201" s="3">
        <f>IFERROR(SWITCH(F201,"Multiple times per day",60,"Daily",20,"Weekly",4,"Monthly",1,"Quarterly",0.33,"Ad hoc",0.5,"Unknown",0),0)</f>
        <v/>
      </c>
      <c r="J201" s="3">
        <f>IFERROR((G201*H201*I201)/60,0)</f>
        <v/>
      </c>
      <c r="K201" s="3">
        <f>IFERROR(J201*12,0)</f>
        <v/>
      </c>
      <c r="L201" s="3">
        <f>IFERROR(XLOOKUP(A201,'Intake Responses'!$A:$A,'Intake Responses'!$T:$T),"")</f>
        <v/>
      </c>
      <c r="M201" s="3">
        <f>IFERROR(XLOOKUP(A201,'Intake Responses'!$A:$A,'Intake Responses'!$U:$U),"")</f>
        <v/>
      </c>
      <c r="N201" s="3">
        <f>IFERROR(XLOOKUP(A201,'Intake Responses'!$A:$A,'Intake Responses'!$V:$V),"")</f>
        <v/>
      </c>
      <c r="O201" s="3">
        <f>IFERROR(XLOOKUP(A201,'Intake Responses'!$A:$A,'Intake Responses'!$W:$W),"")</f>
        <v/>
      </c>
      <c r="P201" s="3">
        <f>IFERROR(XLOOKUP(A201,'Intake Responses'!$A:$A,'Intake Responses'!$X:$X),"")</f>
        <v/>
      </c>
      <c r="Q201" s="3">
        <f>IFERROR(XLOOKUP(A201,'Intake Responses'!$A:$A,'Intake Responses'!$AF:$AF),"")</f>
        <v/>
      </c>
      <c r="R201" s="3">
        <f>IFERROR(XLOOKUP(A201,'Intake Responses'!$A:$A,'Intake Responses'!$S:$S),"")</f>
        <v/>
      </c>
      <c r="S201" s="3" t="n"/>
      <c r="T201" s="3" t="n"/>
      <c r="U201" s="3" t="n"/>
      <c r="V201" s="3">
        <f>IFERROR(MIN(5,ROUND(((M201+O201)/2)+(IF(J201&gt;=20,2,IF(J201&gt;=10,1.5,IF(J201&gt;=5,1,IF(J201&gt;=1,0.5,0))))),1)),0)</f>
        <v/>
      </c>
      <c r="W201" s="3">
        <f>IFERROR(SWITCH(F201,"Multiple times per day",5,"Daily",4,"Weekly",3,"Monthly",2,"Quarterly",1,"Ad hoc",1,"Unknown",0),0)</f>
        <v/>
      </c>
      <c r="X201" s="3">
        <f>IFERROR(ROUND(AVERAGE(L201,N201),1),0)</f>
        <v/>
      </c>
      <c r="Y201" s="3">
        <f>IFERROR(SWITCH(U201,"High",3,"Medium",2,"Low",0,"Unknown",1,1)+IF(Q201="Yes",2,IF(Q201="Unsure",1,0)),0)</f>
        <v/>
      </c>
      <c r="Z201" s="3">
        <f>IFERROR(ROUND((V201*2)+(W201*1)+(X201*2)+(IF(T201="Easy",2,IF(T201="Medium",1,IF(T201="Hard",-1,0))))-(Y201*2),1),0)</f>
        <v/>
      </c>
      <c r="AA201" s="3">
        <f>IFERROR(IF(S201="Not a fit","Not a Fit",IF(Y201&gt;=5,"High Risk / Needs Review",IF(AND(Z201&gt;=18,T201="Easy"),"Quick Win",IF(AND(Z201&gt;=18,T201&lt;&gt;"Easy"),"Strategic Project",IF(Z201&gt;=10,"Discovery Needed","Process Issue"))))),"")</f>
        <v/>
      </c>
      <c r="AB201" s="3">
        <f>IFERROR(SWITCH(AA201,"Quick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1" s="3" t="n"/>
      <c r="AD201" s="3" t="n"/>
      <c r="AE201" s="3" t="n"/>
    </row>
    <row r="202" ht="25" customHeight="1">
      <c r="A202" s="2" t="n"/>
      <c r="B202" s="2">
        <f>IFERROR(XLOOKUP(A202,'Intake Responses'!$A:$A,'Intake Responses'!$E:$E),"")</f>
        <v/>
      </c>
      <c r="C202" s="2">
        <f>IFERROR(XLOOKUP(A202,'Intake Responses'!$A:$A,'Intake Responses'!$D:$D),"")</f>
        <v/>
      </c>
      <c r="D202" s="2">
        <f>IFERROR(XLOOKUP(A202,'Intake Responses'!$A:$A,'Intake Responses'!$F:$F),"")</f>
        <v/>
      </c>
      <c r="E202" s="2" t="n"/>
      <c r="F202" s="2">
        <f>IFERROR(XLOOKUP(A202,'Intake Responses'!$A:$A,'Intake Responses'!$M:$M),"")</f>
        <v/>
      </c>
      <c r="G202" s="2">
        <f>IFERROR(XLOOKUP(A202,'Intake Responses'!$A:$A,'Intake Responses'!$N:$N),"")</f>
        <v/>
      </c>
      <c r="H202" s="2">
        <f>IFERROR(XLOOKUP(A202,'Intake Responses'!$A:$A,'Intake Responses'!$O:$O),"")</f>
        <v/>
      </c>
      <c r="I202" s="2">
        <f>IFERROR(SWITCH(F202,"Multiple times per day",60,"Daily",20,"Weekly",4,"Monthly",1,"Quarterly",0.33,"Ad hoc",0.5,"Unknown",0),0)</f>
        <v/>
      </c>
      <c r="J202" s="2">
        <f>IFERROR((G202*H202*I202)/60,0)</f>
        <v/>
      </c>
      <c r="K202" s="2">
        <f>IFERROR(J202*12,0)</f>
        <v/>
      </c>
      <c r="L202" s="2">
        <f>IFERROR(XLOOKUP(A202,'Intake Responses'!$A:$A,'Intake Responses'!$T:$T),"")</f>
        <v/>
      </c>
      <c r="M202" s="2">
        <f>IFERROR(XLOOKUP(A202,'Intake Responses'!$A:$A,'Intake Responses'!$U:$U),"")</f>
        <v/>
      </c>
      <c r="N202" s="2">
        <f>IFERROR(XLOOKUP(A202,'Intake Responses'!$A:$A,'Intake Responses'!$V:$V),"")</f>
        <v/>
      </c>
      <c r="O202" s="2">
        <f>IFERROR(XLOOKUP(A202,'Intake Responses'!$A:$A,'Intake Responses'!$W:$W),"")</f>
        <v/>
      </c>
      <c r="P202" s="2">
        <f>IFERROR(XLOOKUP(A202,'Intake Responses'!$A:$A,'Intake Responses'!$X:$X),"")</f>
        <v/>
      </c>
      <c r="Q202" s="2">
        <f>IFERROR(XLOOKUP(A202,'Intake Responses'!$A:$A,'Intake Responses'!$AF:$AF),"")</f>
        <v/>
      </c>
      <c r="R202" s="2">
        <f>IFERROR(XLOOKUP(A202,'Intake Responses'!$A:$A,'Intake Responses'!$S:$S),"")</f>
        <v/>
      </c>
      <c r="S202" s="2" t="n"/>
      <c r="T202" s="2" t="n"/>
      <c r="U202" s="2" t="n"/>
      <c r="V202" s="2">
        <f>IFERROR(MIN(5,ROUND(((M202+O202)/2)+(IF(J202&gt;=20,2,IF(J202&gt;=10,1.5,IF(J202&gt;=5,1,IF(J202&gt;=1,0.5,0))))),1)),0)</f>
        <v/>
      </c>
      <c r="W202" s="2">
        <f>IFERROR(SWITCH(F202,"Multiple times per day",5,"Daily",4,"Weekly",3,"Monthly",2,"Quarterly",1,"Ad hoc",1,"Unknown",0),0)</f>
        <v/>
      </c>
      <c r="X202" s="2">
        <f>IFERROR(ROUND(AVERAGE(L202,N202),1),0)</f>
        <v/>
      </c>
      <c r="Y202" s="2">
        <f>IFERROR(SWITCH(U202,"High",3,"Medium",2,"Low",0,"Unknown",1,1)+IF(Q202="Yes",2,IF(Q202="Unsure",1,0)),0)</f>
        <v/>
      </c>
      <c r="Z202" s="2">
        <f>IFERROR(ROUND((V202*2)+(W202*1)+(X202*2)+(IF(T202="Easy",2,IF(T202="Medium",1,IF(T202="Hard",-1,0))))-(Y202*2),1),0)</f>
        <v/>
      </c>
      <c r="AA202" s="2">
        <f>IFERROR(IF(S202="Not a fit","Not a Fit",IF(Y202&gt;=5,"High Risk / Needs Review",IF(AND(Z202&gt;=18,T202="Easy"),"Quick Win",IF(AND(Z202&gt;=18,T202&lt;&gt;"Easy"),"Strategic Project",IF(Z202&gt;=10,"Discovery Needed","Process Issue"))))),"")</f>
        <v/>
      </c>
      <c r="AB202" s="2">
        <f>IFERROR(SWITCH(AA202,"Quick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2" s="2" t="n"/>
      <c r="AD202" s="2" t="n"/>
      <c r="AE202" s="2" t="n"/>
    </row>
    <row r="203" ht="25" customHeight="1">
      <c r="A203" s="3" t="n"/>
      <c r="B203" s="3">
        <f>IFERROR(XLOOKUP(A203,'Intake Responses'!$A:$A,'Intake Responses'!$E:$E),"")</f>
        <v/>
      </c>
      <c r="C203" s="3">
        <f>IFERROR(XLOOKUP(A203,'Intake Responses'!$A:$A,'Intake Responses'!$D:$D),"")</f>
        <v/>
      </c>
      <c r="D203" s="3">
        <f>IFERROR(XLOOKUP(A203,'Intake Responses'!$A:$A,'Intake Responses'!$F:$F),"")</f>
        <v/>
      </c>
      <c r="E203" s="3" t="n"/>
      <c r="F203" s="3">
        <f>IFERROR(XLOOKUP(A203,'Intake Responses'!$A:$A,'Intake Responses'!$M:$M),"")</f>
        <v/>
      </c>
      <c r="G203" s="3">
        <f>IFERROR(XLOOKUP(A203,'Intake Responses'!$A:$A,'Intake Responses'!$N:$N),"")</f>
        <v/>
      </c>
      <c r="H203" s="3">
        <f>IFERROR(XLOOKUP(A203,'Intake Responses'!$A:$A,'Intake Responses'!$O:$O),"")</f>
        <v/>
      </c>
      <c r="I203" s="3">
        <f>IFERROR(SWITCH(F203,"Multiple times per day",60,"Daily",20,"Weekly",4,"Monthly",1,"Quarterly",0.33,"Ad hoc",0.5,"Unknown",0),0)</f>
        <v/>
      </c>
      <c r="J203" s="3">
        <f>IFERROR((G203*H203*I203)/60,0)</f>
        <v/>
      </c>
      <c r="K203" s="3">
        <f>IFERROR(J203*12,0)</f>
        <v/>
      </c>
      <c r="L203" s="3">
        <f>IFERROR(XLOOKUP(A203,'Intake Responses'!$A:$A,'Intake Responses'!$T:$T),"")</f>
        <v/>
      </c>
      <c r="M203" s="3">
        <f>IFERROR(XLOOKUP(A203,'Intake Responses'!$A:$A,'Intake Responses'!$U:$U),"")</f>
        <v/>
      </c>
      <c r="N203" s="3">
        <f>IFERROR(XLOOKUP(A203,'Intake Responses'!$A:$A,'Intake Responses'!$V:$V),"")</f>
        <v/>
      </c>
      <c r="O203" s="3">
        <f>IFERROR(XLOOKUP(A203,'Intake Responses'!$A:$A,'Intake Responses'!$W:$W),"")</f>
        <v/>
      </c>
      <c r="P203" s="3">
        <f>IFERROR(XLOOKUP(A203,'Intake Responses'!$A:$A,'Intake Responses'!$X:$X),"")</f>
        <v/>
      </c>
      <c r="Q203" s="3">
        <f>IFERROR(XLOOKUP(A203,'Intake Responses'!$A:$A,'Intake Responses'!$AF:$AF),"")</f>
        <v/>
      </c>
      <c r="R203" s="3">
        <f>IFERROR(XLOOKUP(A203,'Intake Responses'!$A:$A,'Intake Responses'!$S:$S),"")</f>
        <v/>
      </c>
      <c r="S203" s="3" t="n"/>
      <c r="T203" s="3" t="n"/>
      <c r="U203" s="3" t="n"/>
      <c r="V203" s="3">
        <f>IFERROR(MIN(5,ROUND(((M203+O203)/2)+(IF(J203&gt;=20,2,IF(J203&gt;=10,1.5,IF(J203&gt;=5,1,IF(J203&gt;=1,0.5,0))))),1)),0)</f>
        <v/>
      </c>
      <c r="W203" s="3">
        <f>IFERROR(SWITCH(F203,"Multiple times per day",5,"Daily",4,"Weekly",3,"Monthly",2,"Quarterly",1,"Ad hoc",1,"Unknown",0),0)</f>
        <v/>
      </c>
      <c r="X203" s="3">
        <f>IFERROR(ROUND(AVERAGE(L203,N203),1),0)</f>
        <v/>
      </c>
      <c r="Y203" s="3">
        <f>IFERROR(SWITCH(U203,"High",3,"Medium",2,"Low",0,"Unknown",1,1)+IF(Q203="Yes",2,IF(Q203="Unsure",1,0)),0)</f>
        <v/>
      </c>
      <c r="Z203" s="3">
        <f>IFERROR(ROUND((V203*2)+(W203*1)+(X203*2)+(IF(T203="Easy",2,IF(T203="Medium",1,IF(T203="Hard",-1,0))))-(Y203*2),1),0)</f>
        <v/>
      </c>
      <c r="AA203" s="3">
        <f>IFERROR(IF(S203="Not a fit","Not a Fit",IF(Y203&gt;=5,"High Risk / Needs Review",IF(AND(Z203&gt;=18,T203="Easy"),"Quick Win",IF(AND(Z203&gt;=18,T203&lt;&gt;"Easy"),"Strategic Project",IF(Z203&gt;=10,"Discovery Needed","Process Issue"))))),"")</f>
        <v/>
      </c>
      <c r="AB203" s="3">
        <f>IFERROR(SWITCH(AA203,"Quick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3" s="3" t="n"/>
      <c r="AD203" s="3" t="n"/>
      <c r="AE203" s="3" t="n"/>
    </row>
    <row r="204" ht="25" customHeight="1">
      <c r="A204" s="2" t="n"/>
      <c r="B204" s="2">
        <f>IFERROR(XLOOKUP(A204,'Intake Responses'!$A:$A,'Intake Responses'!$E:$E),"")</f>
        <v/>
      </c>
      <c r="C204" s="2">
        <f>IFERROR(XLOOKUP(A204,'Intake Responses'!$A:$A,'Intake Responses'!$D:$D),"")</f>
        <v/>
      </c>
      <c r="D204" s="2">
        <f>IFERROR(XLOOKUP(A204,'Intake Responses'!$A:$A,'Intake Responses'!$F:$F),"")</f>
        <v/>
      </c>
      <c r="E204" s="2" t="n"/>
      <c r="F204" s="2">
        <f>IFERROR(XLOOKUP(A204,'Intake Responses'!$A:$A,'Intake Responses'!$M:$M),"")</f>
        <v/>
      </c>
      <c r="G204" s="2">
        <f>IFERROR(XLOOKUP(A204,'Intake Responses'!$A:$A,'Intake Responses'!$N:$N),"")</f>
        <v/>
      </c>
      <c r="H204" s="2">
        <f>IFERROR(XLOOKUP(A204,'Intake Responses'!$A:$A,'Intake Responses'!$O:$O),"")</f>
        <v/>
      </c>
      <c r="I204" s="2">
        <f>IFERROR(SWITCH(F204,"Multiple times per day",60,"Daily",20,"Weekly",4,"Monthly",1,"Quarterly",0.33,"Ad hoc",0.5,"Unknown",0),0)</f>
        <v/>
      </c>
      <c r="J204" s="2">
        <f>IFERROR((G204*H204*I204)/60,0)</f>
        <v/>
      </c>
      <c r="K204" s="2">
        <f>IFERROR(J204*12,0)</f>
        <v/>
      </c>
      <c r="L204" s="2">
        <f>IFERROR(XLOOKUP(A204,'Intake Responses'!$A:$A,'Intake Responses'!$T:$T),"")</f>
        <v/>
      </c>
      <c r="M204" s="2">
        <f>IFERROR(XLOOKUP(A204,'Intake Responses'!$A:$A,'Intake Responses'!$U:$U),"")</f>
        <v/>
      </c>
      <c r="N204" s="2">
        <f>IFERROR(XLOOKUP(A204,'Intake Responses'!$A:$A,'Intake Responses'!$V:$V),"")</f>
        <v/>
      </c>
      <c r="O204" s="2">
        <f>IFERROR(XLOOKUP(A204,'Intake Responses'!$A:$A,'Intake Responses'!$W:$W),"")</f>
        <v/>
      </c>
      <c r="P204" s="2">
        <f>IFERROR(XLOOKUP(A204,'Intake Responses'!$A:$A,'Intake Responses'!$X:$X),"")</f>
        <v/>
      </c>
      <c r="Q204" s="2">
        <f>IFERROR(XLOOKUP(A204,'Intake Responses'!$A:$A,'Intake Responses'!$AF:$AF),"")</f>
        <v/>
      </c>
      <c r="R204" s="2">
        <f>IFERROR(XLOOKUP(A204,'Intake Responses'!$A:$A,'Intake Responses'!$S:$S),"")</f>
        <v/>
      </c>
      <c r="S204" s="2" t="n"/>
      <c r="T204" s="2" t="n"/>
      <c r="U204" s="2" t="n"/>
      <c r="V204" s="2">
        <f>IFERROR(MIN(5,ROUND(((M204+O204)/2)+(IF(J204&gt;=20,2,IF(J204&gt;=10,1.5,IF(J204&gt;=5,1,IF(J204&gt;=1,0.5,0))))),1)),0)</f>
        <v/>
      </c>
      <c r="W204" s="2">
        <f>IFERROR(SWITCH(F204,"Multiple times per day",5,"Daily",4,"Weekly",3,"Monthly",2,"Quarterly",1,"Ad hoc",1,"Unknown",0),0)</f>
        <v/>
      </c>
      <c r="X204" s="2">
        <f>IFERROR(ROUND(AVERAGE(L204,N204),1),0)</f>
        <v/>
      </c>
      <c r="Y204" s="2">
        <f>IFERROR(SWITCH(U204,"High",3,"Medium",2,"Low",0,"Unknown",1,1)+IF(Q204="Yes",2,IF(Q204="Unsure",1,0)),0)</f>
        <v/>
      </c>
      <c r="Z204" s="2">
        <f>IFERROR(ROUND((V204*2)+(W204*1)+(X204*2)+(IF(T204="Easy",2,IF(T204="Medium",1,IF(T204="Hard",-1,0))))-(Y204*2),1),0)</f>
        <v/>
      </c>
      <c r="AA204" s="2">
        <f>IFERROR(IF(S204="Not a fit","Not a Fit",IF(Y204&gt;=5,"High Risk / Needs Review",IF(AND(Z204&gt;=18,T204="Easy"),"Quick Win",IF(AND(Z204&gt;=18,T204&lt;&gt;"Easy"),"Strategic Project",IF(Z204&gt;=10,"Discovery Needed","Process Issue"))))),"")</f>
        <v/>
      </c>
      <c r="AB204" s="2">
        <f>IFERROR(SWITCH(AA204,"Quick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4" s="2" t="n"/>
      <c r="AD204" s="2" t="n"/>
      <c r="AE204" s="2" t="n"/>
    </row>
    <row r="205" ht="25" customHeight="1">
      <c r="A205" s="3" t="n"/>
      <c r="B205" s="3">
        <f>IFERROR(XLOOKUP(A205,'Intake Responses'!$A:$A,'Intake Responses'!$E:$E),"")</f>
        <v/>
      </c>
      <c r="C205" s="3">
        <f>IFERROR(XLOOKUP(A205,'Intake Responses'!$A:$A,'Intake Responses'!$D:$D),"")</f>
        <v/>
      </c>
      <c r="D205" s="3">
        <f>IFERROR(XLOOKUP(A205,'Intake Responses'!$A:$A,'Intake Responses'!$F:$F),"")</f>
        <v/>
      </c>
      <c r="E205" s="3" t="n"/>
      <c r="F205" s="3">
        <f>IFERROR(XLOOKUP(A205,'Intake Responses'!$A:$A,'Intake Responses'!$M:$M),"")</f>
        <v/>
      </c>
      <c r="G205" s="3">
        <f>IFERROR(XLOOKUP(A205,'Intake Responses'!$A:$A,'Intake Responses'!$N:$N),"")</f>
        <v/>
      </c>
      <c r="H205" s="3">
        <f>IFERROR(XLOOKUP(A205,'Intake Responses'!$A:$A,'Intake Responses'!$O:$O),"")</f>
        <v/>
      </c>
      <c r="I205" s="3">
        <f>IFERROR(SWITCH(F205,"Multiple times per day",60,"Daily",20,"Weekly",4,"Monthly",1,"Quarterly",0.33,"Ad hoc",0.5,"Unknown",0),0)</f>
        <v/>
      </c>
      <c r="J205" s="3">
        <f>IFERROR((G205*H205*I205)/60,0)</f>
        <v/>
      </c>
      <c r="K205" s="3">
        <f>IFERROR(J205*12,0)</f>
        <v/>
      </c>
      <c r="L205" s="3">
        <f>IFERROR(XLOOKUP(A205,'Intake Responses'!$A:$A,'Intake Responses'!$T:$T),"")</f>
        <v/>
      </c>
      <c r="M205" s="3">
        <f>IFERROR(XLOOKUP(A205,'Intake Responses'!$A:$A,'Intake Responses'!$U:$U),"")</f>
        <v/>
      </c>
      <c r="N205" s="3">
        <f>IFERROR(XLOOKUP(A205,'Intake Responses'!$A:$A,'Intake Responses'!$V:$V),"")</f>
        <v/>
      </c>
      <c r="O205" s="3">
        <f>IFERROR(XLOOKUP(A205,'Intake Responses'!$A:$A,'Intake Responses'!$W:$W),"")</f>
        <v/>
      </c>
      <c r="P205" s="3">
        <f>IFERROR(XLOOKUP(A205,'Intake Responses'!$A:$A,'Intake Responses'!$X:$X),"")</f>
        <v/>
      </c>
      <c r="Q205" s="3">
        <f>IFERROR(XLOOKUP(A205,'Intake Responses'!$A:$A,'Intake Responses'!$AF:$AF),"")</f>
        <v/>
      </c>
      <c r="R205" s="3">
        <f>IFERROR(XLOOKUP(A205,'Intake Responses'!$A:$A,'Intake Responses'!$S:$S),"")</f>
        <v/>
      </c>
      <c r="S205" s="3" t="n"/>
      <c r="T205" s="3" t="n"/>
      <c r="U205" s="3" t="n"/>
      <c r="V205" s="3">
        <f>IFERROR(MIN(5,ROUND(((M205+O205)/2)+(IF(J205&gt;=20,2,IF(J205&gt;=10,1.5,IF(J205&gt;=5,1,IF(J205&gt;=1,0.5,0))))),1)),0)</f>
        <v/>
      </c>
      <c r="W205" s="3">
        <f>IFERROR(SWITCH(F205,"Multiple times per day",5,"Daily",4,"Weekly",3,"Monthly",2,"Quarterly",1,"Ad hoc",1,"Unknown",0),0)</f>
        <v/>
      </c>
      <c r="X205" s="3">
        <f>IFERROR(ROUND(AVERAGE(L205,N205),1),0)</f>
        <v/>
      </c>
      <c r="Y205" s="3">
        <f>IFERROR(SWITCH(U205,"High",3,"Medium",2,"Low",0,"Unknown",1,1)+IF(Q205="Yes",2,IF(Q205="Unsure",1,0)),0)</f>
        <v/>
      </c>
      <c r="Z205" s="3">
        <f>IFERROR(ROUND((V205*2)+(W205*1)+(X205*2)+(IF(T205="Easy",2,IF(T205="Medium",1,IF(T205="Hard",-1,0))))-(Y205*2),1),0)</f>
        <v/>
      </c>
      <c r="AA205" s="3">
        <f>IFERROR(IF(S205="Not a fit","Not a Fit",IF(Y205&gt;=5,"High Risk / Needs Review",IF(AND(Z205&gt;=18,T205="Easy"),"Quick Win",IF(AND(Z205&gt;=18,T205&lt;&gt;"Easy"),"Strategic Project",IF(Z205&gt;=10,"Discovery Needed","Process Issue"))))),"")</f>
        <v/>
      </c>
      <c r="AB205" s="3">
        <f>IFERROR(SWITCH(AA205,"Quick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5" s="3" t="n"/>
      <c r="AD205" s="3" t="n"/>
      <c r="AE205" s="3" t="n"/>
    </row>
    <row r="206" ht="25" customHeight="1">
      <c r="A206" s="2" t="n"/>
      <c r="B206" s="2">
        <f>IFERROR(XLOOKUP(A206,'Intake Responses'!$A:$A,'Intake Responses'!$E:$E),"")</f>
        <v/>
      </c>
      <c r="C206" s="2">
        <f>IFERROR(XLOOKUP(A206,'Intake Responses'!$A:$A,'Intake Responses'!$D:$D),"")</f>
        <v/>
      </c>
      <c r="D206" s="2">
        <f>IFERROR(XLOOKUP(A206,'Intake Responses'!$A:$A,'Intake Responses'!$F:$F),"")</f>
        <v/>
      </c>
      <c r="E206" s="2" t="n"/>
      <c r="F206" s="2">
        <f>IFERROR(XLOOKUP(A206,'Intake Responses'!$A:$A,'Intake Responses'!$M:$M),"")</f>
        <v/>
      </c>
      <c r="G206" s="2">
        <f>IFERROR(XLOOKUP(A206,'Intake Responses'!$A:$A,'Intake Responses'!$N:$N),"")</f>
        <v/>
      </c>
      <c r="H206" s="2">
        <f>IFERROR(XLOOKUP(A206,'Intake Responses'!$A:$A,'Intake Responses'!$O:$O),"")</f>
        <v/>
      </c>
      <c r="I206" s="2">
        <f>IFERROR(SWITCH(F206,"Multiple times per day",60,"Daily",20,"Weekly",4,"Monthly",1,"Quarterly",0.33,"Ad hoc",0.5,"Unknown",0),0)</f>
        <v/>
      </c>
      <c r="J206" s="2">
        <f>IFERROR((G206*H206*I206)/60,0)</f>
        <v/>
      </c>
      <c r="K206" s="2">
        <f>IFERROR(J206*12,0)</f>
        <v/>
      </c>
      <c r="L206" s="2">
        <f>IFERROR(XLOOKUP(A206,'Intake Responses'!$A:$A,'Intake Responses'!$T:$T),"")</f>
        <v/>
      </c>
      <c r="M206" s="2">
        <f>IFERROR(XLOOKUP(A206,'Intake Responses'!$A:$A,'Intake Responses'!$U:$U),"")</f>
        <v/>
      </c>
      <c r="N206" s="2">
        <f>IFERROR(XLOOKUP(A206,'Intake Responses'!$A:$A,'Intake Responses'!$V:$V),"")</f>
        <v/>
      </c>
      <c r="O206" s="2">
        <f>IFERROR(XLOOKUP(A206,'Intake Responses'!$A:$A,'Intake Responses'!$W:$W),"")</f>
        <v/>
      </c>
      <c r="P206" s="2">
        <f>IFERROR(XLOOKUP(A206,'Intake Responses'!$A:$A,'Intake Responses'!$X:$X),"")</f>
        <v/>
      </c>
      <c r="Q206" s="2">
        <f>IFERROR(XLOOKUP(A206,'Intake Responses'!$A:$A,'Intake Responses'!$AF:$AF),"")</f>
        <v/>
      </c>
      <c r="R206" s="2">
        <f>IFERROR(XLOOKUP(A206,'Intake Responses'!$A:$A,'Intake Responses'!$S:$S),"")</f>
        <v/>
      </c>
      <c r="S206" s="2" t="n"/>
      <c r="T206" s="2" t="n"/>
      <c r="U206" s="2" t="n"/>
      <c r="V206" s="2">
        <f>IFERROR(MIN(5,ROUND(((M206+O206)/2)+(IF(J206&gt;=20,2,IF(J206&gt;=10,1.5,IF(J206&gt;=5,1,IF(J206&gt;=1,0.5,0))))),1)),0)</f>
        <v/>
      </c>
      <c r="W206" s="2">
        <f>IFERROR(SWITCH(F206,"Multiple times per day",5,"Daily",4,"Weekly",3,"Monthly",2,"Quarterly",1,"Ad hoc",1,"Unknown",0),0)</f>
        <v/>
      </c>
      <c r="X206" s="2">
        <f>IFERROR(ROUND(AVERAGE(L206,N206),1),0)</f>
        <v/>
      </c>
      <c r="Y206" s="2">
        <f>IFERROR(SWITCH(U206,"High",3,"Medium",2,"Low",0,"Unknown",1,1)+IF(Q206="Yes",2,IF(Q206="Unsure",1,0)),0)</f>
        <v/>
      </c>
      <c r="Z206" s="2">
        <f>IFERROR(ROUND((V206*2)+(W206*1)+(X206*2)+(IF(T206="Easy",2,IF(T206="Medium",1,IF(T206="Hard",-1,0))))-(Y206*2),1),0)</f>
        <v/>
      </c>
      <c r="AA206" s="2">
        <f>IFERROR(IF(S206="Not a fit","Not a Fit",IF(Y206&gt;=5,"High Risk / Needs Review",IF(AND(Z206&gt;=18,T206="Easy"),"Quick Win",IF(AND(Z206&gt;=18,T206&lt;&gt;"Easy"),"Strategic Project",IF(Z206&gt;=10,"Discovery Needed","Process Issue"))))),"")</f>
        <v/>
      </c>
      <c r="AB206" s="2">
        <f>IFERROR(SWITCH(AA206,"Quick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6" s="2" t="n"/>
      <c r="AD206" s="2" t="n"/>
      <c r="AE206" s="2" t="n"/>
    </row>
    <row r="207" ht="25" customHeight="1">
      <c r="A207" s="3" t="n"/>
      <c r="B207" s="3">
        <f>IFERROR(XLOOKUP(A207,'Intake Responses'!$A:$A,'Intake Responses'!$E:$E),"")</f>
        <v/>
      </c>
      <c r="C207" s="3">
        <f>IFERROR(XLOOKUP(A207,'Intake Responses'!$A:$A,'Intake Responses'!$D:$D),"")</f>
        <v/>
      </c>
      <c r="D207" s="3">
        <f>IFERROR(XLOOKUP(A207,'Intake Responses'!$A:$A,'Intake Responses'!$F:$F),"")</f>
        <v/>
      </c>
      <c r="E207" s="3" t="n"/>
      <c r="F207" s="3">
        <f>IFERROR(XLOOKUP(A207,'Intake Responses'!$A:$A,'Intake Responses'!$M:$M),"")</f>
        <v/>
      </c>
      <c r="G207" s="3">
        <f>IFERROR(XLOOKUP(A207,'Intake Responses'!$A:$A,'Intake Responses'!$N:$N),"")</f>
        <v/>
      </c>
      <c r="H207" s="3">
        <f>IFERROR(XLOOKUP(A207,'Intake Responses'!$A:$A,'Intake Responses'!$O:$O),"")</f>
        <v/>
      </c>
      <c r="I207" s="3">
        <f>IFERROR(SWITCH(F207,"Multiple times per day",60,"Daily",20,"Weekly",4,"Monthly",1,"Quarterly",0.33,"Ad hoc",0.5,"Unknown",0),0)</f>
        <v/>
      </c>
      <c r="J207" s="3">
        <f>IFERROR((G207*H207*I207)/60,0)</f>
        <v/>
      </c>
      <c r="K207" s="3">
        <f>IFERROR(J207*12,0)</f>
        <v/>
      </c>
      <c r="L207" s="3">
        <f>IFERROR(XLOOKUP(A207,'Intake Responses'!$A:$A,'Intake Responses'!$T:$T),"")</f>
        <v/>
      </c>
      <c r="M207" s="3">
        <f>IFERROR(XLOOKUP(A207,'Intake Responses'!$A:$A,'Intake Responses'!$U:$U),"")</f>
        <v/>
      </c>
      <c r="N207" s="3">
        <f>IFERROR(XLOOKUP(A207,'Intake Responses'!$A:$A,'Intake Responses'!$V:$V),"")</f>
        <v/>
      </c>
      <c r="O207" s="3">
        <f>IFERROR(XLOOKUP(A207,'Intake Responses'!$A:$A,'Intake Responses'!$W:$W),"")</f>
        <v/>
      </c>
      <c r="P207" s="3">
        <f>IFERROR(XLOOKUP(A207,'Intake Responses'!$A:$A,'Intake Responses'!$X:$X),"")</f>
        <v/>
      </c>
      <c r="Q207" s="3">
        <f>IFERROR(XLOOKUP(A207,'Intake Responses'!$A:$A,'Intake Responses'!$AF:$AF),"")</f>
        <v/>
      </c>
      <c r="R207" s="3">
        <f>IFERROR(XLOOKUP(A207,'Intake Responses'!$A:$A,'Intake Responses'!$S:$S),"")</f>
        <v/>
      </c>
      <c r="S207" s="3" t="n"/>
      <c r="T207" s="3" t="n"/>
      <c r="U207" s="3" t="n"/>
      <c r="V207" s="3">
        <f>IFERROR(MIN(5,ROUND(((M207+O207)/2)+(IF(J207&gt;=20,2,IF(J207&gt;=10,1.5,IF(J207&gt;=5,1,IF(J207&gt;=1,0.5,0))))),1)),0)</f>
        <v/>
      </c>
      <c r="W207" s="3">
        <f>IFERROR(SWITCH(F207,"Multiple times per day",5,"Daily",4,"Weekly",3,"Monthly",2,"Quarterly",1,"Ad hoc",1,"Unknown",0),0)</f>
        <v/>
      </c>
      <c r="X207" s="3">
        <f>IFERROR(ROUND(AVERAGE(L207,N207),1),0)</f>
        <v/>
      </c>
      <c r="Y207" s="3">
        <f>IFERROR(SWITCH(U207,"High",3,"Medium",2,"Low",0,"Unknown",1,1)+IF(Q207="Yes",2,IF(Q207="Unsure",1,0)),0)</f>
        <v/>
      </c>
      <c r="Z207" s="3">
        <f>IFERROR(ROUND((V207*2)+(W207*1)+(X207*2)+(IF(T207="Easy",2,IF(T207="Medium",1,IF(T207="Hard",-1,0))))-(Y207*2),1),0)</f>
        <v/>
      </c>
      <c r="AA207" s="3">
        <f>IFERROR(IF(S207="Not a fit","Not a Fit",IF(Y207&gt;=5,"High Risk / Needs Review",IF(AND(Z207&gt;=18,T207="Easy"),"Quick Win",IF(AND(Z207&gt;=18,T207&lt;&gt;"Easy"),"Strategic Project",IF(Z207&gt;=10,"Discovery Needed","Process Issue"))))),"")</f>
        <v/>
      </c>
      <c r="AB207" s="3">
        <f>IFERROR(SWITCH(AA207,"Quick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7" s="3" t="n"/>
      <c r="AD207" s="3" t="n"/>
      <c r="AE207" s="3" t="n"/>
    </row>
    <row r="208" ht="25" customHeight="1">
      <c r="A208" s="2" t="n"/>
      <c r="B208" s="2">
        <f>IFERROR(XLOOKUP(A208,'Intake Responses'!$A:$A,'Intake Responses'!$E:$E),"")</f>
        <v/>
      </c>
      <c r="C208" s="2">
        <f>IFERROR(XLOOKUP(A208,'Intake Responses'!$A:$A,'Intake Responses'!$D:$D),"")</f>
        <v/>
      </c>
      <c r="D208" s="2">
        <f>IFERROR(XLOOKUP(A208,'Intake Responses'!$A:$A,'Intake Responses'!$F:$F),"")</f>
        <v/>
      </c>
      <c r="E208" s="2" t="n"/>
      <c r="F208" s="2">
        <f>IFERROR(XLOOKUP(A208,'Intake Responses'!$A:$A,'Intake Responses'!$M:$M),"")</f>
        <v/>
      </c>
      <c r="G208" s="2">
        <f>IFERROR(XLOOKUP(A208,'Intake Responses'!$A:$A,'Intake Responses'!$N:$N),"")</f>
        <v/>
      </c>
      <c r="H208" s="2">
        <f>IFERROR(XLOOKUP(A208,'Intake Responses'!$A:$A,'Intake Responses'!$O:$O),"")</f>
        <v/>
      </c>
      <c r="I208" s="2">
        <f>IFERROR(SWITCH(F208,"Multiple times per day",60,"Daily",20,"Weekly",4,"Monthly",1,"Quarterly",0.33,"Ad hoc",0.5,"Unknown",0),0)</f>
        <v/>
      </c>
      <c r="J208" s="2">
        <f>IFERROR((G208*H208*I208)/60,0)</f>
        <v/>
      </c>
      <c r="K208" s="2">
        <f>IFERROR(J208*12,0)</f>
        <v/>
      </c>
      <c r="L208" s="2">
        <f>IFERROR(XLOOKUP(A208,'Intake Responses'!$A:$A,'Intake Responses'!$T:$T),"")</f>
        <v/>
      </c>
      <c r="M208" s="2">
        <f>IFERROR(XLOOKUP(A208,'Intake Responses'!$A:$A,'Intake Responses'!$U:$U),"")</f>
        <v/>
      </c>
      <c r="N208" s="2">
        <f>IFERROR(XLOOKUP(A208,'Intake Responses'!$A:$A,'Intake Responses'!$V:$V),"")</f>
        <v/>
      </c>
      <c r="O208" s="2">
        <f>IFERROR(XLOOKUP(A208,'Intake Responses'!$A:$A,'Intake Responses'!$W:$W),"")</f>
        <v/>
      </c>
      <c r="P208" s="2">
        <f>IFERROR(XLOOKUP(A208,'Intake Responses'!$A:$A,'Intake Responses'!$X:$X),"")</f>
        <v/>
      </c>
      <c r="Q208" s="2">
        <f>IFERROR(XLOOKUP(A208,'Intake Responses'!$A:$A,'Intake Responses'!$AF:$AF),"")</f>
        <v/>
      </c>
      <c r="R208" s="2">
        <f>IFERROR(XLOOKUP(A208,'Intake Responses'!$A:$A,'Intake Responses'!$S:$S),"")</f>
        <v/>
      </c>
      <c r="S208" s="2" t="n"/>
      <c r="T208" s="2" t="n"/>
      <c r="U208" s="2" t="n"/>
      <c r="V208" s="2">
        <f>IFERROR(MIN(5,ROUND(((M208+O208)/2)+(IF(J208&gt;=20,2,IF(J208&gt;=10,1.5,IF(J208&gt;=5,1,IF(J208&gt;=1,0.5,0))))),1)),0)</f>
        <v/>
      </c>
      <c r="W208" s="2">
        <f>IFERROR(SWITCH(F208,"Multiple times per day",5,"Daily",4,"Weekly",3,"Monthly",2,"Quarterly",1,"Ad hoc",1,"Unknown",0),0)</f>
        <v/>
      </c>
      <c r="X208" s="2">
        <f>IFERROR(ROUND(AVERAGE(L208,N208),1),0)</f>
        <v/>
      </c>
      <c r="Y208" s="2">
        <f>IFERROR(SWITCH(U208,"High",3,"Medium",2,"Low",0,"Unknown",1,1)+IF(Q208="Yes",2,IF(Q208="Unsure",1,0)),0)</f>
        <v/>
      </c>
      <c r="Z208" s="2">
        <f>IFERROR(ROUND((V208*2)+(W208*1)+(X208*2)+(IF(T208="Easy",2,IF(T208="Medium",1,IF(T208="Hard",-1,0))))-(Y208*2),1),0)</f>
        <v/>
      </c>
      <c r="AA208" s="2">
        <f>IFERROR(IF(S208="Not a fit","Not a Fit",IF(Y208&gt;=5,"High Risk / Needs Review",IF(AND(Z208&gt;=18,T208="Easy"),"Quick Win",IF(AND(Z208&gt;=18,T208&lt;&gt;"Easy"),"Strategic Project",IF(Z208&gt;=10,"Discovery Needed","Process Issue"))))),"")</f>
        <v/>
      </c>
      <c r="AB208" s="2">
        <f>IFERROR(SWITCH(AA208,"Quick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8" s="2" t="n"/>
      <c r="AD208" s="2" t="n"/>
      <c r="AE208" s="2" t="n"/>
    </row>
    <row r="209" ht="25" customHeight="1">
      <c r="A209" s="3" t="n"/>
      <c r="B209" s="3">
        <f>IFERROR(XLOOKUP(A209,'Intake Responses'!$A:$A,'Intake Responses'!$E:$E),"")</f>
        <v/>
      </c>
      <c r="C209" s="3">
        <f>IFERROR(XLOOKUP(A209,'Intake Responses'!$A:$A,'Intake Responses'!$D:$D),"")</f>
        <v/>
      </c>
      <c r="D209" s="3">
        <f>IFERROR(XLOOKUP(A209,'Intake Responses'!$A:$A,'Intake Responses'!$F:$F),"")</f>
        <v/>
      </c>
      <c r="E209" s="3" t="n"/>
      <c r="F209" s="3">
        <f>IFERROR(XLOOKUP(A209,'Intake Responses'!$A:$A,'Intake Responses'!$M:$M),"")</f>
        <v/>
      </c>
      <c r="G209" s="3">
        <f>IFERROR(XLOOKUP(A209,'Intake Responses'!$A:$A,'Intake Responses'!$N:$N),"")</f>
        <v/>
      </c>
      <c r="H209" s="3">
        <f>IFERROR(XLOOKUP(A209,'Intake Responses'!$A:$A,'Intake Responses'!$O:$O),"")</f>
        <v/>
      </c>
      <c r="I209" s="3">
        <f>IFERROR(SWITCH(F209,"Multiple times per day",60,"Daily",20,"Weekly",4,"Monthly",1,"Quarterly",0.33,"Ad hoc",0.5,"Unknown",0),0)</f>
        <v/>
      </c>
      <c r="J209" s="3">
        <f>IFERROR((G209*H209*I209)/60,0)</f>
        <v/>
      </c>
      <c r="K209" s="3">
        <f>IFERROR(J209*12,0)</f>
        <v/>
      </c>
      <c r="L209" s="3">
        <f>IFERROR(XLOOKUP(A209,'Intake Responses'!$A:$A,'Intake Responses'!$T:$T),"")</f>
        <v/>
      </c>
      <c r="M209" s="3">
        <f>IFERROR(XLOOKUP(A209,'Intake Responses'!$A:$A,'Intake Responses'!$U:$U),"")</f>
        <v/>
      </c>
      <c r="N209" s="3">
        <f>IFERROR(XLOOKUP(A209,'Intake Responses'!$A:$A,'Intake Responses'!$V:$V),"")</f>
        <v/>
      </c>
      <c r="O209" s="3">
        <f>IFERROR(XLOOKUP(A209,'Intake Responses'!$A:$A,'Intake Responses'!$W:$W),"")</f>
        <v/>
      </c>
      <c r="P209" s="3">
        <f>IFERROR(XLOOKUP(A209,'Intake Responses'!$A:$A,'Intake Responses'!$X:$X),"")</f>
        <v/>
      </c>
      <c r="Q209" s="3">
        <f>IFERROR(XLOOKUP(A209,'Intake Responses'!$A:$A,'Intake Responses'!$AF:$AF),"")</f>
        <v/>
      </c>
      <c r="R209" s="3">
        <f>IFERROR(XLOOKUP(A209,'Intake Responses'!$A:$A,'Intake Responses'!$S:$S),"")</f>
        <v/>
      </c>
      <c r="S209" s="3" t="n"/>
      <c r="T209" s="3" t="n"/>
      <c r="U209" s="3" t="n"/>
      <c r="V209" s="3">
        <f>IFERROR(MIN(5,ROUND(((M209+O209)/2)+(IF(J209&gt;=20,2,IF(J209&gt;=10,1.5,IF(J209&gt;=5,1,IF(J209&gt;=1,0.5,0))))),1)),0)</f>
        <v/>
      </c>
      <c r="W209" s="3">
        <f>IFERROR(SWITCH(F209,"Multiple times per day",5,"Daily",4,"Weekly",3,"Monthly",2,"Quarterly",1,"Ad hoc",1,"Unknown",0),0)</f>
        <v/>
      </c>
      <c r="X209" s="3">
        <f>IFERROR(ROUND(AVERAGE(L209,N209),1),0)</f>
        <v/>
      </c>
      <c r="Y209" s="3">
        <f>IFERROR(SWITCH(U209,"High",3,"Medium",2,"Low",0,"Unknown",1,1)+IF(Q209="Yes",2,IF(Q209="Unsure",1,0)),0)</f>
        <v/>
      </c>
      <c r="Z209" s="3">
        <f>IFERROR(ROUND((V209*2)+(W209*1)+(X209*2)+(IF(T209="Easy",2,IF(T209="Medium",1,IF(T209="Hard",-1,0))))-(Y209*2),1),0)</f>
        <v/>
      </c>
      <c r="AA209" s="3">
        <f>IFERROR(IF(S209="Not a fit","Not a Fit",IF(Y209&gt;=5,"High Risk / Needs Review",IF(AND(Z209&gt;=18,T209="Easy"),"Quick Win",IF(AND(Z209&gt;=18,T209&lt;&gt;"Easy"),"Strategic Project",IF(Z209&gt;=10,"Discovery Needed","Process Issue"))))),"")</f>
        <v/>
      </c>
      <c r="AB209" s="3">
        <f>IFERROR(SWITCH(AA209,"Quick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09" s="3" t="n"/>
      <c r="AD209" s="3" t="n"/>
      <c r="AE209" s="3" t="n"/>
    </row>
    <row r="210" ht="25" customHeight="1">
      <c r="A210" s="2" t="n"/>
      <c r="B210" s="2">
        <f>IFERROR(XLOOKUP(A210,'Intake Responses'!$A:$A,'Intake Responses'!$E:$E),"")</f>
        <v/>
      </c>
      <c r="C210" s="2">
        <f>IFERROR(XLOOKUP(A210,'Intake Responses'!$A:$A,'Intake Responses'!$D:$D),"")</f>
        <v/>
      </c>
      <c r="D210" s="2">
        <f>IFERROR(XLOOKUP(A210,'Intake Responses'!$A:$A,'Intake Responses'!$F:$F),"")</f>
        <v/>
      </c>
      <c r="E210" s="2" t="n"/>
      <c r="F210" s="2">
        <f>IFERROR(XLOOKUP(A210,'Intake Responses'!$A:$A,'Intake Responses'!$M:$M),"")</f>
        <v/>
      </c>
      <c r="G210" s="2">
        <f>IFERROR(XLOOKUP(A210,'Intake Responses'!$A:$A,'Intake Responses'!$N:$N),"")</f>
        <v/>
      </c>
      <c r="H210" s="2">
        <f>IFERROR(XLOOKUP(A210,'Intake Responses'!$A:$A,'Intake Responses'!$O:$O),"")</f>
        <v/>
      </c>
      <c r="I210" s="2">
        <f>IFERROR(SWITCH(F210,"Multiple times per day",60,"Daily",20,"Weekly",4,"Monthly",1,"Quarterly",0.33,"Ad hoc",0.5,"Unknown",0),0)</f>
        <v/>
      </c>
      <c r="J210" s="2">
        <f>IFERROR((G210*H210*I210)/60,0)</f>
        <v/>
      </c>
      <c r="K210" s="2">
        <f>IFERROR(J210*12,0)</f>
        <v/>
      </c>
      <c r="L210" s="2">
        <f>IFERROR(XLOOKUP(A210,'Intake Responses'!$A:$A,'Intake Responses'!$T:$T),"")</f>
        <v/>
      </c>
      <c r="M210" s="2">
        <f>IFERROR(XLOOKUP(A210,'Intake Responses'!$A:$A,'Intake Responses'!$U:$U),"")</f>
        <v/>
      </c>
      <c r="N210" s="2">
        <f>IFERROR(XLOOKUP(A210,'Intake Responses'!$A:$A,'Intake Responses'!$V:$V),"")</f>
        <v/>
      </c>
      <c r="O210" s="2">
        <f>IFERROR(XLOOKUP(A210,'Intake Responses'!$A:$A,'Intake Responses'!$W:$W),"")</f>
        <v/>
      </c>
      <c r="P210" s="2">
        <f>IFERROR(XLOOKUP(A210,'Intake Responses'!$A:$A,'Intake Responses'!$X:$X),"")</f>
        <v/>
      </c>
      <c r="Q210" s="2">
        <f>IFERROR(XLOOKUP(A210,'Intake Responses'!$A:$A,'Intake Responses'!$AF:$AF),"")</f>
        <v/>
      </c>
      <c r="R210" s="2">
        <f>IFERROR(XLOOKUP(A210,'Intake Responses'!$A:$A,'Intake Responses'!$S:$S),"")</f>
        <v/>
      </c>
      <c r="S210" s="2" t="n"/>
      <c r="T210" s="2" t="n"/>
      <c r="U210" s="2" t="n"/>
      <c r="V210" s="2">
        <f>IFERROR(MIN(5,ROUND(((M210+O210)/2)+(IF(J210&gt;=20,2,IF(J210&gt;=10,1.5,IF(J210&gt;=5,1,IF(J210&gt;=1,0.5,0))))),1)),0)</f>
        <v/>
      </c>
      <c r="W210" s="2">
        <f>IFERROR(SWITCH(F210,"Multiple times per day",5,"Daily",4,"Weekly",3,"Monthly",2,"Quarterly",1,"Ad hoc",1,"Unknown",0),0)</f>
        <v/>
      </c>
      <c r="X210" s="2">
        <f>IFERROR(ROUND(AVERAGE(L210,N210),1),0)</f>
        <v/>
      </c>
      <c r="Y210" s="2">
        <f>IFERROR(SWITCH(U210,"High",3,"Medium",2,"Low",0,"Unknown",1,1)+IF(Q210="Yes",2,IF(Q210="Unsure",1,0)),0)</f>
        <v/>
      </c>
      <c r="Z210" s="2">
        <f>IFERROR(ROUND((V210*2)+(W210*1)+(X210*2)+(IF(T210="Easy",2,IF(T210="Medium",1,IF(T210="Hard",-1,0))))-(Y210*2),1),0)</f>
        <v/>
      </c>
      <c r="AA210" s="2">
        <f>IFERROR(IF(S210="Not a fit","Not a Fit",IF(Y210&gt;=5,"High Risk / Needs Review",IF(AND(Z210&gt;=18,T210="Easy"),"Quick Win",IF(AND(Z210&gt;=18,T210&lt;&gt;"Easy"),"Strategic Project",IF(Z210&gt;=10,"Discovery Needed","Process Issue"))))),"")</f>
        <v/>
      </c>
      <c r="AB210" s="2">
        <f>IFERROR(SWITCH(AA210,"Quick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0" s="2" t="n"/>
      <c r="AD210" s="2" t="n"/>
      <c r="AE210" s="2" t="n"/>
    </row>
    <row r="211" ht="25" customHeight="1">
      <c r="A211" s="3" t="n"/>
      <c r="B211" s="3">
        <f>IFERROR(XLOOKUP(A211,'Intake Responses'!$A:$A,'Intake Responses'!$E:$E),"")</f>
        <v/>
      </c>
      <c r="C211" s="3">
        <f>IFERROR(XLOOKUP(A211,'Intake Responses'!$A:$A,'Intake Responses'!$D:$D),"")</f>
        <v/>
      </c>
      <c r="D211" s="3">
        <f>IFERROR(XLOOKUP(A211,'Intake Responses'!$A:$A,'Intake Responses'!$F:$F),"")</f>
        <v/>
      </c>
      <c r="E211" s="3" t="n"/>
      <c r="F211" s="3">
        <f>IFERROR(XLOOKUP(A211,'Intake Responses'!$A:$A,'Intake Responses'!$M:$M),"")</f>
        <v/>
      </c>
      <c r="G211" s="3">
        <f>IFERROR(XLOOKUP(A211,'Intake Responses'!$A:$A,'Intake Responses'!$N:$N),"")</f>
        <v/>
      </c>
      <c r="H211" s="3">
        <f>IFERROR(XLOOKUP(A211,'Intake Responses'!$A:$A,'Intake Responses'!$O:$O),"")</f>
        <v/>
      </c>
      <c r="I211" s="3">
        <f>IFERROR(SWITCH(F211,"Multiple times per day",60,"Daily",20,"Weekly",4,"Monthly",1,"Quarterly",0.33,"Ad hoc",0.5,"Unknown",0),0)</f>
        <v/>
      </c>
      <c r="J211" s="3">
        <f>IFERROR((G211*H211*I211)/60,0)</f>
        <v/>
      </c>
      <c r="K211" s="3">
        <f>IFERROR(J211*12,0)</f>
        <v/>
      </c>
      <c r="L211" s="3">
        <f>IFERROR(XLOOKUP(A211,'Intake Responses'!$A:$A,'Intake Responses'!$T:$T),"")</f>
        <v/>
      </c>
      <c r="M211" s="3">
        <f>IFERROR(XLOOKUP(A211,'Intake Responses'!$A:$A,'Intake Responses'!$U:$U),"")</f>
        <v/>
      </c>
      <c r="N211" s="3">
        <f>IFERROR(XLOOKUP(A211,'Intake Responses'!$A:$A,'Intake Responses'!$V:$V),"")</f>
        <v/>
      </c>
      <c r="O211" s="3">
        <f>IFERROR(XLOOKUP(A211,'Intake Responses'!$A:$A,'Intake Responses'!$W:$W),"")</f>
        <v/>
      </c>
      <c r="P211" s="3">
        <f>IFERROR(XLOOKUP(A211,'Intake Responses'!$A:$A,'Intake Responses'!$X:$X),"")</f>
        <v/>
      </c>
      <c r="Q211" s="3">
        <f>IFERROR(XLOOKUP(A211,'Intake Responses'!$A:$A,'Intake Responses'!$AF:$AF),"")</f>
        <v/>
      </c>
      <c r="R211" s="3">
        <f>IFERROR(XLOOKUP(A211,'Intake Responses'!$A:$A,'Intake Responses'!$S:$S),"")</f>
        <v/>
      </c>
      <c r="S211" s="3" t="n"/>
      <c r="T211" s="3" t="n"/>
      <c r="U211" s="3" t="n"/>
      <c r="V211" s="3">
        <f>IFERROR(MIN(5,ROUND(((M211+O211)/2)+(IF(J211&gt;=20,2,IF(J211&gt;=10,1.5,IF(J211&gt;=5,1,IF(J211&gt;=1,0.5,0))))),1)),0)</f>
        <v/>
      </c>
      <c r="W211" s="3">
        <f>IFERROR(SWITCH(F211,"Multiple times per day",5,"Daily",4,"Weekly",3,"Monthly",2,"Quarterly",1,"Ad hoc",1,"Unknown",0),0)</f>
        <v/>
      </c>
      <c r="X211" s="3">
        <f>IFERROR(ROUND(AVERAGE(L211,N211),1),0)</f>
        <v/>
      </c>
      <c r="Y211" s="3">
        <f>IFERROR(SWITCH(U211,"High",3,"Medium",2,"Low",0,"Unknown",1,1)+IF(Q211="Yes",2,IF(Q211="Unsure",1,0)),0)</f>
        <v/>
      </c>
      <c r="Z211" s="3">
        <f>IFERROR(ROUND((V211*2)+(W211*1)+(X211*2)+(IF(T211="Easy",2,IF(T211="Medium",1,IF(T211="Hard",-1,0))))-(Y211*2),1),0)</f>
        <v/>
      </c>
      <c r="AA211" s="3">
        <f>IFERROR(IF(S211="Not a fit","Not a Fit",IF(Y211&gt;=5,"High Risk / Needs Review",IF(AND(Z211&gt;=18,T211="Easy"),"Quick Win",IF(AND(Z211&gt;=18,T211&lt;&gt;"Easy"),"Strategic Project",IF(Z211&gt;=10,"Discovery Needed","Process Issue"))))),"")</f>
        <v/>
      </c>
      <c r="AB211" s="3">
        <f>IFERROR(SWITCH(AA211,"Quick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1" s="3" t="n"/>
      <c r="AD211" s="3" t="n"/>
      <c r="AE211" s="3" t="n"/>
    </row>
    <row r="212" ht="25" customHeight="1">
      <c r="A212" s="2" t="n"/>
      <c r="B212" s="2">
        <f>IFERROR(XLOOKUP(A212,'Intake Responses'!$A:$A,'Intake Responses'!$E:$E),"")</f>
        <v/>
      </c>
      <c r="C212" s="2">
        <f>IFERROR(XLOOKUP(A212,'Intake Responses'!$A:$A,'Intake Responses'!$D:$D),"")</f>
        <v/>
      </c>
      <c r="D212" s="2">
        <f>IFERROR(XLOOKUP(A212,'Intake Responses'!$A:$A,'Intake Responses'!$F:$F),"")</f>
        <v/>
      </c>
      <c r="E212" s="2" t="n"/>
      <c r="F212" s="2">
        <f>IFERROR(XLOOKUP(A212,'Intake Responses'!$A:$A,'Intake Responses'!$M:$M),"")</f>
        <v/>
      </c>
      <c r="G212" s="2">
        <f>IFERROR(XLOOKUP(A212,'Intake Responses'!$A:$A,'Intake Responses'!$N:$N),"")</f>
        <v/>
      </c>
      <c r="H212" s="2">
        <f>IFERROR(XLOOKUP(A212,'Intake Responses'!$A:$A,'Intake Responses'!$O:$O),"")</f>
        <v/>
      </c>
      <c r="I212" s="2">
        <f>IFERROR(SWITCH(F212,"Multiple times per day",60,"Daily",20,"Weekly",4,"Monthly",1,"Quarterly",0.33,"Ad hoc",0.5,"Unknown",0),0)</f>
        <v/>
      </c>
      <c r="J212" s="2">
        <f>IFERROR((G212*H212*I212)/60,0)</f>
        <v/>
      </c>
      <c r="K212" s="2">
        <f>IFERROR(J212*12,0)</f>
        <v/>
      </c>
      <c r="L212" s="2">
        <f>IFERROR(XLOOKUP(A212,'Intake Responses'!$A:$A,'Intake Responses'!$T:$T),"")</f>
        <v/>
      </c>
      <c r="M212" s="2">
        <f>IFERROR(XLOOKUP(A212,'Intake Responses'!$A:$A,'Intake Responses'!$U:$U),"")</f>
        <v/>
      </c>
      <c r="N212" s="2">
        <f>IFERROR(XLOOKUP(A212,'Intake Responses'!$A:$A,'Intake Responses'!$V:$V),"")</f>
        <v/>
      </c>
      <c r="O212" s="2">
        <f>IFERROR(XLOOKUP(A212,'Intake Responses'!$A:$A,'Intake Responses'!$W:$W),"")</f>
        <v/>
      </c>
      <c r="P212" s="2">
        <f>IFERROR(XLOOKUP(A212,'Intake Responses'!$A:$A,'Intake Responses'!$X:$X),"")</f>
        <v/>
      </c>
      <c r="Q212" s="2">
        <f>IFERROR(XLOOKUP(A212,'Intake Responses'!$A:$A,'Intake Responses'!$AF:$AF),"")</f>
        <v/>
      </c>
      <c r="R212" s="2">
        <f>IFERROR(XLOOKUP(A212,'Intake Responses'!$A:$A,'Intake Responses'!$S:$S),"")</f>
        <v/>
      </c>
      <c r="S212" s="2" t="n"/>
      <c r="T212" s="2" t="n"/>
      <c r="U212" s="2" t="n"/>
      <c r="V212" s="2">
        <f>IFERROR(MIN(5,ROUND(((M212+O212)/2)+(IF(J212&gt;=20,2,IF(J212&gt;=10,1.5,IF(J212&gt;=5,1,IF(J212&gt;=1,0.5,0))))),1)),0)</f>
        <v/>
      </c>
      <c r="W212" s="2">
        <f>IFERROR(SWITCH(F212,"Multiple times per day",5,"Daily",4,"Weekly",3,"Monthly",2,"Quarterly",1,"Ad hoc",1,"Unknown",0),0)</f>
        <v/>
      </c>
      <c r="X212" s="2">
        <f>IFERROR(ROUND(AVERAGE(L212,N212),1),0)</f>
        <v/>
      </c>
      <c r="Y212" s="2">
        <f>IFERROR(SWITCH(U212,"High",3,"Medium",2,"Low",0,"Unknown",1,1)+IF(Q212="Yes",2,IF(Q212="Unsure",1,0)),0)</f>
        <v/>
      </c>
      <c r="Z212" s="2">
        <f>IFERROR(ROUND((V212*2)+(W212*1)+(X212*2)+(IF(T212="Easy",2,IF(T212="Medium",1,IF(T212="Hard",-1,0))))-(Y212*2),1),0)</f>
        <v/>
      </c>
      <c r="AA212" s="2">
        <f>IFERROR(IF(S212="Not a fit","Not a Fit",IF(Y212&gt;=5,"High Risk / Needs Review",IF(AND(Z212&gt;=18,T212="Easy"),"Quick Win",IF(AND(Z212&gt;=18,T212&lt;&gt;"Easy"),"Strategic Project",IF(Z212&gt;=10,"Discovery Needed","Process Issue"))))),"")</f>
        <v/>
      </c>
      <c r="AB212" s="2">
        <f>IFERROR(SWITCH(AA212,"Quick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2" s="2" t="n"/>
      <c r="AD212" s="2" t="n"/>
      <c r="AE212" s="2" t="n"/>
    </row>
    <row r="213" ht="25" customHeight="1">
      <c r="A213" s="3" t="n"/>
      <c r="B213" s="3">
        <f>IFERROR(XLOOKUP(A213,'Intake Responses'!$A:$A,'Intake Responses'!$E:$E),"")</f>
        <v/>
      </c>
      <c r="C213" s="3">
        <f>IFERROR(XLOOKUP(A213,'Intake Responses'!$A:$A,'Intake Responses'!$D:$D),"")</f>
        <v/>
      </c>
      <c r="D213" s="3">
        <f>IFERROR(XLOOKUP(A213,'Intake Responses'!$A:$A,'Intake Responses'!$F:$F),"")</f>
        <v/>
      </c>
      <c r="E213" s="3" t="n"/>
      <c r="F213" s="3">
        <f>IFERROR(XLOOKUP(A213,'Intake Responses'!$A:$A,'Intake Responses'!$M:$M),"")</f>
        <v/>
      </c>
      <c r="G213" s="3">
        <f>IFERROR(XLOOKUP(A213,'Intake Responses'!$A:$A,'Intake Responses'!$N:$N),"")</f>
        <v/>
      </c>
      <c r="H213" s="3">
        <f>IFERROR(XLOOKUP(A213,'Intake Responses'!$A:$A,'Intake Responses'!$O:$O),"")</f>
        <v/>
      </c>
      <c r="I213" s="3">
        <f>IFERROR(SWITCH(F213,"Multiple times per day",60,"Daily",20,"Weekly",4,"Monthly",1,"Quarterly",0.33,"Ad hoc",0.5,"Unknown",0),0)</f>
        <v/>
      </c>
      <c r="J213" s="3">
        <f>IFERROR((G213*H213*I213)/60,0)</f>
        <v/>
      </c>
      <c r="K213" s="3">
        <f>IFERROR(J213*12,0)</f>
        <v/>
      </c>
      <c r="L213" s="3">
        <f>IFERROR(XLOOKUP(A213,'Intake Responses'!$A:$A,'Intake Responses'!$T:$T),"")</f>
        <v/>
      </c>
      <c r="M213" s="3">
        <f>IFERROR(XLOOKUP(A213,'Intake Responses'!$A:$A,'Intake Responses'!$U:$U),"")</f>
        <v/>
      </c>
      <c r="N213" s="3">
        <f>IFERROR(XLOOKUP(A213,'Intake Responses'!$A:$A,'Intake Responses'!$V:$V),"")</f>
        <v/>
      </c>
      <c r="O213" s="3">
        <f>IFERROR(XLOOKUP(A213,'Intake Responses'!$A:$A,'Intake Responses'!$W:$W),"")</f>
        <v/>
      </c>
      <c r="P213" s="3">
        <f>IFERROR(XLOOKUP(A213,'Intake Responses'!$A:$A,'Intake Responses'!$X:$X),"")</f>
        <v/>
      </c>
      <c r="Q213" s="3">
        <f>IFERROR(XLOOKUP(A213,'Intake Responses'!$A:$A,'Intake Responses'!$AF:$AF),"")</f>
        <v/>
      </c>
      <c r="R213" s="3">
        <f>IFERROR(XLOOKUP(A213,'Intake Responses'!$A:$A,'Intake Responses'!$S:$S),"")</f>
        <v/>
      </c>
      <c r="S213" s="3" t="n"/>
      <c r="T213" s="3" t="n"/>
      <c r="U213" s="3" t="n"/>
      <c r="V213" s="3">
        <f>IFERROR(MIN(5,ROUND(((M213+O213)/2)+(IF(J213&gt;=20,2,IF(J213&gt;=10,1.5,IF(J213&gt;=5,1,IF(J213&gt;=1,0.5,0))))),1)),0)</f>
        <v/>
      </c>
      <c r="W213" s="3">
        <f>IFERROR(SWITCH(F213,"Multiple times per day",5,"Daily",4,"Weekly",3,"Monthly",2,"Quarterly",1,"Ad hoc",1,"Unknown",0),0)</f>
        <v/>
      </c>
      <c r="X213" s="3">
        <f>IFERROR(ROUND(AVERAGE(L213,N213),1),0)</f>
        <v/>
      </c>
      <c r="Y213" s="3">
        <f>IFERROR(SWITCH(U213,"High",3,"Medium",2,"Low",0,"Unknown",1,1)+IF(Q213="Yes",2,IF(Q213="Unsure",1,0)),0)</f>
        <v/>
      </c>
      <c r="Z213" s="3">
        <f>IFERROR(ROUND((V213*2)+(W213*1)+(X213*2)+(IF(T213="Easy",2,IF(T213="Medium",1,IF(T213="Hard",-1,0))))-(Y213*2),1),0)</f>
        <v/>
      </c>
      <c r="AA213" s="3">
        <f>IFERROR(IF(S213="Not a fit","Not a Fit",IF(Y213&gt;=5,"High Risk / Needs Review",IF(AND(Z213&gt;=18,T213="Easy"),"Quick Win",IF(AND(Z213&gt;=18,T213&lt;&gt;"Easy"),"Strategic Project",IF(Z213&gt;=10,"Discovery Needed","Process Issue"))))),"")</f>
        <v/>
      </c>
      <c r="AB213" s="3">
        <f>IFERROR(SWITCH(AA213,"Quick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3" s="3" t="n"/>
      <c r="AD213" s="3" t="n"/>
      <c r="AE213" s="3" t="n"/>
    </row>
    <row r="214" ht="25" customHeight="1">
      <c r="A214" s="2" t="n"/>
      <c r="B214" s="2">
        <f>IFERROR(XLOOKUP(A214,'Intake Responses'!$A:$A,'Intake Responses'!$E:$E),"")</f>
        <v/>
      </c>
      <c r="C214" s="2">
        <f>IFERROR(XLOOKUP(A214,'Intake Responses'!$A:$A,'Intake Responses'!$D:$D),"")</f>
        <v/>
      </c>
      <c r="D214" s="2">
        <f>IFERROR(XLOOKUP(A214,'Intake Responses'!$A:$A,'Intake Responses'!$F:$F),"")</f>
        <v/>
      </c>
      <c r="E214" s="2" t="n"/>
      <c r="F214" s="2">
        <f>IFERROR(XLOOKUP(A214,'Intake Responses'!$A:$A,'Intake Responses'!$M:$M),"")</f>
        <v/>
      </c>
      <c r="G214" s="2">
        <f>IFERROR(XLOOKUP(A214,'Intake Responses'!$A:$A,'Intake Responses'!$N:$N),"")</f>
        <v/>
      </c>
      <c r="H214" s="2">
        <f>IFERROR(XLOOKUP(A214,'Intake Responses'!$A:$A,'Intake Responses'!$O:$O),"")</f>
        <v/>
      </c>
      <c r="I214" s="2">
        <f>IFERROR(SWITCH(F214,"Multiple times per day",60,"Daily",20,"Weekly",4,"Monthly",1,"Quarterly",0.33,"Ad hoc",0.5,"Unknown",0),0)</f>
        <v/>
      </c>
      <c r="J214" s="2">
        <f>IFERROR((G214*H214*I214)/60,0)</f>
        <v/>
      </c>
      <c r="K214" s="2">
        <f>IFERROR(J214*12,0)</f>
        <v/>
      </c>
      <c r="L214" s="2">
        <f>IFERROR(XLOOKUP(A214,'Intake Responses'!$A:$A,'Intake Responses'!$T:$T),"")</f>
        <v/>
      </c>
      <c r="M214" s="2">
        <f>IFERROR(XLOOKUP(A214,'Intake Responses'!$A:$A,'Intake Responses'!$U:$U),"")</f>
        <v/>
      </c>
      <c r="N214" s="2">
        <f>IFERROR(XLOOKUP(A214,'Intake Responses'!$A:$A,'Intake Responses'!$V:$V),"")</f>
        <v/>
      </c>
      <c r="O214" s="2">
        <f>IFERROR(XLOOKUP(A214,'Intake Responses'!$A:$A,'Intake Responses'!$W:$W),"")</f>
        <v/>
      </c>
      <c r="P214" s="2">
        <f>IFERROR(XLOOKUP(A214,'Intake Responses'!$A:$A,'Intake Responses'!$X:$X),"")</f>
        <v/>
      </c>
      <c r="Q214" s="2">
        <f>IFERROR(XLOOKUP(A214,'Intake Responses'!$A:$A,'Intake Responses'!$AF:$AF),"")</f>
        <v/>
      </c>
      <c r="R214" s="2">
        <f>IFERROR(XLOOKUP(A214,'Intake Responses'!$A:$A,'Intake Responses'!$S:$S),"")</f>
        <v/>
      </c>
      <c r="S214" s="2" t="n"/>
      <c r="T214" s="2" t="n"/>
      <c r="U214" s="2" t="n"/>
      <c r="V214" s="2">
        <f>IFERROR(MIN(5,ROUND(((M214+O214)/2)+(IF(J214&gt;=20,2,IF(J214&gt;=10,1.5,IF(J214&gt;=5,1,IF(J214&gt;=1,0.5,0))))),1)),0)</f>
        <v/>
      </c>
      <c r="W214" s="2">
        <f>IFERROR(SWITCH(F214,"Multiple times per day",5,"Daily",4,"Weekly",3,"Monthly",2,"Quarterly",1,"Ad hoc",1,"Unknown",0),0)</f>
        <v/>
      </c>
      <c r="X214" s="2">
        <f>IFERROR(ROUND(AVERAGE(L214,N214),1),0)</f>
        <v/>
      </c>
      <c r="Y214" s="2">
        <f>IFERROR(SWITCH(U214,"High",3,"Medium",2,"Low",0,"Unknown",1,1)+IF(Q214="Yes",2,IF(Q214="Unsure",1,0)),0)</f>
        <v/>
      </c>
      <c r="Z214" s="2">
        <f>IFERROR(ROUND((V214*2)+(W214*1)+(X214*2)+(IF(T214="Easy",2,IF(T214="Medium",1,IF(T214="Hard",-1,0))))-(Y214*2),1),0)</f>
        <v/>
      </c>
      <c r="AA214" s="2">
        <f>IFERROR(IF(S214="Not a fit","Not a Fit",IF(Y214&gt;=5,"High Risk / Needs Review",IF(AND(Z214&gt;=18,T214="Easy"),"Quick Win",IF(AND(Z214&gt;=18,T214&lt;&gt;"Easy"),"Strategic Project",IF(Z214&gt;=10,"Discovery Needed","Process Issue"))))),"")</f>
        <v/>
      </c>
      <c r="AB214" s="2">
        <f>IFERROR(SWITCH(AA214,"Quick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4" s="2" t="n"/>
      <c r="AD214" s="2" t="n"/>
      <c r="AE214" s="2" t="n"/>
    </row>
    <row r="215" ht="25" customHeight="1">
      <c r="A215" s="3" t="n"/>
      <c r="B215" s="3">
        <f>IFERROR(XLOOKUP(A215,'Intake Responses'!$A:$A,'Intake Responses'!$E:$E),"")</f>
        <v/>
      </c>
      <c r="C215" s="3">
        <f>IFERROR(XLOOKUP(A215,'Intake Responses'!$A:$A,'Intake Responses'!$D:$D),"")</f>
        <v/>
      </c>
      <c r="D215" s="3">
        <f>IFERROR(XLOOKUP(A215,'Intake Responses'!$A:$A,'Intake Responses'!$F:$F),"")</f>
        <v/>
      </c>
      <c r="E215" s="3" t="n"/>
      <c r="F215" s="3">
        <f>IFERROR(XLOOKUP(A215,'Intake Responses'!$A:$A,'Intake Responses'!$M:$M),"")</f>
        <v/>
      </c>
      <c r="G215" s="3">
        <f>IFERROR(XLOOKUP(A215,'Intake Responses'!$A:$A,'Intake Responses'!$N:$N),"")</f>
        <v/>
      </c>
      <c r="H215" s="3">
        <f>IFERROR(XLOOKUP(A215,'Intake Responses'!$A:$A,'Intake Responses'!$O:$O),"")</f>
        <v/>
      </c>
      <c r="I215" s="3">
        <f>IFERROR(SWITCH(F215,"Multiple times per day",60,"Daily",20,"Weekly",4,"Monthly",1,"Quarterly",0.33,"Ad hoc",0.5,"Unknown",0),0)</f>
        <v/>
      </c>
      <c r="J215" s="3">
        <f>IFERROR((G215*H215*I215)/60,0)</f>
        <v/>
      </c>
      <c r="K215" s="3">
        <f>IFERROR(J215*12,0)</f>
        <v/>
      </c>
      <c r="L215" s="3">
        <f>IFERROR(XLOOKUP(A215,'Intake Responses'!$A:$A,'Intake Responses'!$T:$T),"")</f>
        <v/>
      </c>
      <c r="M215" s="3">
        <f>IFERROR(XLOOKUP(A215,'Intake Responses'!$A:$A,'Intake Responses'!$U:$U),"")</f>
        <v/>
      </c>
      <c r="N215" s="3">
        <f>IFERROR(XLOOKUP(A215,'Intake Responses'!$A:$A,'Intake Responses'!$V:$V),"")</f>
        <v/>
      </c>
      <c r="O215" s="3">
        <f>IFERROR(XLOOKUP(A215,'Intake Responses'!$A:$A,'Intake Responses'!$W:$W),"")</f>
        <v/>
      </c>
      <c r="P215" s="3">
        <f>IFERROR(XLOOKUP(A215,'Intake Responses'!$A:$A,'Intake Responses'!$X:$X),"")</f>
        <v/>
      </c>
      <c r="Q215" s="3">
        <f>IFERROR(XLOOKUP(A215,'Intake Responses'!$A:$A,'Intake Responses'!$AF:$AF),"")</f>
        <v/>
      </c>
      <c r="R215" s="3">
        <f>IFERROR(XLOOKUP(A215,'Intake Responses'!$A:$A,'Intake Responses'!$S:$S),"")</f>
        <v/>
      </c>
      <c r="S215" s="3" t="n"/>
      <c r="T215" s="3" t="n"/>
      <c r="U215" s="3" t="n"/>
      <c r="V215" s="3">
        <f>IFERROR(MIN(5,ROUND(((M215+O215)/2)+(IF(J215&gt;=20,2,IF(J215&gt;=10,1.5,IF(J215&gt;=5,1,IF(J215&gt;=1,0.5,0))))),1)),0)</f>
        <v/>
      </c>
      <c r="W215" s="3">
        <f>IFERROR(SWITCH(F215,"Multiple times per day",5,"Daily",4,"Weekly",3,"Monthly",2,"Quarterly",1,"Ad hoc",1,"Unknown",0),0)</f>
        <v/>
      </c>
      <c r="X215" s="3">
        <f>IFERROR(ROUND(AVERAGE(L215,N215),1),0)</f>
        <v/>
      </c>
      <c r="Y215" s="3">
        <f>IFERROR(SWITCH(U215,"High",3,"Medium",2,"Low",0,"Unknown",1,1)+IF(Q215="Yes",2,IF(Q215="Unsure",1,0)),0)</f>
        <v/>
      </c>
      <c r="Z215" s="3">
        <f>IFERROR(ROUND((V215*2)+(W215*1)+(X215*2)+(IF(T215="Easy",2,IF(T215="Medium",1,IF(T215="Hard",-1,0))))-(Y215*2),1),0)</f>
        <v/>
      </c>
      <c r="AA215" s="3">
        <f>IFERROR(IF(S215="Not a fit","Not a Fit",IF(Y215&gt;=5,"High Risk / Needs Review",IF(AND(Z215&gt;=18,T215="Easy"),"Quick Win",IF(AND(Z215&gt;=18,T215&lt;&gt;"Easy"),"Strategic Project",IF(Z215&gt;=10,"Discovery Needed","Process Issue"))))),"")</f>
        <v/>
      </c>
      <c r="AB215" s="3">
        <f>IFERROR(SWITCH(AA215,"Quick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5" s="3" t="n"/>
      <c r="AD215" s="3" t="n"/>
      <c r="AE215" s="3" t="n"/>
    </row>
    <row r="216" ht="25" customHeight="1">
      <c r="A216" s="2" t="n"/>
      <c r="B216" s="2">
        <f>IFERROR(XLOOKUP(A216,'Intake Responses'!$A:$A,'Intake Responses'!$E:$E),"")</f>
        <v/>
      </c>
      <c r="C216" s="2">
        <f>IFERROR(XLOOKUP(A216,'Intake Responses'!$A:$A,'Intake Responses'!$D:$D),"")</f>
        <v/>
      </c>
      <c r="D216" s="2">
        <f>IFERROR(XLOOKUP(A216,'Intake Responses'!$A:$A,'Intake Responses'!$F:$F),"")</f>
        <v/>
      </c>
      <c r="E216" s="2" t="n"/>
      <c r="F216" s="2">
        <f>IFERROR(XLOOKUP(A216,'Intake Responses'!$A:$A,'Intake Responses'!$M:$M),"")</f>
        <v/>
      </c>
      <c r="G216" s="2">
        <f>IFERROR(XLOOKUP(A216,'Intake Responses'!$A:$A,'Intake Responses'!$N:$N),"")</f>
        <v/>
      </c>
      <c r="H216" s="2">
        <f>IFERROR(XLOOKUP(A216,'Intake Responses'!$A:$A,'Intake Responses'!$O:$O),"")</f>
        <v/>
      </c>
      <c r="I216" s="2">
        <f>IFERROR(SWITCH(F216,"Multiple times per day",60,"Daily",20,"Weekly",4,"Monthly",1,"Quarterly",0.33,"Ad hoc",0.5,"Unknown",0),0)</f>
        <v/>
      </c>
      <c r="J216" s="2">
        <f>IFERROR((G216*H216*I216)/60,0)</f>
        <v/>
      </c>
      <c r="K216" s="2">
        <f>IFERROR(J216*12,0)</f>
        <v/>
      </c>
      <c r="L216" s="2">
        <f>IFERROR(XLOOKUP(A216,'Intake Responses'!$A:$A,'Intake Responses'!$T:$T),"")</f>
        <v/>
      </c>
      <c r="M216" s="2">
        <f>IFERROR(XLOOKUP(A216,'Intake Responses'!$A:$A,'Intake Responses'!$U:$U),"")</f>
        <v/>
      </c>
      <c r="N216" s="2">
        <f>IFERROR(XLOOKUP(A216,'Intake Responses'!$A:$A,'Intake Responses'!$V:$V),"")</f>
        <v/>
      </c>
      <c r="O216" s="2">
        <f>IFERROR(XLOOKUP(A216,'Intake Responses'!$A:$A,'Intake Responses'!$W:$W),"")</f>
        <v/>
      </c>
      <c r="P216" s="2">
        <f>IFERROR(XLOOKUP(A216,'Intake Responses'!$A:$A,'Intake Responses'!$X:$X),"")</f>
        <v/>
      </c>
      <c r="Q216" s="2">
        <f>IFERROR(XLOOKUP(A216,'Intake Responses'!$A:$A,'Intake Responses'!$AF:$AF),"")</f>
        <v/>
      </c>
      <c r="R216" s="2">
        <f>IFERROR(XLOOKUP(A216,'Intake Responses'!$A:$A,'Intake Responses'!$S:$S),"")</f>
        <v/>
      </c>
      <c r="S216" s="2" t="n"/>
      <c r="T216" s="2" t="n"/>
      <c r="U216" s="2" t="n"/>
      <c r="V216" s="2">
        <f>IFERROR(MIN(5,ROUND(((M216+O216)/2)+(IF(J216&gt;=20,2,IF(J216&gt;=10,1.5,IF(J216&gt;=5,1,IF(J216&gt;=1,0.5,0))))),1)),0)</f>
        <v/>
      </c>
      <c r="W216" s="2">
        <f>IFERROR(SWITCH(F216,"Multiple times per day",5,"Daily",4,"Weekly",3,"Monthly",2,"Quarterly",1,"Ad hoc",1,"Unknown",0),0)</f>
        <v/>
      </c>
      <c r="X216" s="2">
        <f>IFERROR(ROUND(AVERAGE(L216,N216),1),0)</f>
        <v/>
      </c>
      <c r="Y216" s="2">
        <f>IFERROR(SWITCH(U216,"High",3,"Medium",2,"Low",0,"Unknown",1,1)+IF(Q216="Yes",2,IF(Q216="Unsure",1,0)),0)</f>
        <v/>
      </c>
      <c r="Z216" s="2">
        <f>IFERROR(ROUND((V216*2)+(W216*1)+(X216*2)+(IF(T216="Easy",2,IF(T216="Medium",1,IF(T216="Hard",-1,0))))-(Y216*2),1),0)</f>
        <v/>
      </c>
      <c r="AA216" s="2">
        <f>IFERROR(IF(S216="Not a fit","Not a Fit",IF(Y216&gt;=5,"High Risk / Needs Review",IF(AND(Z216&gt;=18,T216="Easy"),"Quick Win",IF(AND(Z216&gt;=18,T216&lt;&gt;"Easy"),"Strategic Project",IF(Z216&gt;=10,"Discovery Needed","Process Issue"))))),"")</f>
        <v/>
      </c>
      <c r="AB216" s="2">
        <f>IFERROR(SWITCH(AA216,"Quick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6" s="2" t="n"/>
      <c r="AD216" s="2" t="n"/>
      <c r="AE216" s="2" t="n"/>
    </row>
    <row r="217" ht="25" customHeight="1">
      <c r="A217" s="3" t="n"/>
      <c r="B217" s="3">
        <f>IFERROR(XLOOKUP(A217,'Intake Responses'!$A:$A,'Intake Responses'!$E:$E),"")</f>
        <v/>
      </c>
      <c r="C217" s="3">
        <f>IFERROR(XLOOKUP(A217,'Intake Responses'!$A:$A,'Intake Responses'!$D:$D),"")</f>
        <v/>
      </c>
      <c r="D217" s="3">
        <f>IFERROR(XLOOKUP(A217,'Intake Responses'!$A:$A,'Intake Responses'!$F:$F),"")</f>
        <v/>
      </c>
      <c r="E217" s="3" t="n"/>
      <c r="F217" s="3">
        <f>IFERROR(XLOOKUP(A217,'Intake Responses'!$A:$A,'Intake Responses'!$M:$M),"")</f>
        <v/>
      </c>
      <c r="G217" s="3">
        <f>IFERROR(XLOOKUP(A217,'Intake Responses'!$A:$A,'Intake Responses'!$N:$N),"")</f>
        <v/>
      </c>
      <c r="H217" s="3">
        <f>IFERROR(XLOOKUP(A217,'Intake Responses'!$A:$A,'Intake Responses'!$O:$O),"")</f>
        <v/>
      </c>
      <c r="I217" s="3">
        <f>IFERROR(SWITCH(F217,"Multiple times per day",60,"Daily",20,"Weekly",4,"Monthly",1,"Quarterly",0.33,"Ad hoc",0.5,"Unknown",0),0)</f>
        <v/>
      </c>
      <c r="J217" s="3">
        <f>IFERROR((G217*H217*I217)/60,0)</f>
        <v/>
      </c>
      <c r="K217" s="3">
        <f>IFERROR(J217*12,0)</f>
        <v/>
      </c>
      <c r="L217" s="3">
        <f>IFERROR(XLOOKUP(A217,'Intake Responses'!$A:$A,'Intake Responses'!$T:$T),"")</f>
        <v/>
      </c>
      <c r="M217" s="3">
        <f>IFERROR(XLOOKUP(A217,'Intake Responses'!$A:$A,'Intake Responses'!$U:$U),"")</f>
        <v/>
      </c>
      <c r="N217" s="3">
        <f>IFERROR(XLOOKUP(A217,'Intake Responses'!$A:$A,'Intake Responses'!$V:$V),"")</f>
        <v/>
      </c>
      <c r="O217" s="3">
        <f>IFERROR(XLOOKUP(A217,'Intake Responses'!$A:$A,'Intake Responses'!$W:$W),"")</f>
        <v/>
      </c>
      <c r="P217" s="3">
        <f>IFERROR(XLOOKUP(A217,'Intake Responses'!$A:$A,'Intake Responses'!$X:$X),"")</f>
        <v/>
      </c>
      <c r="Q217" s="3">
        <f>IFERROR(XLOOKUP(A217,'Intake Responses'!$A:$A,'Intake Responses'!$AF:$AF),"")</f>
        <v/>
      </c>
      <c r="R217" s="3">
        <f>IFERROR(XLOOKUP(A217,'Intake Responses'!$A:$A,'Intake Responses'!$S:$S),"")</f>
        <v/>
      </c>
      <c r="S217" s="3" t="n"/>
      <c r="T217" s="3" t="n"/>
      <c r="U217" s="3" t="n"/>
      <c r="V217" s="3">
        <f>IFERROR(MIN(5,ROUND(((M217+O217)/2)+(IF(J217&gt;=20,2,IF(J217&gt;=10,1.5,IF(J217&gt;=5,1,IF(J217&gt;=1,0.5,0))))),1)),0)</f>
        <v/>
      </c>
      <c r="W217" s="3">
        <f>IFERROR(SWITCH(F217,"Multiple times per day",5,"Daily",4,"Weekly",3,"Monthly",2,"Quarterly",1,"Ad hoc",1,"Unknown",0),0)</f>
        <v/>
      </c>
      <c r="X217" s="3">
        <f>IFERROR(ROUND(AVERAGE(L217,N217),1),0)</f>
        <v/>
      </c>
      <c r="Y217" s="3">
        <f>IFERROR(SWITCH(U217,"High",3,"Medium",2,"Low",0,"Unknown",1,1)+IF(Q217="Yes",2,IF(Q217="Unsure",1,0)),0)</f>
        <v/>
      </c>
      <c r="Z217" s="3">
        <f>IFERROR(ROUND((V217*2)+(W217*1)+(X217*2)+(IF(T217="Easy",2,IF(T217="Medium",1,IF(T217="Hard",-1,0))))-(Y217*2),1),0)</f>
        <v/>
      </c>
      <c r="AA217" s="3">
        <f>IFERROR(IF(S217="Not a fit","Not a Fit",IF(Y217&gt;=5,"High Risk / Needs Review",IF(AND(Z217&gt;=18,T217="Easy"),"Quick Win",IF(AND(Z217&gt;=18,T217&lt;&gt;"Easy"),"Strategic Project",IF(Z217&gt;=10,"Discovery Needed","Process Issue"))))),"")</f>
        <v/>
      </c>
      <c r="AB217" s="3">
        <f>IFERROR(SWITCH(AA217,"Quick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7" s="3" t="n"/>
      <c r="AD217" s="3" t="n"/>
      <c r="AE217" s="3" t="n"/>
    </row>
    <row r="218" ht="25" customHeight="1">
      <c r="A218" s="2" t="n"/>
      <c r="B218" s="2">
        <f>IFERROR(XLOOKUP(A218,'Intake Responses'!$A:$A,'Intake Responses'!$E:$E),"")</f>
        <v/>
      </c>
      <c r="C218" s="2">
        <f>IFERROR(XLOOKUP(A218,'Intake Responses'!$A:$A,'Intake Responses'!$D:$D),"")</f>
        <v/>
      </c>
      <c r="D218" s="2">
        <f>IFERROR(XLOOKUP(A218,'Intake Responses'!$A:$A,'Intake Responses'!$F:$F),"")</f>
        <v/>
      </c>
      <c r="E218" s="2" t="n"/>
      <c r="F218" s="2">
        <f>IFERROR(XLOOKUP(A218,'Intake Responses'!$A:$A,'Intake Responses'!$M:$M),"")</f>
        <v/>
      </c>
      <c r="G218" s="2">
        <f>IFERROR(XLOOKUP(A218,'Intake Responses'!$A:$A,'Intake Responses'!$N:$N),"")</f>
        <v/>
      </c>
      <c r="H218" s="2">
        <f>IFERROR(XLOOKUP(A218,'Intake Responses'!$A:$A,'Intake Responses'!$O:$O),"")</f>
        <v/>
      </c>
      <c r="I218" s="2">
        <f>IFERROR(SWITCH(F218,"Multiple times per day",60,"Daily",20,"Weekly",4,"Monthly",1,"Quarterly",0.33,"Ad hoc",0.5,"Unknown",0),0)</f>
        <v/>
      </c>
      <c r="J218" s="2">
        <f>IFERROR((G218*H218*I218)/60,0)</f>
        <v/>
      </c>
      <c r="K218" s="2">
        <f>IFERROR(J218*12,0)</f>
        <v/>
      </c>
      <c r="L218" s="2">
        <f>IFERROR(XLOOKUP(A218,'Intake Responses'!$A:$A,'Intake Responses'!$T:$T),"")</f>
        <v/>
      </c>
      <c r="M218" s="2">
        <f>IFERROR(XLOOKUP(A218,'Intake Responses'!$A:$A,'Intake Responses'!$U:$U),"")</f>
        <v/>
      </c>
      <c r="N218" s="2">
        <f>IFERROR(XLOOKUP(A218,'Intake Responses'!$A:$A,'Intake Responses'!$V:$V),"")</f>
        <v/>
      </c>
      <c r="O218" s="2">
        <f>IFERROR(XLOOKUP(A218,'Intake Responses'!$A:$A,'Intake Responses'!$W:$W),"")</f>
        <v/>
      </c>
      <c r="P218" s="2">
        <f>IFERROR(XLOOKUP(A218,'Intake Responses'!$A:$A,'Intake Responses'!$X:$X),"")</f>
        <v/>
      </c>
      <c r="Q218" s="2">
        <f>IFERROR(XLOOKUP(A218,'Intake Responses'!$A:$A,'Intake Responses'!$AF:$AF),"")</f>
        <v/>
      </c>
      <c r="R218" s="2">
        <f>IFERROR(XLOOKUP(A218,'Intake Responses'!$A:$A,'Intake Responses'!$S:$S),"")</f>
        <v/>
      </c>
      <c r="S218" s="2" t="n"/>
      <c r="T218" s="2" t="n"/>
      <c r="U218" s="2" t="n"/>
      <c r="V218" s="2">
        <f>IFERROR(MIN(5,ROUND(((M218+O218)/2)+(IF(J218&gt;=20,2,IF(J218&gt;=10,1.5,IF(J218&gt;=5,1,IF(J218&gt;=1,0.5,0))))),1)),0)</f>
        <v/>
      </c>
      <c r="W218" s="2">
        <f>IFERROR(SWITCH(F218,"Multiple times per day",5,"Daily",4,"Weekly",3,"Monthly",2,"Quarterly",1,"Ad hoc",1,"Unknown",0),0)</f>
        <v/>
      </c>
      <c r="X218" s="2">
        <f>IFERROR(ROUND(AVERAGE(L218,N218),1),0)</f>
        <v/>
      </c>
      <c r="Y218" s="2">
        <f>IFERROR(SWITCH(U218,"High",3,"Medium",2,"Low",0,"Unknown",1,1)+IF(Q218="Yes",2,IF(Q218="Unsure",1,0)),0)</f>
        <v/>
      </c>
      <c r="Z218" s="2">
        <f>IFERROR(ROUND((V218*2)+(W218*1)+(X218*2)+(IF(T218="Easy",2,IF(T218="Medium",1,IF(T218="Hard",-1,0))))-(Y218*2),1),0)</f>
        <v/>
      </c>
      <c r="AA218" s="2">
        <f>IFERROR(IF(S218="Not a fit","Not a Fit",IF(Y218&gt;=5,"High Risk / Needs Review",IF(AND(Z218&gt;=18,T218="Easy"),"Quick Win",IF(AND(Z218&gt;=18,T218&lt;&gt;"Easy"),"Strategic Project",IF(Z218&gt;=10,"Discovery Needed","Process Issue"))))),"")</f>
        <v/>
      </c>
      <c r="AB218" s="2">
        <f>IFERROR(SWITCH(AA218,"Quick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8" s="2" t="n"/>
      <c r="AD218" s="2" t="n"/>
      <c r="AE218" s="2" t="n"/>
    </row>
    <row r="219" ht="25" customHeight="1">
      <c r="A219" s="3" t="n"/>
      <c r="B219" s="3">
        <f>IFERROR(XLOOKUP(A219,'Intake Responses'!$A:$A,'Intake Responses'!$E:$E),"")</f>
        <v/>
      </c>
      <c r="C219" s="3">
        <f>IFERROR(XLOOKUP(A219,'Intake Responses'!$A:$A,'Intake Responses'!$D:$D),"")</f>
        <v/>
      </c>
      <c r="D219" s="3">
        <f>IFERROR(XLOOKUP(A219,'Intake Responses'!$A:$A,'Intake Responses'!$F:$F),"")</f>
        <v/>
      </c>
      <c r="E219" s="3" t="n"/>
      <c r="F219" s="3">
        <f>IFERROR(XLOOKUP(A219,'Intake Responses'!$A:$A,'Intake Responses'!$M:$M),"")</f>
        <v/>
      </c>
      <c r="G219" s="3">
        <f>IFERROR(XLOOKUP(A219,'Intake Responses'!$A:$A,'Intake Responses'!$N:$N),"")</f>
        <v/>
      </c>
      <c r="H219" s="3">
        <f>IFERROR(XLOOKUP(A219,'Intake Responses'!$A:$A,'Intake Responses'!$O:$O),"")</f>
        <v/>
      </c>
      <c r="I219" s="3">
        <f>IFERROR(SWITCH(F219,"Multiple times per day",60,"Daily",20,"Weekly",4,"Monthly",1,"Quarterly",0.33,"Ad hoc",0.5,"Unknown",0),0)</f>
        <v/>
      </c>
      <c r="J219" s="3">
        <f>IFERROR((G219*H219*I219)/60,0)</f>
        <v/>
      </c>
      <c r="K219" s="3">
        <f>IFERROR(J219*12,0)</f>
        <v/>
      </c>
      <c r="L219" s="3">
        <f>IFERROR(XLOOKUP(A219,'Intake Responses'!$A:$A,'Intake Responses'!$T:$T),"")</f>
        <v/>
      </c>
      <c r="M219" s="3">
        <f>IFERROR(XLOOKUP(A219,'Intake Responses'!$A:$A,'Intake Responses'!$U:$U),"")</f>
        <v/>
      </c>
      <c r="N219" s="3">
        <f>IFERROR(XLOOKUP(A219,'Intake Responses'!$A:$A,'Intake Responses'!$V:$V),"")</f>
        <v/>
      </c>
      <c r="O219" s="3">
        <f>IFERROR(XLOOKUP(A219,'Intake Responses'!$A:$A,'Intake Responses'!$W:$W),"")</f>
        <v/>
      </c>
      <c r="P219" s="3">
        <f>IFERROR(XLOOKUP(A219,'Intake Responses'!$A:$A,'Intake Responses'!$X:$X),"")</f>
        <v/>
      </c>
      <c r="Q219" s="3">
        <f>IFERROR(XLOOKUP(A219,'Intake Responses'!$A:$A,'Intake Responses'!$AF:$AF),"")</f>
        <v/>
      </c>
      <c r="R219" s="3">
        <f>IFERROR(XLOOKUP(A219,'Intake Responses'!$A:$A,'Intake Responses'!$S:$S),"")</f>
        <v/>
      </c>
      <c r="S219" s="3" t="n"/>
      <c r="T219" s="3" t="n"/>
      <c r="U219" s="3" t="n"/>
      <c r="V219" s="3">
        <f>IFERROR(MIN(5,ROUND(((M219+O219)/2)+(IF(J219&gt;=20,2,IF(J219&gt;=10,1.5,IF(J219&gt;=5,1,IF(J219&gt;=1,0.5,0))))),1)),0)</f>
        <v/>
      </c>
      <c r="W219" s="3">
        <f>IFERROR(SWITCH(F219,"Multiple times per day",5,"Daily",4,"Weekly",3,"Monthly",2,"Quarterly",1,"Ad hoc",1,"Unknown",0),0)</f>
        <v/>
      </c>
      <c r="X219" s="3">
        <f>IFERROR(ROUND(AVERAGE(L219,N219),1),0)</f>
        <v/>
      </c>
      <c r="Y219" s="3">
        <f>IFERROR(SWITCH(U219,"High",3,"Medium",2,"Low",0,"Unknown",1,1)+IF(Q219="Yes",2,IF(Q219="Unsure",1,0)),0)</f>
        <v/>
      </c>
      <c r="Z219" s="3">
        <f>IFERROR(ROUND((V219*2)+(W219*1)+(X219*2)+(IF(T219="Easy",2,IF(T219="Medium",1,IF(T219="Hard",-1,0))))-(Y219*2),1),0)</f>
        <v/>
      </c>
      <c r="AA219" s="3">
        <f>IFERROR(IF(S219="Not a fit","Not a Fit",IF(Y219&gt;=5,"High Risk / Needs Review",IF(AND(Z219&gt;=18,T219="Easy"),"Quick Win",IF(AND(Z219&gt;=18,T219&lt;&gt;"Easy"),"Strategic Project",IF(Z219&gt;=10,"Discovery Needed","Process Issue"))))),"")</f>
        <v/>
      </c>
      <c r="AB219" s="3">
        <f>IFERROR(SWITCH(AA219,"Quick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19" s="3" t="n"/>
      <c r="AD219" s="3" t="n"/>
      <c r="AE219" s="3" t="n"/>
    </row>
    <row r="220" ht="25" customHeight="1">
      <c r="A220" s="2" t="n"/>
      <c r="B220" s="2">
        <f>IFERROR(XLOOKUP(A220,'Intake Responses'!$A:$A,'Intake Responses'!$E:$E),"")</f>
        <v/>
      </c>
      <c r="C220" s="2">
        <f>IFERROR(XLOOKUP(A220,'Intake Responses'!$A:$A,'Intake Responses'!$D:$D),"")</f>
        <v/>
      </c>
      <c r="D220" s="2">
        <f>IFERROR(XLOOKUP(A220,'Intake Responses'!$A:$A,'Intake Responses'!$F:$F),"")</f>
        <v/>
      </c>
      <c r="E220" s="2" t="n"/>
      <c r="F220" s="2">
        <f>IFERROR(XLOOKUP(A220,'Intake Responses'!$A:$A,'Intake Responses'!$M:$M),"")</f>
        <v/>
      </c>
      <c r="G220" s="2">
        <f>IFERROR(XLOOKUP(A220,'Intake Responses'!$A:$A,'Intake Responses'!$N:$N),"")</f>
        <v/>
      </c>
      <c r="H220" s="2">
        <f>IFERROR(XLOOKUP(A220,'Intake Responses'!$A:$A,'Intake Responses'!$O:$O),"")</f>
        <v/>
      </c>
      <c r="I220" s="2">
        <f>IFERROR(SWITCH(F220,"Multiple times per day",60,"Daily",20,"Weekly",4,"Monthly",1,"Quarterly",0.33,"Ad hoc",0.5,"Unknown",0),0)</f>
        <v/>
      </c>
      <c r="J220" s="2">
        <f>IFERROR((G220*H220*I220)/60,0)</f>
        <v/>
      </c>
      <c r="K220" s="2">
        <f>IFERROR(J220*12,0)</f>
        <v/>
      </c>
      <c r="L220" s="2">
        <f>IFERROR(XLOOKUP(A220,'Intake Responses'!$A:$A,'Intake Responses'!$T:$T),"")</f>
        <v/>
      </c>
      <c r="M220" s="2">
        <f>IFERROR(XLOOKUP(A220,'Intake Responses'!$A:$A,'Intake Responses'!$U:$U),"")</f>
        <v/>
      </c>
      <c r="N220" s="2">
        <f>IFERROR(XLOOKUP(A220,'Intake Responses'!$A:$A,'Intake Responses'!$V:$V),"")</f>
        <v/>
      </c>
      <c r="O220" s="2">
        <f>IFERROR(XLOOKUP(A220,'Intake Responses'!$A:$A,'Intake Responses'!$W:$W),"")</f>
        <v/>
      </c>
      <c r="P220" s="2">
        <f>IFERROR(XLOOKUP(A220,'Intake Responses'!$A:$A,'Intake Responses'!$X:$X),"")</f>
        <v/>
      </c>
      <c r="Q220" s="2">
        <f>IFERROR(XLOOKUP(A220,'Intake Responses'!$A:$A,'Intake Responses'!$AF:$AF),"")</f>
        <v/>
      </c>
      <c r="R220" s="2">
        <f>IFERROR(XLOOKUP(A220,'Intake Responses'!$A:$A,'Intake Responses'!$S:$S),"")</f>
        <v/>
      </c>
      <c r="S220" s="2" t="n"/>
      <c r="T220" s="2" t="n"/>
      <c r="U220" s="2" t="n"/>
      <c r="V220" s="2">
        <f>IFERROR(MIN(5,ROUND(((M220+O220)/2)+(IF(J220&gt;=20,2,IF(J220&gt;=10,1.5,IF(J220&gt;=5,1,IF(J220&gt;=1,0.5,0))))),1)),0)</f>
        <v/>
      </c>
      <c r="W220" s="2">
        <f>IFERROR(SWITCH(F220,"Multiple times per day",5,"Daily",4,"Weekly",3,"Monthly",2,"Quarterly",1,"Ad hoc",1,"Unknown",0),0)</f>
        <v/>
      </c>
      <c r="X220" s="2">
        <f>IFERROR(ROUND(AVERAGE(L220,N220),1),0)</f>
        <v/>
      </c>
      <c r="Y220" s="2">
        <f>IFERROR(SWITCH(U220,"High",3,"Medium",2,"Low",0,"Unknown",1,1)+IF(Q220="Yes",2,IF(Q220="Unsure",1,0)),0)</f>
        <v/>
      </c>
      <c r="Z220" s="2">
        <f>IFERROR(ROUND((V220*2)+(W220*1)+(X220*2)+(IF(T220="Easy",2,IF(T220="Medium",1,IF(T220="Hard",-1,0))))-(Y220*2),1),0)</f>
        <v/>
      </c>
      <c r="AA220" s="2">
        <f>IFERROR(IF(S220="Not a fit","Not a Fit",IF(Y220&gt;=5,"High Risk / Needs Review",IF(AND(Z220&gt;=18,T220="Easy"),"Quick Win",IF(AND(Z220&gt;=18,T220&lt;&gt;"Easy"),"Strategic Project",IF(Z220&gt;=10,"Discovery Needed","Process Issue"))))),"")</f>
        <v/>
      </c>
      <c r="AB220" s="2">
        <f>IFERROR(SWITCH(AA220,"Quick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0" s="2" t="n"/>
      <c r="AD220" s="2" t="n"/>
      <c r="AE220" s="2" t="n"/>
    </row>
    <row r="221" ht="25" customHeight="1">
      <c r="A221" s="3" t="n"/>
      <c r="B221" s="3">
        <f>IFERROR(XLOOKUP(A221,'Intake Responses'!$A:$A,'Intake Responses'!$E:$E),"")</f>
        <v/>
      </c>
      <c r="C221" s="3">
        <f>IFERROR(XLOOKUP(A221,'Intake Responses'!$A:$A,'Intake Responses'!$D:$D),"")</f>
        <v/>
      </c>
      <c r="D221" s="3">
        <f>IFERROR(XLOOKUP(A221,'Intake Responses'!$A:$A,'Intake Responses'!$F:$F),"")</f>
        <v/>
      </c>
      <c r="E221" s="3" t="n"/>
      <c r="F221" s="3">
        <f>IFERROR(XLOOKUP(A221,'Intake Responses'!$A:$A,'Intake Responses'!$M:$M),"")</f>
        <v/>
      </c>
      <c r="G221" s="3">
        <f>IFERROR(XLOOKUP(A221,'Intake Responses'!$A:$A,'Intake Responses'!$N:$N),"")</f>
        <v/>
      </c>
      <c r="H221" s="3">
        <f>IFERROR(XLOOKUP(A221,'Intake Responses'!$A:$A,'Intake Responses'!$O:$O),"")</f>
        <v/>
      </c>
      <c r="I221" s="3">
        <f>IFERROR(SWITCH(F221,"Multiple times per day",60,"Daily",20,"Weekly",4,"Monthly",1,"Quarterly",0.33,"Ad hoc",0.5,"Unknown",0),0)</f>
        <v/>
      </c>
      <c r="J221" s="3">
        <f>IFERROR((G221*H221*I221)/60,0)</f>
        <v/>
      </c>
      <c r="K221" s="3">
        <f>IFERROR(J221*12,0)</f>
        <v/>
      </c>
      <c r="L221" s="3">
        <f>IFERROR(XLOOKUP(A221,'Intake Responses'!$A:$A,'Intake Responses'!$T:$T),"")</f>
        <v/>
      </c>
      <c r="M221" s="3">
        <f>IFERROR(XLOOKUP(A221,'Intake Responses'!$A:$A,'Intake Responses'!$U:$U),"")</f>
        <v/>
      </c>
      <c r="N221" s="3">
        <f>IFERROR(XLOOKUP(A221,'Intake Responses'!$A:$A,'Intake Responses'!$V:$V),"")</f>
        <v/>
      </c>
      <c r="O221" s="3">
        <f>IFERROR(XLOOKUP(A221,'Intake Responses'!$A:$A,'Intake Responses'!$W:$W),"")</f>
        <v/>
      </c>
      <c r="P221" s="3">
        <f>IFERROR(XLOOKUP(A221,'Intake Responses'!$A:$A,'Intake Responses'!$X:$X),"")</f>
        <v/>
      </c>
      <c r="Q221" s="3">
        <f>IFERROR(XLOOKUP(A221,'Intake Responses'!$A:$A,'Intake Responses'!$AF:$AF),"")</f>
        <v/>
      </c>
      <c r="R221" s="3">
        <f>IFERROR(XLOOKUP(A221,'Intake Responses'!$A:$A,'Intake Responses'!$S:$S),"")</f>
        <v/>
      </c>
      <c r="S221" s="3" t="n"/>
      <c r="T221" s="3" t="n"/>
      <c r="U221" s="3" t="n"/>
      <c r="V221" s="3">
        <f>IFERROR(MIN(5,ROUND(((M221+O221)/2)+(IF(J221&gt;=20,2,IF(J221&gt;=10,1.5,IF(J221&gt;=5,1,IF(J221&gt;=1,0.5,0))))),1)),0)</f>
        <v/>
      </c>
      <c r="W221" s="3">
        <f>IFERROR(SWITCH(F221,"Multiple times per day",5,"Daily",4,"Weekly",3,"Monthly",2,"Quarterly",1,"Ad hoc",1,"Unknown",0),0)</f>
        <v/>
      </c>
      <c r="X221" s="3">
        <f>IFERROR(ROUND(AVERAGE(L221,N221),1),0)</f>
        <v/>
      </c>
      <c r="Y221" s="3">
        <f>IFERROR(SWITCH(U221,"High",3,"Medium",2,"Low",0,"Unknown",1,1)+IF(Q221="Yes",2,IF(Q221="Unsure",1,0)),0)</f>
        <v/>
      </c>
      <c r="Z221" s="3">
        <f>IFERROR(ROUND((V221*2)+(W221*1)+(X221*2)+(IF(T221="Easy",2,IF(T221="Medium",1,IF(T221="Hard",-1,0))))-(Y221*2),1),0)</f>
        <v/>
      </c>
      <c r="AA221" s="3">
        <f>IFERROR(IF(S221="Not a fit","Not a Fit",IF(Y221&gt;=5,"High Risk / Needs Review",IF(AND(Z221&gt;=18,T221="Easy"),"Quick Win",IF(AND(Z221&gt;=18,T221&lt;&gt;"Easy"),"Strategic Project",IF(Z221&gt;=10,"Discovery Needed","Process Issue"))))),"")</f>
        <v/>
      </c>
      <c r="AB221" s="3">
        <f>IFERROR(SWITCH(AA221,"Quick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1" s="3" t="n"/>
      <c r="AD221" s="3" t="n"/>
      <c r="AE221" s="3" t="n"/>
    </row>
    <row r="222" ht="25" customHeight="1">
      <c r="A222" s="2" t="n"/>
      <c r="B222" s="2">
        <f>IFERROR(XLOOKUP(A222,'Intake Responses'!$A:$A,'Intake Responses'!$E:$E),"")</f>
        <v/>
      </c>
      <c r="C222" s="2">
        <f>IFERROR(XLOOKUP(A222,'Intake Responses'!$A:$A,'Intake Responses'!$D:$D),"")</f>
        <v/>
      </c>
      <c r="D222" s="2">
        <f>IFERROR(XLOOKUP(A222,'Intake Responses'!$A:$A,'Intake Responses'!$F:$F),"")</f>
        <v/>
      </c>
      <c r="E222" s="2" t="n"/>
      <c r="F222" s="2">
        <f>IFERROR(XLOOKUP(A222,'Intake Responses'!$A:$A,'Intake Responses'!$M:$M),"")</f>
        <v/>
      </c>
      <c r="G222" s="2">
        <f>IFERROR(XLOOKUP(A222,'Intake Responses'!$A:$A,'Intake Responses'!$N:$N),"")</f>
        <v/>
      </c>
      <c r="H222" s="2">
        <f>IFERROR(XLOOKUP(A222,'Intake Responses'!$A:$A,'Intake Responses'!$O:$O),"")</f>
        <v/>
      </c>
      <c r="I222" s="2">
        <f>IFERROR(SWITCH(F222,"Multiple times per day",60,"Daily",20,"Weekly",4,"Monthly",1,"Quarterly",0.33,"Ad hoc",0.5,"Unknown",0),0)</f>
        <v/>
      </c>
      <c r="J222" s="2">
        <f>IFERROR((G222*H222*I222)/60,0)</f>
        <v/>
      </c>
      <c r="K222" s="2">
        <f>IFERROR(J222*12,0)</f>
        <v/>
      </c>
      <c r="L222" s="2">
        <f>IFERROR(XLOOKUP(A222,'Intake Responses'!$A:$A,'Intake Responses'!$T:$T),"")</f>
        <v/>
      </c>
      <c r="M222" s="2">
        <f>IFERROR(XLOOKUP(A222,'Intake Responses'!$A:$A,'Intake Responses'!$U:$U),"")</f>
        <v/>
      </c>
      <c r="N222" s="2">
        <f>IFERROR(XLOOKUP(A222,'Intake Responses'!$A:$A,'Intake Responses'!$V:$V),"")</f>
        <v/>
      </c>
      <c r="O222" s="2">
        <f>IFERROR(XLOOKUP(A222,'Intake Responses'!$A:$A,'Intake Responses'!$W:$W),"")</f>
        <v/>
      </c>
      <c r="P222" s="2">
        <f>IFERROR(XLOOKUP(A222,'Intake Responses'!$A:$A,'Intake Responses'!$X:$X),"")</f>
        <v/>
      </c>
      <c r="Q222" s="2">
        <f>IFERROR(XLOOKUP(A222,'Intake Responses'!$A:$A,'Intake Responses'!$AF:$AF),"")</f>
        <v/>
      </c>
      <c r="R222" s="2">
        <f>IFERROR(XLOOKUP(A222,'Intake Responses'!$A:$A,'Intake Responses'!$S:$S),"")</f>
        <v/>
      </c>
      <c r="S222" s="2" t="n"/>
      <c r="T222" s="2" t="n"/>
      <c r="U222" s="2" t="n"/>
      <c r="V222" s="2">
        <f>IFERROR(MIN(5,ROUND(((M222+O222)/2)+(IF(J222&gt;=20,2,IF(J222&gt;=10,1.5,IF(J222&gt;=5,1,IF(J222&gt;=1,0.5,0))))),1)),0)</f>
        <v/>
      </c>
      <c r="W222" s="2">
        <f>IFERROR(SWITCH(F222,"Multiple times per day",5,"Daily",4,"Weekly",3,"Monthly",2,"Quarterly",1,"Ad hoc",1,"Unknown",0),0)</f>
        <v/>
      </c>
      <c r="X222" s="2">
        <f>IFERROR(ROUND(AVERAGE(L222,N222),1),0)</f>
        <v/>
      </c>
      <c r="Y222" s="2">
        <f>IFERROR(SWITCH(U222,"High",3,"Medium",2,"Low",0,"Unknown",1,1)+IF(Q222="Yes",2,IF(Q222="Unsure",1,0)),0)</f>
        <v/>
      </c>
      <c r="Z222" s="2">
        <f>IFERROR(ROUND((V222*2)+(W222*1)+(X222*2)+(IF(T222="Easy",2,IF(T222="Medium",1,IF(T222="Hard",-1,0))))-(Y222*2),1),0)</f>
        <v/>
      </c>
      <c r="AA222" s="2">
        <f>IFERROR(IF(S222="Not a fit","Not a Fit",IF(Y222&gt;=5,"High Risk / Needs Review",IF(AND(Z222&gt;=18,T222="Easy"),"Quick Win",IF(AND(Z222&gt;=18,T222&lt;&gt;"Easy"),"Strategic Project",IF(Z222&gt;=10,"Discovery Needed","Process Issue"))))),"")</f>
        <v/>
      </c>
      <c r="AB222" s="2">
        <f>IFERROR(SWITCH(AA222,"Quick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2" s="2" t="n"/>
      <c r="AD222" s="2" t="n"/>
      <c r="AE222" s="2" t="n"/>
    </row>
    <row r="223" ht="25" customHeight="1">
      <c r="A223" s="3" t="n"/>
      <c r="B223" s="3">
        <f>IFERROR(XLOOKUP(A223,'Intake Responses'!$A:$A,'Intake Responses'!$E:$E),"")</f>
        <v/>
      </c>
      <c r="C223" s="3">
        <f>IFERROR(XLOOKUP(A223,'Intake Responses'!$A:$A,'Intake Responses'!$D:$D),"")</f>
        <v/>
      </c>
      <c r="D223" s="3">
        <f>IFERROR(XLOOKUP(A223,'Intake Responses'!$A:$A,'Intake Responses'!$F:$F),"")</f>
        <v/>
      </c>
      <c r="E223" s="3" t="n"/>
      <c r="F223" s="3">
        <f>IFERROR(XLOOKUP(A223,'Intake Responses'!$A:$A,'Intake Responses'!$M:$M),"")</f>
        <v/>
      </c>
      <c r="G223" s="3">
        <f>IFERROR(XLOOKUP(A223,'Intake Responses'!$A:$A,'Intake Responses'!$N:$N),"")</f>
        <v/>
      </c>
      <c r="H223" s="3">
        <f>IFERROR(XLOOKUP(A223,'Intake Responses'!$A:$A,'Intake Responses'!$O:$O),"")</f>
        <v/>
      </c>
      <c r="I223" s="3">
        <f>IFERROR(SWITCH(F223,"Multiple times per day",60,"Daily",20,"Weekly",4,"Monthly",1,"Quarterly",0.33,"Ad hoc",0.5,"Unknown",0),0)</f>
        <v/>
      </c>
      <c r="J223" s="3">
        <f>IFERROR((G223*H223*I223)/60,0)</f>
        <v/>
      </c>
      <c r="K223" s="3">
        <f>IFERROR(J223*12,0)</f>
        <v/>
      </c>
      <c r="L223" s="3">
        <f>IFERROR(XLOOKUP(A223,'Intake Responses'!$A:$A,'Intake Responses'!$T:$T),"")</f>
        <v/>
      </c>
      <c r="M223" s="3">
        <f>IFERROR(XLOOKUP(A223,'Intake Responses'!$A:$A,'Intake Responses'!$U:$U),"")</f>
        <v/>
      </c>
      <c r="N223" s="3">
        <f>IFERROR(XLOOKUP(A223,'Intake Responses'!$A:$A,'Intake Responses'!$V:$V),"")</f>
        <v/>
      </c>
      <c r="O223" s="3">
        <f>IFERROR(XLOOKUP(A223,'Intake Responses'!$A:$A,'Intake Responses'!$W:$W),"")</f>
        <v/>
      </c>
      <c r="P223" s="3">
        <f>IFERROR(XLOOKUP(A223,'Intake Responses'!$A:$A,'Intake Responses'!$X:$X),"")</f>
        <v/>
      </c>
      <c r="Q223" s="3">
        <f>IFERROR(XLOOKUP(A223,'Intake Responses'!$A:$A,'Intake Responses'!$AF:$AF),"")</f>
        <v/>
      </c>
      <c r="R223" s="3">
        <f>IFERROR(XLOOKUP(A223,'Intake Responses'!$A:$A,'Intake Responses'!$S:$S),"")</f>
        <v/>
      </c>
      <c r="S223" s="3" t="n"/>
      <c r="T223" s="3" t="n"/>
      <c r="U223" s="3" t="n"/>
      <c r="V223" s="3">
        <f>IFERROR(MIN(5,ROUND(((M223+O223)/2)+(IF(J223&gt;=20,2,IF(J223&gt;=10,1.5,IF(J223&gt;=5,1,IF(J223&gt;=1,0.5,0))))),1)),0)</f>
        <v/>
      </c>
      <c r="W223" s="3">
        <f>IFERROR(SWITCH(F223,"Multiple times per day",5,"Daily",4,"Weekly",3,"Monthly",2,"Quarterly",1,"Ad hoc",1,"Unknown",0),0)</f>
        <v/>
      </c>
      <c r="X223" s="3">
        <f>IFERROR(ROUND(AVERAGE(L223,N223),1),0)</f>
        <v/>
      </c>
      <c r="Y223" s="3">
        <f>IFERROR(SWITCH(U223,"High",3,"Medium",2,"Low",0,"Unknown",1,1)+IF(Q223="Yes",2,IF(Q223="Unsure",1,0)),0)</f>
        <v/>
      </c>
      <c r="Z223" s="3">
        <f>IFERROR(ROUND((V223*2)+(W223*1)+(X223*2)+(IF(T223="Easy",2,IF(T223="Medium",1,IF(T223="Hard",-1,0))))-(Y223*2),1),0)</f>
        <v/>
      </c>
      <c r="AA223" s="3">
        <f>IFERROR(IF(S223="Not a fit","Not a Fit",IF(Y223&gt;=5,"High Risk / Needs Review",IF(AND(Z223&gt;=18,T223="Easy"),"Quick Win",IF(AND(Z223&gt;=18,T223&lt;&gt;"Easy"),"Strategic Project",IF(Z223&gt;=10,"Discovery Needed","Process Issue"))))),"")</f>
        <v/>
      </c>
      <c r="AB223" s="3">
        <f>IFERROR(SWITCH(AA223,"Quick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3" s="3" t="n"/>
      <c r="AD223" s="3" t="n"/>
      <c r="AE223" s="3" t="n"/>
    </row>
    <row r="224" ht="25" customHeight="1">
      <c r="A224" s="2" t="n"/>
      <c r="B224" s="2">
        <f>IFERROR(XLOOKUP(A224,'Intake Responses'!$A:$A,'Intake Responses'!$E:$E),"")</f>
        <v/>
      </c>
      <c r="C224" s="2">
        <f>IFERROR(XLOOKUP(A224,'Intake Responses'!$A:$A,'Intake Responses'!$D:$D),"")</f>
        <v/>
      </c>
      <c r="D224" s="2">
        <f>IFERROR(XLOOKUP(A224,'Intake Responses'!$A:$A,'Intake Responses'!$F:$F),"")</f>
        <v/>
      </c>
      <c r="E224" s="2" t="n"/>
      <c r="F224" s="2">
        <f>IFERROR(XLOOKUP(A224,'Intake Responses'!$A:$A,'Intake Responses'!$M:$M),"")</f>
        <v/>
      </c>
      <c r="G224" s="2">
        <f>IFERROR(XLOOKUP(A224,'Intake Responses'!$A:$A,'Intake Responses'!$N:$N),"")</f>
        <v/>
      </c>
      <c r="H224" s="2">
        <f>IFERROR(XLOOKUP(A224,'Intake Responses'!$A:$A,'Intake Responses'!$O:$O),"")</f>
        <v/>
      </c>
      <c r="I224" s="2">
        <f>IFERROR(SWITCH(F224,"Multiple times per day",60,"Daily",20,"Weekly",4,"Monthly",1,"Quarterly",0.33,"Ad hoc",0.5,"Unknown",0),0)</f>
        <v/>
      </c>
      <c r="J224" s="2">
        <f>IFERROR((G224*H224*I224)/60,0)</f>
        <v/>
      </c>
      <c r="K224" s="2">
        <f>IFERROR(J224*12,0)</f>
        <v/>
      </c>
      <c r="L224" s="2">
        <f>IFERROR(XLOOKUP(A224,'Intake Responses'!$A:$A,'Intake Responses'!$T:$T),"")</f>
        <v/>
      </c>
      <c r="M224" s="2">
        <f>IFERROR(XLOOKUP(A224,'Intake Responses'!$A:$A,'Intake Responses'!$U:$U),"")</f>
        <v/>
      </c>
      <c r="N224" s="2">
        <f>IFERROR(XLOOKUP(A224,'Intake Responses'!$A:$A,'Intake Responses'!$V:$V),"")</f>
        <v/>
      </c>
      <c r="O224" s="2">
        <f>IFERROR(XLOOKUP(A224,'Intake Responses'!$A:$A,'Intake Responses'!$W:$W),"")</f>
        <v/>
      </c>
      <c r="P224" s="2">
        <f>IFERROR(XLOOKUP(A224,'Intake Responses'!$A:$A,'Intake Responses'!$X:$X),"")</f>
        <v/>
      </c>
      <c r="Q224" s="2">
        <f>IFERROR(XLOOKUP(A224,'Intake Responses'!$A:$A,'Intake Responses'!$AF:$AF),"")</f>
        <v/>
      </c>
      <c r="R224" s="2">
        <f>IFERROR(XLOOKUP(A224,'Intake Responses'!$A:$A,'Intake Responses'!$S:$S),"")</f>
        <v/>
      </c>
      <c r="S224" s="2" t="n"/>
      <c r="T224" s="2" t="n"/>
      <c r="U224" s="2" t="n"/>
      <c r="V224" s="2">
        <f>IFERROR(MIN(5,ROUND(((M224+O224)/2)+(IF(J224&gt;=20,2,IF(J224&gt;=10,1.5,IF(J224&gt;=5,1,IF(J224&gt;=1,0.5,0))))),1)),0)</f>
        <v/>
      </c>
      <c r="W224" s="2">
        <f>IFERROR(SWITCH(F224,"Multiple times per day",5,"Daily",4,"Weekly",3,"Monthly",2,"Quarterly",1,"Ad hoc",1,"Unknown",0),0)</f>
        <v/>
      </c>
      <c r="X224" s="2">
        <f>IFERROR(ROUND(AVERAGE(L224,N224),1),0)</f>
        <v/>
      </c>
      <c r="Y224" s="2">
        <f>IFERROR(SWITCH(U224,"High",3,"Medium",2,"Low",0,"Unknown",1,1)+IF(Q224="Yes",2,IF(Q224="Unsure",1,0)),0)</f>
        <v/>
      </c>
      <c r="Z224" s="2">
        <f>IFERROR(ROUND((V224*2)+(W224*1)+(X224*2)+(IF(T224="Easy",2,IF(T224="Medium",1,IF(T224="Hard",-1,0))))-(Y224*2),1),0)</f>
        <v/>
      </c>
      <c r="AA224" s="2">
        <f>IFERROR(IF(S224="Not a fit","Not a Fit",IF(Y224&gt;=5,"High Risk / Needs Review",IF(AND(Z224&gt;=18,T224="Easy"),"Quick Win",IF(AND(Z224&gt;=18,T224&lt;&gt;"Easy"),"Strategic Project",IF(Z224&gt;=10,"Discovery Needed","Process Issue"))))),"")</f>
        <v/>
      </c>
      <c r="AB224" s="2">
        <f>IFERROR(SWITCH(AA224,"Quick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4" s="2" t="n"/>
      <c r="AD224" s="2" t="n"/>
      <c r="AE224" s="2" t="n"/>
    </row>
    <row r="225" ht="25" customHeight="1">
      <c r="A225" s="3" t="n"/>
      <c r="B225" s="3">
        <f>IFERROR(XLOOKUP(A225,'Intake Responses'!$A:$A,'Intake Responses'!$E:$E),"")</f>
        <v/>
      </c>
      <c r="C225" s="3">
        <f>IFERROR(XLOOKUP(A225,'Intake Responses'!$A:$A,'Intake Responses'!$D:$D),"")</f>
        <v/>
      </c>
      <c r="D225" s="3">
        <f>IFERROR(XLOOKUP(A225,'Intake Responses'!$A:$A,'Intake Responses'!$F:$F),"")</f>
        <v/>
      </c>
      <c r="E225" s="3" t="n"/>
      <c r="F225" s="3">
        <f>IFERROR(XLOOKUP(A225,'Intake Responses'!$A:$A,'Intake Responses'!$M:$M),"")</f>
        <v/>
      </c>
      <c r="G225" s="3">
        <f>IFERROR(XLOOKUP(A225,'Intake Responses'!$A:$A,'Intake Responses'!$N:$N),"")</f>
        <v/>
      </c>
      <c r="H225" s="3">
        <f>IFERROR(XLOOKUP(A225,'Intake Responses'!$A:$A,'Intake Responses'!$O:$O),"")</f>
        <v/>
      </c>
      <c r="I225" s="3">
        <f>IFERROR(SWITCH(F225,"Multiple times per day",60,"Daily",20,"Weekly",4,"Monthly",1,"Quarterly",0.33,"Ad hoc",0.5,"Unknown",0),0)</f>
        <v/>
      </c>
      <c r="J225" s="3">
        <f>IFERROR((G225*H225*I225)/60,0)</f>
        <v/>
      </c>
      <c r="K225" s="3">
        <f>IFERROR(J225*12,0)</f>
        <v/>
      </c>
      <c r="L225" s="3">
        <f>IFERROR(XLOOKUP(A225,'Intake Responses'!$A:$A,'Intake Responses'!$T:$T),"")</f>
        <v/>
      </c>
      <c r="M225" s="3">
        <f>IFERROR(XLOOKUP(A225,'Intake Responses'!$A:$A,'Intake Responses'!$U:$U),"")</f>
        <v/>
      </c>
      <c r="N225" s="3">
        <f>IFERROR(XLOOKUP(A225,'Intake Responses'!$A:$A,'Intake Responses'!$V:$V),"")</f>
        <v/>
      </c>
      <c r="O225" s="3">
        <f>IFERROR(XLOOKUP(A225,'Intake Responses'!$A:$A,'Intake Responses'!$W:$W),"")</f>
        <v/>
      </c>
      <c r="P225" s="3">
        <f>IFERROR(XLOOKUP(A225,'Intake Responses'!$A:$A,'Intake Responses'!$X:$X),"")</f>
        <v/>
      </c>
      <c r="Q225" s="3">
        <f>IFERROR(XLOOKUP(A225,'Intake Responses'!$A:$A,'Intake Responses'!$AF:$AF),"")</f>
        <v/>
      </c>
      <c r="R225" s="3">
        <f>IFERROR(XLOOKUP(A225,'Intake Responses'!$A:$A,'Intake Responses'!$S:$S),"")</f>
        <v/>
      </c>
      <c r="S225" s="3" t="n"/>
      <c r="T225" s="3" t="n"/>
      <c r="U225" s="3" t="n"/>
      <c r="V225" s="3">
        <f>IFERROR(MIN(5,ROUND(((M225+O225)/2)+(IF(J225&gt;=20,2,IF(J225&gt;=10,1.5,IF(J225&gt;=5,1,IF(J225&gt;=1,0.5,0))))),1)),0)</f>
        <v/>
      </c>
      <c r="W225" s="3">
        <f>IFERROR(SWITCH(F225,"Multiple times per day",5,"Daily",4,"Weekly",3,"Monthly",2,"Quarterly",1,"Ad hoc",1,"Unknown",0),0)</f>
        <v/>
      </c>
      <c r="X225" s="3">
        <f>IFERROR(ROUND(AVERAGE(L225,N225),1),0)</f>
        <v/>
      </c>
      <c r="Y225" s="3">
        <f>IFERROR(SWITCH(U225,"High",3,"Medium",2,"Low",0,"Unknown",1,1)+IF(Q225="Yes",2,IF(Q225="Unsure",1,0)),0)</f>
        <v/>
      </c>
      <c r="Z225" s="3">
        <f>IFERROR(ROUND((V225*2)+(W225*1)+(X225*2)+(IF(T225="Easy",2,IF(T225="Medium",1,IF(T225="Hard",-1,0))))-(Y225*2),1),0)</f>
        <v/>
      </c>
      <c r="AA225" s="3">
        <f>IFERROR(IF(S225="Not a fit","Not a Fit",IF(Y225&gt;=5,"High Risk / Needs Review",IF(AND(Z225&gt;=18,T225="Easy"),"Quick Win",IF(AND(Z225&gt;=18,T225&lt;&gt;"Easy"),"Strategic Project",IF(Z225&gt;=10,"Discovery Needed","Process Issue"))))),"")</f>
        <v/>
      </c>
      <c r="AB225" s="3">
        <f>IFERROR(SWITCH(AA225,"Quick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5" s="3" t="n"/>
      <c r="AD225" s="3" t="n"/>
      <c r="AE225" s="3" t="n"/>
    </row>
    <row r="226" ht="25" customHeight="1">
      <c r="A226" s="2" t="n"/>
      <c r="B226" s="2">
        <f>IFERROR(XLOOKUP(A226,'Intake Responses'!$A:$A,'Intake Responses'!$E:$E),"")</f>
        <v/>
      </c>
      <c r="C226" s="2">
        <f>IFERROR(XLOOKUP(A226,'Intake Responses'!$A:$A,'Intake Responses'!$D:$D),"")</f>
        <v/>
      </c>
      <c r="D226" s="2">
        <f>IFERROR(XLOOKUP(A226,'Intake Responses'!$A:$A,'Intake Responses'!$F:$F),"")</f>
        <v/>
      </c>
      <c r="E226" s="2" t="n"/>
      <c r="F226" s="2">
        <f>IFERROR(XLOOKUP(A226,'Intake Responses'!$A:$A,'Intake Responses'!$M:$M),"")</f>
        <v/>
      </c>
      <c r="G226" s="2">
        <f>IFERROR(XLOOKUP(A226,'Intake Responses'!$A:$A,'Intake Responses'!$N:$N),"")</f>
        <v/>
      </c>
      <c r="H226" s="2">
        <f>IFERROR(XLOOKUP(A226,'Intake Responses'!$A:$A,'Intake Responses'!$O:$O),"")</f>
        <v/>
      </c>
      <c r="I226" s="2">
        <f>IFERROR(SWITCH(F226,"Multiple times per day",60,"Daily",20,"Weekly",4,"Monthly",1,"Quarterly",0.33,"Ad hoc",0.5,"Unknown",0),0)</f>
        <v/>
      </c>
      <c r="J226" s="2">
        <f>IFERROR((G226*H226*I226)/60,0)</f>
        <v/>
      </c>
      <c r="K226" s="2">
        <f>IFERROR(J226*12,0)</f>
        <v/>
      </c>
      <c r="L226" s="2">
        <f>IFERROR(XLOOKUP(A226,'Intake Responses'!$A:$A,'Intake Responses'!$T:$T),"")</f>
        <v/>
      </c>
      <c r="M226" s="2">
        <f>IFERROR(XLOOKUP(A226,'Intake Responses'!$A:$A,'Intake Responses'!$U:$U),"")</f>
        <v/>
      </c>
      <c r="N226" s="2">
        <f>IFERROR(XLOOKUP(A226,'Intake Responses'!$A:$A,'Intake Responses'!$V:$V),"")</f>
        <v/>
      </c>
      <c r="O226" s="2">
        <f>IFERROR(XLOOKUP(A226,'Intake Responses'!$A:$A,'Intake Responses'!$W:$W),"")</f>
        <v/>
      </c>
      <c r="P226" s="2">
        <f>IFERROR(XLOOKUP(A226,'Intake Responses'!$A:$A,'Intake Responses'!$X:$X),"")</f>
        <v/>
      </c>
      <c r="Q226" s="2">
        <f>IFERROR(XLOOKUP(A226,'Intake Responses'!$A:$A,'Intake Responses'!$AF:$AF),"")</f>
        <v/>
      </c>
      <c r="R226" s="2">
        <f>IFERROR(XLOOKUP(A226,'Intake Responses'!$A:$A,'Intake Responses'!$S:$S),"")</f>
        <v/>
      </c>
      <c r="S226" s="2" t="n"/>
      <c r="T226" s="2" t="n"/>
      <c r="U226" s="2" t="n"/>
      <c r="V226" s="2">
        <f>IFERROR(MIN(5,ROUND(((M226+O226)/2)+(IF(J226&gt;=20,2,IF(J226&gt;=10,1.5,IF(J226&gt;=5,1,IF(J226&gt;=1,0.5,0))))),1)),0)</f>
        <v/>
      </c>
      <c r="W226" s="2">
        <f>IFERROR(SWITCH(F226,"Multiple times per day",5,"Daily",4,"Weekly",3,"Monthly",2,"Quarterly",1,"Ad hoc",1,"Unknown",0),0)</f>
        <v/>
      </c>
      <c r="X226" s="2">
        <f>IFERROR(ROUND(AVERAGE(L226,N226),1),0)</f>
        <v/>
      </c>
      <c r="Y226" s="2">
        <f>IFERROR(SWITCH(U226,"High",3,"Medium",2,"Low",0,"Unknown",1,1)+IF(Q226="Yes",2,IF(Q226="Unsure",1,0)),0)</f>
        <v/>
      </c>
      <c r="Z226" s="2">
        <f>IFERROR(ROUND((V226*2)+(W226*1)+(X226*2)+(IF(T226="Easy",2,IF(T226="Medium",1,IF(T226="Hard",-1,0))))-(Y226*2),1),0)</f>
        <v/>
      </c>
      <c r="AA226" s="2">
        <f>IFERROR(IF(S226="Not a fit","Not a Fit",IF(Y226&gt;=5,"High Risk / Needs Review",IF(AND(Z226&gt;=18,T226="Easy"),"Quick Win",IF(AND(Z226&gt;=18,T226&lt;&gt;"Easy"),"Strategic Project",IF(Z226&gt;=10,"Discovery Needed","Process Issue"))))),"")</f>
        <v/>
      </c>
      <c r="AB226" s="2">
        <f>IFERROR(SWITCH(AA226,"Quick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6" s="2" t="n"/>
      <c r="AD226" s="2" t="n"/>
      <c r="AE226" s="2" t="n"/>
    </row>
    <row r="227" ht="25" customHeight="1">
      <c r="A227" s="3" t="n"/>
      <c r="B227" s="3">
        <f>IFERROR(XLOOKUP(A227,'Intake Responses'!$A:$A,'Intake Responses'!$E:$E),"")</f>
        <v/>
      </c>
      <c r="C227" s="3">
        <f>IFERROR(XLOOKUP(A227,'Intake Responses'!$A:$A,'Intake Responses'!$D:$D),"")</f>
        <v/>
      </c>
      <c r="D227" s="3">
        <f>IFERROR(XLOOKUP(A227,'Intake Responses'!$A:$A,'Intake Responses'!$F:$F),"")</f>
        <v/>
      </c>
      <c r="E227" s="3" t="n"/>
      <c r="F227" s="3">
        <f>IFERROR(XLOOKUP(A227,'Intake Responses'!$A:$A,'Intake Responses'!$M:$M),"")</f>
        <v/>
      </c>
      <c r="G227" s="3">
        <f>IFERROR(XLOOKUP(A227,'Intake Responses'!$A:$A,'Intake Responses'!$N:$N),"")</f>
        <v/>
      </c>
      <c r="H227" s="3">
        <f>IFERROR(XLOOKUP(A227,'Intake Responses'!$A:$A,'Intake Responses'!$O:$O),"")</f>
        <v/>
      </c>
      <c r="I227" s="3">
        <f>IFERROR(SWITCH(F227,"Multiple times per day",60,"Daily",20,"Weekly",4,"Monthly",1,"Quarterly",0.33,"Ad hoc",0.5,"Unknown",0),0)</f>
        <v/>
      </c>
      <c r="J227" s="3">
        <f>IFERROR((G227*H227*I227)/60,0)</f>
        <v/>
      </c>
      <c r="K227" s="3">
        <f>IFERROR(J227*12,0)</f>
        <v/>
      </c>
      <c r="L227" s="3">
        <f>IFERROR(XLOOKUP(A227,'Intake Responses'!$A:$A,'Intake Responses'!$T:$T),"")</f>
        <v/>
      </c>
      <c r="M227" s="3">
        <f>IFERROR(XLOOKUP(A227,'Intake Responses'!$A:$A,'Intake Responses'!$U:$U),"")</f>
        <v/>
      </c>
      <c r="N227" s="3">
        <f>IFERROR(XLOOKUP(A227,'Intake Responses'!$A:$A,'Intake Responses'!$V:$V),"")</f>
        <v/>
      </c>
      <c r="O227" s="3">
        <f>IFERROR(XLOOKUP(A227,'Intake Responses'!$A:$A,'Intake Responses'!$W:$W),"")</f>
        <v/>
      </c>
      <c r="P227" s="3">
        <f>IFERROR(XLOOKUP(A227,'Intake Responses'!$A:$A,'Intake Responses'!$X:$X),"")</f>
        <v/>
      </c>
      <c r="Q227" s="3">
        <f>IFERROR(XLOOKUP(A227,'Intake Responses'!$A:$A,'Intake Responses'!$AF:$AF),"")</f>
        <v/>
      </c>
      <c r="R227" s="3">
        <f>IFERROR(XLOOKUP(A227,'Intake Responses'!$A:$A,'Intake Responses'!$S:$S),"")</f>
        <v/>
      </c>
      <c r="S227" s="3" t="n"/>
      <c r="T227" s="3" t="n"/>
      <c r="U227" s="3" t="n"/>
      <c r="V227" s="3">
        <f>IFERROR(MIN(5,ROUND(((M227+O227)/2)+(IF(J227&gt;=20,2,IF(J227&gt;=10,1.5,IF(J227&gt;=5,1,IF(J227&gt;=1,0.5,0))))),1)),0)</f>
        <v/>
      </c>
      <c r="W227" s="3">
        <f>IFERROR(SWITCH(F227,"Multiple times per day",5,"Daily",4,"Weekly",3,"Monthly",2,"Quarterly",1,"Ad hoc",1,"Unknown",0),0)</f>
        <v/>
      </c>
      <c r="X227" s="3">
        <f>IFERROR(ROUND(AVERAGE(L227,N227),1),0)</f>
        <v/>
      </c>
      <c r="Y227" s="3">
        <f>IFERROR(SWITCH(U227,"High",3,"Medium",2,"Low",0,"Unknown",1,1)+IF(Q227="Yes",2,IF(Q227="Unsure",1,0)),0)</f>
        <v/>
      </c>
      <c r="Z227" s="3">
        <f>IFERROR(ROUND((V227*2)+(W227*1)+(X227*2)+(IF(T227="Easy",2,IF(T227="Medium",1,IF(T227="Hard",-1,0))))-(Y227*2),1),0)</f>
        <v/>
      </c>
      <c r="AA227" s="3">
        <f>IFERROR(IF(S227="Not a fit","Not a Fit",IF(Y227&gt;=5,"High Risk / Needs Review",IF(AND(Z227&gt;=18,T227="Easy"),"Quick Win",IF(AND(Z227&gt;=18,T227&lt;&gt;"Easy"),"Strategic Project",IF(Z227&gt;=10,"Discovery Needed","Process Issue"))))),"")</f>
        <v/>
      </c>
      <c r="AB227" s="3">
        <f>IFERROR(SWITCH(AA227,"Quick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7" s="3" t="n"/>
      <c r="AD227" s="3" t="n"/>
      <c r="AE227" s="3" t="n"/>
    </row>
    <row r="228" ht="25" customHeight="1">
      <c r="A228" s="2" t="n"/>
      <c r="B228" s="2">
        <f>IFERROR(XLOOKUP(A228,'Intake Responses'!$A:$A,'Intake Responses'!$E:$E),"")</f>
        <v/>
      </c>
      <c r="C228" s="2">
        <f>IFERROR(XLOOKUP(A228,'Intake Responses'!$A:$A,'Intake Responses'!$D:$D),"")</f>
        <v/>
      </c>
      <c r="D228" s="2">
        <f>IFERROR(XLOOKUP(A228,'Intake Responses'!$A:$A,'Intake Responses'!$F:$F),"")</f>
        <v/>
      </c>
      <c r="E228" s="2" t="n"/>
      <c r="F228" s="2">
        <f>IFERROR(XLOOKUP(A228,'Intake Responses'!$A:$A,'Intake Responses'!$M:$M),"")</f>
        <v/>
      </c>
      <c r="G228" s="2">
        <f>IFERROR(XLOOKUP(A228,'Intake Responses'!$A:$A,'Intake Responses'!$N:$N),"")</f>
        <v/>
      </c>
      <c r="H228" s="2">
        <f>IFERROR(XLOOKUP(A228,'Intake Responses'!$A:$A,'Intake Responses'!$O:$O),"")</f>
        <v/>
      </c>
      <c r="I228" s="2">
        <f>IFERROR(SWITCH(F228,"Multiple times per day",60,"Daily",20,"Weekly",4,"Monthly",1,"Quarterly",0.33,"Ad hoc",0.5,"Unknown",0),0)</f>
        <v/>
      </c>
      <c r="J228" s="2">
        <f>IFERROR((G228*H228*I228)/60,0)</f>
        <v/>
      </c>
      <c r="K228" s="2">
        <f>IFERROR(J228*12,0)</f>
        <v/>
      </c>
      <c r="L228" s="2">
        <f>IFERROR(XLOOKUP(A228,'Intake Responses'!$A:$A,'Intake Responses'!$T:$T),"")</f>
        <v/>
      </c>
      <c r="M228" s="2">
        <f>IFERROR(XLOOKUP(A228,'Intake Responses'!$A:$A,'Intake Responses'!$U:$U),"")</f>
        <v/>
      </c>
      <c r="N228" s="2">
        <f>IFERROR(XLOOKUP(A228,'Intake Responses'!$A:$A,'Intake Responses'!$V:$V),"")</f>
        <v/>
      </c>
      <c r="O228" s="2">
        <f>IFERROR(XLOOKUP(A228,'Intake Responses'!$A:$A,'Intake Responses'!$W:$W),"")</f>
        <v/>
      </c>
      <c r="P228" s="2">
        <f>IFERROR(XLOOKUP(A228,'Intake Responses'!$A:$A,'Intake Responses'!$X:$X),"")</f>
        <v/>
      </c>
      <c r="Q228" s="2">
        <f>IFERROR(XLOOKUP(A228,'Intake Responses'!$A:$A,'Intake Responses'!$AF:$AF),"")</f>
        <v/>
      </c>
      <c r="R228" s="2">
        <f>IFERROR(XLOOKUP(A228,'Intake Responses'!$A:$A,'Intake Responses'!$S:$S),"")</f>
        <v/>
      </c>
      <c r="S228" s="2" t="n"/>
      <c r="T228" s="2" t="n"/>
      <c r="U228" s="2" t="n"/>
      <c r="V228" s="2">
        <f>IFERROR(MIN(5,ROUND(((M228+O228)/2)+(IF(J228&gt;=20,2,IF(J228&gt;=10,1.5,IF(J228&gt;=5,1,IF(J228&gt;=1,0.5,0))))),1)),0)</f>
        <v/>
      </c>
      <c r="W228" s="2">
        <f>IFERROR(SWITCH(F228,"Multiple times per day",5,"Daily",4,"Weekly",3,"Monthly",2,"Quarterly",1,"Ad hoc",1,"Unknown",0),0)</f>
        <v/>
      </c>
      <c r="X228" s="2">
        <f>IFERROR(ROUND(AVERAGE(L228,N228),1),0)</f>
        <v/>
      </c>
      <c r="Y228" s="2">
        <f>IFERROR(SWITCH(U228,"High",3,"Medium",2,"Low",0,"Unknown",1,1)+IF(Q228="Yes",2,IF(Q228="Unsure",1,0)),0)</f>
        <v/>
      </c>
      <c r="Z228" s="2">
        <f>IFERROR(ROUND((V228*2)+(W228*1)+(X228*2)+(IF(T228="Easy",2,IF(T228="Medium",1,IF(T228="Hard",-1,0))))-(Y228*2),1),0)</f>
        <v/>
      </c>
      <c r="AA228" s="2">
        <f>IFERROR(IF(S228="Not a fit","Not a Fit",IF(Y228&gt;=5,"High Risk / Needs Review",IF(AND(Z228&gt;=18,T228="Easy"),"Quick Win",IF(AND(Z228&gt;=18,T228&lt;&gt;"Easy"),"Strategic Project",IF(Z228&gt;=10,"Discovery Needed","Process Issue"))))),"")</f>
        <v/>
      </c>
      <c r="AB228" s="2">
        <f>IFERROR(SWITCH(AA228,"Quick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8" s="2" t="n"/>
      <c r="AD228" s="2" t="n"/>
      <c r="AE228" s="2" t="n"/>
    </row>
    <row r="229" ht="25" customHeight="1">
      <c r="A229" s="3" t="n"/>
      <c r="B229" s="3">
        <f>IFERROR(XLOOKUP(A229,'Intake Responses'!$A:$A,'Intake Responses'!$E:$E),"")</f>
        <v/>
      </c>
      <c r="C229" s="3">
        <f>IFERROR(XLOOKUP(A229,'Intake Responses'!$A:$A,'Intake Responses'!$D:$D),"")</f>
        <v/>
      </c>
      <c r="D229" s="3">
        <f>IFERROR(XLOOKUP(A229,'Intake Responses'!$A:$A,'Intake Responses'!$F:$F),"")</f>
        <v/>
      </c>
      <c r="E229" s="3" t="n"/>
      <c r="F229" s="3">
        <f>IFERROR(XLOOKUP(A229,'Intake Responses'!$A:$A,'Intake Responses'!$M:$M),"")</f>
        <v/>
      </c>
      <c r="G229" s="3">
        <f>IFERROR(XLOOKUP(A229,'Intake Responses'!$A:$A,'Intake Responses'!$N:$N),"")</f>
        <v/>
      </c>
      <c r="H229" s="3">
        <f>IFERROR(XLOOKUP(A229,'Intake Responses'!$A:$A,'Intake Responses'!$O:$O),"")</f>
        <v/>
      </c>
      <c r="I229" s="3">
        <f>IFERROR(SWITCH(F229,"Multiple times per day",60,"Daily",20,"Weekly",4,"Monthly",1,"Quarterly",0.33,"Ad hoc",0.5,"Unknown",0),0)</f>
        <v/>
      </c>
      <c r="J229" s="3">
        <f>IFERROR((G229*H229*I229)/60,0)</f>
        <v/>
      </c>
      <c r="K229" s="3">
        <f>IFERROR(J229*12,0)</f>
        <v/>
      </c>
      <c r="L229" s="3">
        <f>IFERROR(XLOOKUP(A229,'Intake Responses'!$A:$A,'Intake Responses'!$T:$T),"")</f>
        <v/>
      </c>
      <c r="M229" s="3">
        <f>IFERROR(XLOOKUP(A229,'Intake Responses'!$A:$A,'Intake Responses'!$U:$U),"")</f>
        <v/>
      </c>
      <c r="N229" s="3">
        <f>IFERROR(XLOOKUP(A229,'Intake Responses'!$A:$A,'Intake Responses'!$V:$V),"")</f>
        <v/>
      </c>
      <c r="O229" s="3">
        <f>IFERROR(XLOOKUP(A229,'Intake Responses'!$A:$A,'Intake Responses'!$W:$W),"")</f>
        <v/>
      </c>
      <c r="P229" s="3">
        <f>IFERROR(XLOOKUP(A229,'Intake Responses'!$A:$A,'Intake Responses'!$X:$X),"")</f>
        <v/>
      </c>
      <c r="Q229" s="3">
        <f>IFERROR(XLOOKUP(A229,'Intake Responses'!$A:$A,'Intake Responses'!$AF:$AF),"")</f>
        <v/>
      </c>
      <c r="R229" s="3">
        <f>IFERROR(XLOOKUP(A229,'Intake Responses'!$A:$A,'Intake Responses'!$S:$S),"")</f>
        <v/>
      </c>
      <c r="S229" s="3" t="n"/>
      <c r="T229" s="3" t="n"/>
      <c r="U229" s="3" t="n"/>
      <c r="V229" s="3">
        <f>IFERROR(MIN(5,ROUND(((M229+O229)/2)+(IF(J229&gt;=20,2,IF(J229&gt;=10,1.5,IF(J229&gt;=5,1,IF(J229&gt;=1,0.5,0))))),1)),0)</f>
        <v/>
      </c>
      <c r="W229" s="3">
        <f>IFERROR(SWITCH(F229,"Multiple times per day",5,"Daily",4,"Weekly",3,"Monthly",2,"Quarterly",1,"Ad hoc",1,"Unknown",0),0)</f>
        <v/>
      </c>
      <c r="X229" s="3">
        <f>IFERROR(ROUND(AVERAGE(L229,N229),1),0)</f>
        <v/>
      </c>
      <c r="Y229" s="3">
        <f>IFERROR(SWITCH(U229,"High",3,"Medium",2,"Low",0,"Unknown",1,1)+IF(Q229="Yes",2,IF(Q229="Unsure",1,0)),0)</f>
        <v/>
      </c>
      <c r="Z229" s="3">
        <f>IFERROR(ROUND((V229*2)+(W229*1)+(X229*2)+(IF(T229="Easy",2,IF(T229="Medium",1,IF(T229="Hard",-1,0))))-(Y229*2),1),0)</f>
        <v/>
      </c>
      <c r="AA229" s="3">
        <f>IFERROR(IF(S229="Not a fit","Not a Fit",IF(Y229&gt;=5,"High Risk / Needs Review",IF(AND(Z229&gt;=18,T229="Easy"),"Quick Win",IF(AND(Z229&gt;=18,T229&lt;&gt;"Easy"),"Strategic Project",IF(Z229&gt;=10,"Discovery Needed","Process Issue"))))),"")</f>
        <v/>
      </c>
      <c r="AB229" s="3">
        <f>IFERROR(SWITCH(AA229,"Quick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29" s="3" t="n"/>
      <c r="AD229" s="3" t="n"/>
      <c r="AE229" s="3" t="n"/>
    </row>
    <row r="230" ht="25" customHeight="1">
      <c r="A230" s="2" t="n"/>
      <c r="B230" s="2">
        <f>IFERROR(XLOOKUP(A230,'Intake Responses'!$A:$A,'Intake Responses'!$E:$E),"")</f>
        <v/>
      </c>
      <c r="C230" s="2">
        <f>IFERROR(XLOOKUP(A230,'Intake Responses'!$A:$A,'Intake Responses'!$D:$D),"")</f>
        <v/>
      </c>
      <c r="D230" s="2">
        <f>IFERROR(XLOOKUP(A230,'Intake Responses'!$A:$A,'Intake Responses'!$F:$F),"")</f>
        <v/>
      </c>
      <c r="E230" s="2" t="n"/>
      <c r="F230" s="2">
        <f>IFERROR(XLOOKUP(A230,'Intake Responses'!$A:$A,'Intake Responses'!$M:$M),"")</f>
        <v/>
      </c>
      <c r="G230" s="2">
        <f>IFERROR(XLOOKUP(A230,'Intake Responses'!$A:$A,'Intake Responses'!$N:$N),"")</f>
        <v/>
      </c>
      <c r="H230" s="2">
        <f>IFERROR(XLOOKUP(A230,'Intake Responses'!$A:$A,'Intake Responses'!$O:$O),"")</f>
        <v/>
      </c>
      <c r="I230" s="2">
        <f>IFERROR(SWITCH(F230,"Multiple times per day",60,"Daily",20,"Weekly",4,"Monthly",1,"Quarterly",0.33,"Ad hoc",0.5,"Unknown",0),0)</f>
        <v/>
      </c>
      <c r="J230" s="2">
        <f>IFERROR((G230*H230*I230)/60,0)</f>
        <v/>
      </c>
      <c r="K230" s="2">
        <f>IFERROR(J230*12,0)</f>
        <v/>
      </c>
      <c r="L230" s="2">
        <f>IFERROR(XLOOKUP(A230,'Intake Responses'!$A:$A,'Intake Responses'!$T:$T),"")</f>
        <v/>
      </c>
      <c r="M230" s="2">
        <f>IFERROR(XLOOKUP(A230,'Intake Responses'!$A:$A,'Intake Responses'!$U:$U),"")</f>
        <v/>
      </c>
      <c r="N230" s="2">
        <f>IFERROR(XLOOKUP(A230,'Intake Responses'!$A:$A,'Intake Responses'!$V:$V),"")</f>
        <v/>
      </c>
      <c r="O230" s="2">
        <f>IFERROR(XLOOKUP(A230,'Intake Responses'!$A:$A,'Intake Responses'!$W:$W),"")</f>
        <v/>
      </c>
      <c r="P230" s="2">
        <f>IFERROR(XLOOKUP(A230,'Intake Responses'!$A:$A,'Intake Responses'!$X:$X),"")</f>
        <v/>
      </c>
      <c r="Q230" s="2">
        <f>IFERROR(XLOOKUP(A230,'Intake Responses'!$A:$A,'Intake Responses'!$AF:$AF),"")</f>
        <v/>
      </c>
      <c r="R230" s="2">
        <f>IFERROR(XLOOKUP(A230,'Intake Responses'!$A:$A,'Intake Responses'!$S:$S),"")</f>
        <v/>
      </c>
      <c r="S230" s="2" t="n"/>
      <c r="T230" s="2" t="n"/>
      <c r="U230" s="2" t="n"/>
      <c r="V230" s="2">
        <f>IFERROR(MIN(5,ROUND(((M230+O230)/2)+(IF(J230&gt;=20,2,IF(J230&gt;=10,1.5,IF(J230&gt;=5,1,IF(J230&gt;=1,0.5,0))))),1)),0)</f>
        <v/>
      </c>
      <c r="W230" s="2">
        <f>IFERROR(SWITCH(F230,"Multiple times per day",5,"Daily",4,"Weekly",3,"Monthly",2,"Quarterly",1,"Ad hoc",1,"Unknown",0),0)</f>
        <v/>
      </c>
      <c r="X230" s="2">
        <f>IFERROR(ROUND(AVERAGE(L230,N230),1),0)</f>
        <v/>
      </c>
      <c r="Y230" s="2">
        <f>IFERROR(SWITCH(U230,"High",3,"Medium",2,"Low",0,"Unknown",1,1)+IF(Q230="Yes",2,IF(Q230="Unsure",1,0)),0)</f>
        <v/>
      </c>
      <c r="Z230" s="2">
        <f>IFERROR(ROUND((V230*2)+(W230*1)+(X230*2)+(IF(T230="Easy",2,IF(T230="Medium",1,IF(T230="Hard",-1,0))))-(Y230*2),1),0)</f>
        <v/>
      </c>
      <c r="AA230" s="2">
        <f>IFERROR(IF(S230="Not a fit","Not a Fit",IF(Y230&gt;=5,"High Risk / Needs Review",IF(AND(Z230&gt;=18,T230="Easy"),"Quick Win",IF(AND(Z230&gt;=18,T230&lt;&gt;"Easy"),"Strategic Project",IF(Z230&gt;=10,"Discovery Needed","Process Issue"))))),"")</f>
        <v/>
      </c>
      <c r="AB230" s="2">
        <f>IFERROR(SWITCH(AA230,"Quick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0" s="2" t="n"/>
      <c r="AD230" s="2" t="n"/>
      <c r="AE230" s="2" t="n"/>
    </row>
    <row r="231" ht="25" customHeight="1">
      <c r="A231" s="3" t="n"/>
      <c r="B231" s="3">
        <f>IFERROR(XLOOKUP(A231,'Intake Responses'!$A:$A,'Intake Responses'!$E:$E),"")</f>
        <v/>
      </c>
      <c r="C231" s="3">
        <f>IFERROR(XLOOKUP(A231,'Intake Responses'!$A:$A,'Intake Responses'!$D:$D),"")</f>
        <v/>
      </c>
      <c r="D231" s="3">
        <f>IFERROR(XLOOKUP(A231,'Intake Responses'!$A:$A,'Intake Responses'!$F:$F),"")</f>
        <v/>
      </c>
      <c r="E231" s="3" t="n"/>
      <c r="F231" s="3">
        <f>IFERROR(XLOOKUP(A231,'Intake Responses'!$A:$A,'Intake Responses'!$M:$M),"")</f>
        <v/>
      </c>
      <c r="G231" s="3">
        <f>IFERROR(XLOOKUP(A231,'Intake Responses'!$A:$A,'Intake Responses'!$N:$N),"")</f>
        <v/>
      </c>
      <c r="H231" s="3">
        <f>IFERROR(XLOOKUP(A231,'Intake Responses'!$A:$A,'Intake Responses'!$O:$O),"")</f>
        <v/>
      </c>
      <c r="I231" s="3">
        <f>IFERROR(SWITCH(F231,"Multiple times per day",60,"Daily",20,"Weekly",4,"Monthly",1,"Quarterly",0.33,"Ad hoc",0.5,"Unknown",0),0)</f>
        <v/>
      </c>
      <c r="J231" s="3">
        <f>IFERROR((G231*H231*I231)/60,0)</f>
        <v/>
      </c>
      <c r="K231" s="3">
        <f>IFERROR(J231*12,0)</f>
        <v/>
      </c>
      <c r="L231" s="3">
        <f>IFERROR(XLOOKUP(A231,'Intake Responses'!$A:$A,'Intake Responses'!$T:$T),"")</f>
        <v/>
      </c>
      <c r="M231" s="3">
        <f>IFERROR(XLOOKUP(A231,'Intake Responses'!$A:$A,'Intake Responses'!$U:$U),"")</f>
        <v/>
      </c>
      <c r="N231" s="3">
        <f>IFERROR(XLOOKUP(A231,'Intake Responses'!$A:$A,'Intake Responses'!$V:$V),"")</f>
        <v/>
      </c>
      <c r="O231" s="3">
        <f>IFERROR(XLOOKUP(A231,'Intake Responses'!$A:$A,'Intake Responses'!$W:$W),"")</f>
        <v/>
      </c>
      <c r="P231" s="3">
        <f>IFERROR(XLOOKUP(A231,'Intake Responses'!$A:$A,'Intake Responses'!$X:$X),"")</f>
        <v/>
      </c>
      <c r="Q231" s="3">
        <f>IFERROR(XLOOKUP(A231,'Intake Responses'!$A:$A,'Intake Responses'!$AF:$AF),"")</f>
        <v/>
      </c>
      <c r="R231" s="3">
        <f>IFERROR(XLOOKUP(A231,'Intake Responses'!$A:$A,'Intake Responses'!$S:$S),"")</f>
        <v/>
      </c>
      <c r="S231" s="3" t="n"/>
      <c r="T231" s="3" t="n"/>
      <c r="U231" s="3" t="n"/>
      <c r="V231" s="3">
        <f>IFERROR(MIN(5,ROUND(((M231+O231)/2)+(IF(J231&gt;=20,2,IF(J231&gt;=10,1.5,IF(J231&gt;=5,1,IF(J231&gt;=1,0.5,0))))),1)),0)</f>
        <v/>
      </c>
      <c r="W231" s="3">
        <f>IFERROR(SWITCH(F231,"Multiple times per day",5,"Daily",4,"Weekly",3,"Monthly",2,"Quarterly",1,"Ad hoc",1,"Unknown",0),0)</f>
        <v/>
      </c>
      <c r="X231" s="3">
        <f>IFERROR(ROUND(AVERAGE(L231,N231),1),0)</f>
        <v/>
      </c>
      <c r="Y231" s="3">
        <f>IFERROR(SWITCH(U231,"High",3,"Medium",2,"Low",0,"Unknown",1,1)+IF(Q231="Yes",2,IF(Q231="Unsure",1,0)),0)</f>
        <v/>
      </c>
      <c r="Z231" s="3">
        <f>IFERROR(ROUND((V231*2)+(W231*1)+(X231*2)+(IF(T231="Easy",2,IF(T231="Medium",1,IF(T231="Hard",-1,0))))-(Y231*2),1),0)</f>
        <v/>
      </c>
      <c r="AA231" s="3">
        <f>IFERROR(IF(S231="Not a fit","Not a Fit",IF(Y231&gt;=5,"High Risk / Needs Review",IF(AND(Z231&gt;=18,T231="Easy"),"Quick Win",IF(AND(Z231&gt;=18,T231&lt;&gt;"Easy"),"Strategic Project",IF(Z231&gt;=10,"Discovery Needed","Process Issue"))))),"")</f>
        <v/>
      </c>
      <c r="AB231" s="3">
        <f>IFERROR(SWITCH(AA231,"Quick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1" s="3" t="n"/>
      <c r="AD231" s="3" t="n"/>
      <c r="AE231" s="3" t="n"/>
    </row>
    <row r="232" ht="25" customHeight="1">
      <c r="A232" s="2" t="n"/>
      <c r="B232" s="2">
        <f>IFERROR(XLOOKUP(A232,'Intake Responses'!$A:$A,'Intake Responses'!$E:$E),"")</f>
        <v/>
      </c>
      <c r="C232" s="2">
        <f>IFERROR(XLOOKUP(A232,'Intake Responses'!$A:$A,'Intake Responses'!$D:$D),"")</f>
        <v/>
      </c>
      <c r="D232" s="2">
        <f>IFERROR(XLOOKUP(A232,'Intake Responses'!$A:$A,'Intake Responses'!$F:$F),"")</f>
        <v/>
      </c>
      <c r="E232" s="2" t="n"/>
      <c r="F232" s="2">
        <f>IFERROR(XLOOKUP(A232,'Intake Responses'!$A:$A,'Intake Responses'!$M:$M),"")</f>
        <v/>
      </c>
      <c r="G232" s="2">
        <f>IFERROR(XLOOKUP(A232,'Intake Responses'!$A:$A,'Intake Responses'!$N:$N),"")</f>
        <v/>
      </c>
      <c r="H232" s="2">
        <f>IFERROR(XLOOKUP(A232,'Intake Responses'!$A:$A,'Intake Responses'!$O:$O),"")</f>
        <v/>
      </c>
      <c r="I232" s="2">
        <f>IFERROR(SWITCH(F232,"Multiple times per day",60,"Daily",20,"Weekly",4,"Monthly",1,"Quarterly",0.33,"Ad hoc",0.5,"Unknown",0),0)</f>
        <v/>
      </c>
      <c r="J232" s="2">
        <f>IFERROR((G232*H232*I232)/60,0)</f>
        <v/>
      </c>
      <c r="K232" s="2">
        <f>IFERROR(J232*12,0)</f>
        <v/>
      </c>
      <c r="L232" s="2">
        <f>IFERROR(XLOOKUP(A232,'Intake Responses'!$A:$A,'Intake Responses'!$T:$T),"")</f>
        <v/>
      </c>
      <c r="M232" s="2">
        <f>IFERROR(XLOOKUP(A232,'Intake Responses'!$A:$A,'Intake Responses'!$U:$U),"")</f>
        <v/>
      </c>
      <c r="N232" s="2">
        <f>IFERROR(XLOOKUP(A232,'Intake Responses'!$A:$A,'Intake Responses'!$V:$V),"")</f>
        <v/>
      </c>
      <c r="O232" s="2">
        <f>IFERROR(XLOOKUP(A232,'Intake Responses'!$A:$A,'Intake Responses'!$W:$W),"")</f>
        <v/>
      </c>
      <c r="P232" s="2">
        <f>IFERROR(XLOOKUP(A232,'Intake Responses'!$A:$A,'Intake Responses'!$X:$X),"")</f>
        <v/>
      </c>
      <c r="Q232" s="2">
        <f>IFERROR(XLOOKUP(A232,'Intake Responses'!$A:$A,'Intake Responses'!$AF:$AF),"")</f>
        <v/>
      </c>
      <c r="R232" s="2">
        <f>IFERROR(XLOOKUP(A232,'Intake Responses'!$A:$A,'Intake Responses'!$S:$S),"")</f>
        <v/>
      </c>
      <c r="S232" s="2" t="n"/>
      <c r="T232" s="2" t="n"/>
      <c r="U232" s="2" t="n"/>
      <c r="V232" s="2">
        <f>IFERROR(MIN(5,ROUND(((M232+O232)/2)+(IF(J232&gt;=20,2,IF(J232&gt;=10,1.5,IF(J232&gt;=5,1,IF(J232&gt;=1,0.5,0))))),1)),0)</f>
        <v/>
      </c>
      <c r="W232" s="2">
        <f>IFERROR(SWITCH(F232,"Multiple times per day",5,"Daily",4,"Weekly",3,"Monthly",2,"Quarterly",1,"Ad hoc",1,"Unknown",0),0)</f>
        <v/>
      </c>
      <c r="X232" s="2">
        <f>IFERROR(ROUND(AVERAGE(L232,N232),1),0)</f>
        <v/>
      </c>
      <c r="Y232" s="2">
        <f>IFERROR(SWITCH(U232,"High",3,"Medium",2,"Low",0,"Unknown",1,1)+IF(Q232="Yes",2,IF(Q232="Unsure",1,0)),0)</f>
        <v/>
      </c>
      <c r="Z232" s="2">
        <f>IFERROR(ROUND((V232*2)+(W232*1)+(X232*2)+(IF(T232="Easy",2,IF(T232="Medium",1,IF(T232="Hard",-1,0))))-(Y232*2),1),0)</f>
        <v/>
      </c>
      <c r="AA232" s="2">
        <f>IFERROR(IF(S232="Not a fit","Not a Fit",IF(Y232&gt;=5,"High Risk / Needs Review",IF(AND(Z232&gt;=18,T232="Easy"),"Quick Win",IF(AND(Z232&gt;=18,T232&lt;&gt;"Easy"),"Strategic Project",IF(Z232&gt;=10,"Discovery Needed","Process Issue"))))),"")</f>
        <v/>
      </c>
      <c r="AB232" s="2">
        <f>IFERROR(SWITCH(AA232,"Quick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2" s="2" t="n"/>
      <c r="AD232" s="2" t="n"/>
      <c r="AE232" s="2" t="n"/>
    </row>
    <row r="233" ht="25" customHeight="1">
      <c r="A233" s="3" t="n"/>
      <c r="B233" s="3">
        <f>IFERROR(XLOOKUP(A233,'Intake Responses'!$A:$A,'Intake Responses'!$E:$E),"")</f>
        <v/>
      </c>
      <c r="C233" s="3">
        <f>IFERROR(XLOOKUP(A233,'Intake Responses'!$A:$A,'Intake Responses'!$D:$D),"")</f>
        <v/>
      </c>
      <c r="D233" s="3">
        <f>IFERROR(XLOOKUP(A233,'Intake Responses'!$A:$A,'Intake Responses'!$F:$F),"")</f>
        <v/>
      </c>
      <c r="E233" s="3" t="n"/>
      <c r="F233" s="3">
        <f>IFERROR(XLOOKUP(A233,'Intake Responses'!$A:$A,'Intake Responses'!$M:$M),"")</f>
        <v/>
      </c>
      <c r="G233" s="3">
        <f>IFERROR(XLOOKUP(A233,'Intake Responses'!$A:$A,'Intake Responses'!$N:$N),"")</f>
        <v/>
      </c>
      <c r="H233" s="3">
        <f>IFERROR(XLOOKUP(A233,'Intake Responses'!$A:$A,'Intake Responses'!$O:$O),"")</f>
        <v/>
      </c>
      <c r="I233" s="3">
        <f>IFERROR(SWITCH(F233,"Multiple times per day",60,"Daily",20,"Weekly",4,"Monthly",1,"Quarterly",0.33,"Ad hoc",0.5,"Unknown",0),0)</f>
        <v/>
      </c>
      <c r="J233" s="3">
        <f>IFERROR((G233*H233*I233)/60,0)</f>
        <v/>
      </c>
      <c r="K233" s="3">
        <f>IFERROR(J233*12,0)</f>
        <v/>
      </c>
      <c r="L233" s="3">
        <f>IFERROR(XLOOKUP(A233,'Intake Responses'!$A:$A,'Intake Responses'!$T:$T),"")</f>
        <v/>
      </c>
      <c r="M233" s="3">
        <f>IFERROR(XLOOKUP(A233,'Intake Responses'!$A:$A,'Intake Responses'!$U:$U),"")</f>
        <v/>
      </c>
      <c r="N233" s="3">
        <f>IFERROR(XLOOKUP(A233,'Intake Responses'!$A:$A,'Intake Responses'!$V:$V),"")</f>
        <v/>
      </c>
      <c r="O233" s="3">
        <f>IFERROR(XLOOKUP(A233,'Intake Responses'!$A:$A,'Intake Responses'!$W:$W),"")</f>
        <v/>
      </c>
      <c r="P233" s="3">
        <f>IFERROR(XLOOKUP(A233,'Intake Responses'!$A:$A,'Intake Responses'!$X:$X),"")</f>
        <v/>
      </c>
      <c r="Q233" s="3">
        <f>IFERROR(XLOOKUP(A233,'Intake Responses'!$A:$A,'Intake Responses'!$AF:$AF),"")</f>
        <v/>
      </c>
      <c r="R233" s="3">
        <f>IFERROR(XLOOKUP(A233,'Intake Responses'!$A:$A,'Intake Responses'!$S:$S),"")</f>
        <v/>
      </c>
      <c r="S233" s="3" t="n"/>
      <c r="T233" s="3" t="n"/>
      <c r="U233" s="3" t="n"/>
      <c r="V233" s="3">
        <f>IFERROR(MIN(5,ROUND(((M233+O233)/2)+(IF(J233&gt;=20,2,IF(J233&gt;=10,1.5,IF(J233&gt;=5,1,IF(J233&gt;=1,0.5,0))))),1)),0)</f>
        <v/>
      </c>
      <c r="W233" s="3">
        <f>IFERROR(SWITCH(F233,"Multiple times per day",5,"Daily",4,"Weekly",3,"Monthly",2,"Quarterly",1,"Ad hoc",1,"Unknown",0),0)</f>
        <v/>
      </c>
      <c r="X233" s="3">
        <f>IFERROR(ROUND(AVERAGE(L233,N233),1),0)</f>
        <v/>
      </c>
      <c r="Y233" s="3">
        <f>IFERROR(SWITCH(U233,"High",3,"Medium",2,"Low",0,"Unknown",1,1)+IF(Q233="Yes",2,IF(Q233="Unsure",1,0)),0)</f>
        <v/>
      </c>
      <c r="Z233" s="3">
        <f>IFERROR(ROUND((V233*2)+(W233*1)+(X233*2)+(IF(T233="Easy",2,IF(T233="Medium",1,IF(T233="Hard",-1,0))))-(Y233*2),1),0)</f>
        <v/>
      </c>
      <c r="AA233" s="3">
        <f>IFERROR(IF(S233="Not a fit","Not a Fit",IF(Y233&gt;=5,"High Risk / Needs Review",IF(AND(Z233&gt;=18,T233="Easy"),"Quick Win",IF(AND(Z233&gt;=18,T233&lt;&gt;"Easy"),"Strategic Project",IF(Z233&gt;=10,"Discovery Needed","Process Issue"))))),"")</f>
        <v/>
      </c>
      <c r="AB233" s="3">
        <f>IFERROR(SWITCH(AA233,"Quick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3" s="3" t="n"/>
      <c r="AD233" s="3" t="n"/>
      <c r="AE233" s="3" t="n"/>
    </row>
    <row r="234" ht="25" customHeight="1">
      <c r="A234" s="2" t="n"/>
      <c r="B234" s="2">
        <f>IFERROR(XLOOKUP(A234,'Intake Responses'!$A:$A,'Intake Responses'!$E:$E),"")</f>
        <v/>
      </c>
      <c r="C234" s="2">
        <f>IFERROR(XLOOKUP(A234,'Intake Responses'!$A:$A,'Intake Responses'!$D:$D),"")</f>
        <v/>
      </c>
      <c r="D234" s="2">
        <f>IFERROR(XLOOKUP(A234,'Intake Responses'!$A:$A,'Intake Responses'!$F:$F),"")</f>
        <v/>
      </c>
      <c r="E234" s="2" t="n"/>
      <c r="F234" s="2">
        <f>IFERROR(XLOOKUP(A234,'Intake Responses'!$A:$A,'Intake Responses'!$M:$M),"")</f>
        <v/>
      </c>
      <c r="G234" s="2">
        <f>IFERROR(XLOOKUP(A234,'Intake Responses'!$A:$A,'Intake Responses'!$N:$N),"")</f>
        <v/>
      </c>
      <c r="H234" s="2">
        <f>IFERROR(XLOOKUP(A234,'Intake Responses'!$A:$A,'Intake Responses'!$O:$O),"")</f>
        <v/>
      </c>
      <c r="I234" s="2">
        <f>IFERROR(SWITCH(F234,"Multiple times per day",60,"Daily",20,"Weekly",4,"Monthly",1,"Quarterly",0.33,"Ad hoc",0.5,"Unknown",0),0)</f>
        <v/>
      </c>
      <c r="J234" s="2">
        <f>IFERROR((G234*H234*I234)/60,0)</f>
        <v/>
      </c>
      <c r="K234" s="2">
        <f>IFERROR(J234*12,0)</f>
        <v/>
      </c>
      <c r="L234" s="2">
        <f>IFERROR(XLOOKUP(A234,'Intake Responses'!$A:$A,'Intake Responses'!$T:$T),"")</f>
        <v/>
      </c>
      <c r="M234" s="2">
        <f>IFERROR(XLOOKUP(A234,'Intake Responses'!$A:$A,'Intake Responses'!$U:$U),"")</f>
        <v/>
      </c>
      <c r="N234" s="2">
        <f>IFERROR(XLOOKUP(A234,'Intake Responses'!$A:$A,'Intake Responses'!$V:$V),"")</f>
        <v/>
      </c>
      <c r="O234" s="2">
        <f>IFERROR(XLOOKUP(A234,'Intake Responses'!$A:$A,'Intake Responses'!$W:$W),"")</f>
        <v/>
      </c>
      <c r="P234" s="2">
        <f>IFERROR(XLOOKUP(A234,'Intake Responses'!$A:$A,'Intake Responses'!$X:$X),"")</f>
        <v/>
      </c>
      <c r="Q234" s="2">
        <f>IFERROR(XLOOKUP(A234,'Intake Responses'!$A:$A,'Intake Responses'!$AF:$AF),"")</f>
        <v/>
      </c>
      <c r="R234" s="2">
        <f>IFERROR(XLOOKUP(A234,'Intake Responses'!$A:$A,'Intake Responses'!$S:$S),"")</f>
        <v/>
      </c>
      <c r="S234" s="2" t="n"/>
      <c r="T234" s="2" t="n"/>
      <c r="U234" s="2" t="n"/>
      <c r="V234" s="2">
        <f>IFERROR(MIN(5,ROUND(((M234+O234)/2)+(IF(J234&gt;=20,2,IF(J234&gt;=10,1.5,IF(J234&gt;=5,1,IF(J234&gt;=1,0.5,0))))),1)),0)</f>
        <v/>
      </c>
      <c r="W234" s="2">
        <f>IFERROR(SWITCH(F234,"Multiple times per day",5,"Daily",4,"Weekly",3,"Monthly",2,"Quarterly",1,"Ad hoc",1,"Unknown",0),0)</f>
        <v/>
      </c>
      <c r="X234" s="2">
        <f>IFERROR(ROUND(AVERAGE(L234,N234),1),0)</f>
        <v/>
      </c>
      <c r="Y234" s="2">
        <f>IFERROR(SWITCH(U234,"High",3,"Medium",2,"Low",0,"Unknown",1,1)+IF(Q234="Yes",2,IF(Q234="Unsure",1,0)),0)</f>
        <v/>
      </c>
      <c r="Z234" s="2">
        <f>IFERROR(ROUND((V234*2)+(W234*1)+(X234*2)+(IF(T234="Easy",2,IF(T234="Medium",1,IF(T234="Hard",-1,0))))-(Y234*2),1),0)</f>
        <v/>
      </c>
      <c r="AA234" s="2">
        <f>IFERROR(IF(S234="Not a fit","Not a Fit",IF(Y234&gt;=5,"High Risk / Needs Review",IF(AND(Z234&gt;=18,T234="Easy"),"Quick Win",IF(AND(Z234&gt;=18,T234&lt;&gt;"Easy"),"Strategic Project",IF(Z234&gt;=10,"Discovery Needed","Process Issue"))))),"")</f>
        <v/>
      </c>
      <c r="AB234" s="2">
        <f>IFERROR(SWITCH(AA234,"Quick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4" s="2" t="n"/>
      <c r="AD234" s="2" t="n"/>
      <c r="AE234" s="2" t="n"/>
    </row>
    <row r="235" ht="25" customHeight="1">
      <c r="A235" s="3" t="n"/>
      <c r="B235" s="3">
        <f>IFERROR(XLOOKUP(A235,'Intake Responses'!$A:$A,'Intake Responses'!$E:$E),"")</f>
        <v/>
      </c>
      <c r="C235" s="3">
        <f>IFERROR(XLOOKUP(A235,'Intake Responses'!$A:$A,'Intake Responses'!$D:$D),"")</f>
        <v/>
      </c>
      <c r="D235" s="3">
        <f>IFERROR(XLOOKUP(A235,'Intake Responses'!$A:$A,'Intake Responses'!$F:$F),"")</f>
        <v/>
      </c>
      <c r="E235" s="3" t="n"/>
      <c r="F235" s="3">
        <f>IFERROR(XLOOKUP(A235,'Intake Responses'!$A:$A,'Intake Responses'!$M:$M),"")</f>
        <v/>
      </c>
      <c r="G235" s="3">
        <f>IFERROR(XLOOKUP(A235,'Intake Responses'!$A:$A,'Intake Responses'!$N:$N),"")</f>
        <v/>
      </c>
      <c r="H235" s="3">
        <f>IFERROR(XLOOKUP(A235,'Intake Responses'!$A:$A,'Intake Responses'!$O:$O),"")</f>
        <v/>
      </c>
      <c r="I235" s="3">
        <f>IFERROR(SWITCH(F235,"Multiple times per day",60,"Daily",20,"Weekly",4,"Monthly",1,"Quarterly",0.33,"Ad hoc",0.5,"Unknown",0),0)</f>
        <v/>
      </c>
      <c r="J235" s="3">
        <f>IFERROR((G235*H235*I235)/60,0)</f>
        <v/>
      </c>
      <c r="K235" s="3">
        <f>IFERROR(J235*12,0)</f>
        <v/>
      </c>
      <c r="L235" s="3">
        <f>IFERROR(XLOOKUP(A235,'Intake Responses'!$A:$A,'Intake Responses'!$T:$T),"")</f>
        <v/>
      </c>
      <c r="M235" s="3">
        <f>IFERROR(XLOOKUP(A235,'Intake Responses'!$A:$A,'Intake Responses'!$U:$U),"")</f>
        <v/>
      </c>
      <c r="N235" s="3">
        <f>IFERROR(XLOOKUP(A235,'Intake Responses'!$A:$A,'Intake Responses'!$V:$V),"")</f>
        <v/>
      </c>
      <c r="O235" s="3">
        <f>IFERROR(XLOOKUP(A235,'Intake Responses'!$A:$A,'Intake Responses'!$W:$W),"")</f>
        <v/>
      </c>
      <c r="P235" s="3">
        <f>IFERROR(XLOOKUP(A235,'Intake Responses'!$A:$A,'Intake Responses'!$X:$X),"")</f>
        <v/>
      </c>
      <c r="Q235" s="3">
        <f>IFERROR(XLOOKUP(A235,'Intake Responses'!$A:$A,'Intake Responses'!$AF:$AF),"")</f>
        <v/>
      </c>
      <c r="R235" s="3">
        <f>IFERROR(XLOOKUP(A235,'Intake Responses'!$A:$A,'Intake Responses'!$S:$S),"")</f>
        <v/>
      </c>
      <c r="S235" s="3" t="n"/>
      <c r="T235" s="3" t="n"/>
      <c r="U235" s="3" t="n"/>
      <c r="V235" s="3">
        <f>IFERROR(MIN(5,ROUND(((M235+O235)/2)+(IF(J235&gt;=20,2,IF(J235&gt;=10,1.5,IF(J235&gt;=5,1,IF(J235&gt;=1,0.5,0))))),1)),0)</f>
        <v/>
      </c>
      <c r="W235" s="3">
        <f>IFERROR(SWITCH(F235,"Multiple times per day",5,"Daily",4,"Weekly",3,"Monthly",2,"Quarterly",1,"Ad hoc",1,"Unknown",0),0)</f>
        <v/>
      </c>
      <c r="X235" s="3">
        <f>IFERROR(ROUND(AVERAGE(L235,N235),1),0)</f>
        <v/>
      </c>
      <c r="Y235" s="3">
        <f>IFERROR(SWITCH(U235,"High",3,"Medium",2,"Low",0,"Unknown",1,1)+IF(Q235="Yes",2,IF(Q235="Unsure",1,0)),0)</f>
        <v/>
      </c>
      <c r="Z235" s="3">
        <f>IFERROR(ROUND((V235*2)+(W235*1)+(X235*2)+(IF(T235="Easy",2,IF(T235="Medium",1,IF(T235="Hard",-1,0))))-(Y235*2),1),0)</f>
        <v/>
      </c>
      <c r="AA235" s="3">
        <f>IFERROR(IF(S235="Not a fit","Not a Fit",IF(Y235&gt;=5,"High Risk / Needs Review",IF(AND(Z235&gt;=18,T235="Easy"),"Quick Win",IF(AND(Z235&gt;=18,T235&lt;&gt;"Easy"),"Strategic Project",IF(Z235&gt;=10,"Discovery Needed","Process Issue"))))),"")</f>
        <v/>
      </c>
      <c r="AB235" s="3">
        <f>IFERROR(SWITCH(AA235,"Quick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5" s="3" t="n"/>
      <c r="AD235" s="3" t="n"/>
      <c r="AE235" s="3" t="n"/>
    </row>
    <row r="236" ht="25" customHeight="1">
      <c r="A236" s="2" t="n"/>
      <c r="B236" s="2">
        <f>IFERROR(XLOOKUP(A236,'Intake Responses'!$A:$A,'Intake Responses'!$E:$E),"")</f>
        <v/>
      </c>
      <c r="C236" s="2">
        <f>IFERROR(XLOOKUP(A236,'Intake Responses'!$A:$A,'Intake Responses'!$D:$D),"")</f>
        <v/>
      </c>
      <c r="D236" s="2">
        <f>IFERROR(XLOOKUP(A236,'Intake Responses'!$A:$A,'Intake Responses'!$F:$F),"")</f>
        <v/>
      </c>
      <c r="E236" s="2" t="n"/>
      <c r="F236" s="2">
        <f>IFERROR(XLOOKUP(A236,'Intake Responses'!$A:$A,'Intake Responses'!$M:$M),"")</f>
        <v/>
      </c>
      <c r="G236" s="2">
        <f>IFERROR(XLOOKUP(A236,'Intake Responses'!$A:$A,'Intake Responses'!$N:$N),"")</f>
        <v/>
      </c>
      <c r="H236" s="2">
        <f>IFERROR(XLOOKUP(A236,'Intake Responses'!$A:$A,'Intake Responses'!$O:$O),"")</f>
        <v/>
      </c>
      <c r="I236" s="2">
        <f>IFERROR(SWITCH(F236,"Multiple times per day",60,"Daily",20,"Weekly",4,"Monthly",1,"Quarterly",0.33,"Ad hoc",0.5,"Unknown",0),0)</f>
        <v/>
      </c>
      <c r="J236" s="2">
        <f>IFERROR((G236*H236*I236)/60,0)</f>
        <v/>
      </c>
      <c r="K236" s="2">
        <f>IFERROR(J236*12,0)</f>
        <v/>
      </c>
      <c r="L236" s="2">
        <f>IFERROR(XLOOKUP(A236,'Intake Responses'!$A:$A,'Intake Responses'!$T:$T),"")</f>
        <v/>
      </c>
      <c r="M236" s="2">
        <f>IFERROR(XLOOKUP(A236,'Intake Responses'!$A:$A,'Intake Responses'!$U:$U),"")</f>
        <v/>
      </c>
      <c r="N236" s="2">
        <f>IFERROR(XLOOKUP(A236,'Intake Responses'!$A:$A,'Intake Responses'!$V:$V),"")</f>
        <v/>
      </c>
      <c r="O236" s="2">
        <f>IFERROR(XLOOKUP(A236,'Intake Responses'!$A:$A,'Intake Responses'!$W:$W),"")</f>
        <v/>
      </c>
      <c r="P236" s="2">
        <f>IFERROR(XLOOKUP(A236,'Intake Responses'!$A:$A,'Intake Responses'!$X:$X),"")</f>
        <v/>
      </c>
      <c r="Q236" s="2">
        <f>IFERROR(XLOOKUP(A236,'Intake Responses'!$A:$A,'Intake Responses'!$AF:$AF),"")</f>
        <v/>
      </c>
      <c r="R236" s="2">
        <f>IFERROR(XLOOKUP(A236,'Intake Responses'!$A:$A,'Intake Responses'!$S:$S),"")</f>
        <v/>
      </c>
      <c r="S236" s="2" t="n"/>
      <c r="T236" s="2" t="n"/>
      <c r="U236" s="2" t="n"/>
      <c r="V236" s="2">
        <f>IFERROR(MIN(5,ROUND(((M236+O236)/2)+(IF(J236&gt;=20,2,IF(J236&gt;=10,1.5,IF(J236&gt;=5,1,IF(J236&gt;=1,0.5,0))))),1)),0)</f>
        <v/>
      </c>
      <c r="W236" s="2">
        <f>IFERROR(SWITCH(F236,"Multiple times per day",5,"Daily",4,"Weekly",3,"Monthly",2,"Quarterly",1,"Ad hoc",1,"Unknown",0),0)</f>
        <v/>
      </c>
      <c r="X236" s="2">
        <f>IFERROR(ROUND(AVERAGE(L236,N236),1),0)</f>
        <v/>
      </c>
      <c r="Y236" s="2">
        <f>IFERROR(SWITCH(U236,"High",3,"Medium",2,"Low",0,"Unknown",1,1)+IF(Q236="Yes",2,IF(Q236="Unsure",1,0)),0)</f>
        <v/>
      </c>
      <c r="Z236" s="2">
        <f>IFERROR(ROUND((V236*2)+(W236*1)+(X236*2)+(IF(T236="Easy",2,IF(T236="Medium",1,IF(T236="Hard",-1,0))))-(Y236*2),1),0)</f>
        <v/>
      </c>
      <c r="AA236" s="2">
        <f>IFERROR(IF(S236="Not a fit","Not a Fit",IF(Y236&gt;=5,"High Risk / Needs Review",IF(AND(Z236&gt;=18,T236="Easy"),"Quick Win",IF(AND(Z236&gt;=18,T236&lt;&gt;"Easy"),"Strategic Project",IF(Z236&gt;=10,"Discovery Needed","Process Issue"))))),"")</f>
        <v/>
      </c>
      <c r="AB236" s="2">
        <f>IFERROR(SWITCH(AA236,"Quick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6" s="2" t="n"/>
      <c r="AD236" s="2" t="n"/>
      <c r="AE236" s="2" t="n"/>
    </row>
    <row r="237" ht="25" customHeight="1">
      <c r="A237" s="3" t="n"/>
      <c r="B237" s="3">
        <f>IFERROR(XLOOKUP(A237,'Intake Responses'!$A:$A,'Intake Responses'!$E:$E),"")</f>
        <v/>
      </c>
      <c r="C237" s="3">
        <f>IFERROR(XLOOKUP(A237,'Intake Responses'!$A:$A,'Intake Responses'!$D:$D),"")</f>
        <v/>
      </c>
      <c r="D237" s="3">
        <f>IFERROR(XLOOKUP(A237,'Intake Responses'!$A:$A,'Intake Responses'!$F:$F),"")</f>
        <v/>
      </c>
      <c r="E237" s="3" t="n"/>
      <c r="F237" s="3">
        <f>IFERROR(XLOOKUP(A237,'Intake Responses'!$A:$A,'Intake Responses'!$M:$M),"")</f>
        <v/>
      </c>
      <c r="G237" s="3">
        <f>IFERROR(XLOOKUP(A237,'Intake Responses'!$A:$A,'Intake Responses'!$N:$N),"")</f>
        <v/>
      </c>
      <c r="H237" s="3">
        <f>IFERROR(XLOOKUP(A237,'Intake Responses'!$A:$A,'Intake Responses'!$O:$O),"")</f>
        <v/>
      </c>
      <c r="I237" s="3">
        <f>IFERROR(SWITCH(F237,"Multiple times per day",60,"Daily",20,"Weekly",4,"Monthly",1,"Quarterly",0.33,"Ad hoc",0.5,"Unknown",0),0)</f>
        <v/>
      </c>
      <c r="J237" s="3">
        <f>IFERROR((G237*H237*I237)/60,0)</f>
        <v/>
      </c>
      <c r="K237" s="3">
        <f>IFERROR(J237*12,0)</f>
        <v/>
      </c>
      <c r="L237" s="3">
        <f>IFERROR(XLOOKUP(A237,'Intake Responses'!$A:$A,'Intake Responses'!$T:$T),"")</f>
        <v/>
      </c>
      <c r="M237" s="3">
        <f>IFERROR(XLOOKUP(A237,'Intake Responses'!$A:$A,'Intake Responses'!$U:$U),"")</f>
        <v/>
      </c>
      <c r="N237" s="3">
        <f>IFERROR(XLOOKUP(A237,'Intake Responses'!$A:$A,'Intake Responses'!$V:$V),"")</f>
        <v/>
      </c>
      <c r="O237" s="3">
        <f>IFERROR(XLOOKUP(A237,'Intake Responses'!$A:$A,'Intake Responses'!$W:$W),"")</f>
        <v/>
      </c>
      <c r="P237" s="3">
        <f>IFERROR(XLOOKUP(A237,'Intake Responses'!$A:$A,'Intake Responses'!$X:$X),"")</f>
        <v/>
      </c>
      <c r="Q237" s="3">
        <f>IFERROR(XLOOKUP(A237,'Intake Responses'!$A:$A,'Intake Responses'!$AF:$AF),"")</f>
        <v/>
      </c>
      <c r="R237" s="3">
        <f>IFERROR(XLOOKUP(A237,'Intake Responses'!$A:$A,'Intake Responses'!$S:$S),"")</f>
        <v/>
      </c>
      <c r="S237" s="3" t="n"/>
      <c r="T237" s="3" t="n"/>
      <c r="U237" s="3" t="n"/>
      <c r="V237" s="3">
        <f>IFERROR(MIN(5,ROUND(((M237+O237)/2)+(IF(J237&gt;=20,2,IF(J237&gt;=10,1.5,IF(J237&gt;=5,1,IF(J237&gt;=1,0.5,0))))),1)),0)</f>
        <v/>
      </c>
      <c r="W237" s="3">
        <f>IFERROR(SWITCH(F237,"Multiple times per day",5,"Daily",4,"Weekly",3,"Monthly",2,"Quarterly",1,"Ad hoc",1,"Unknown",0),0)</f>
        <v/>
      </c>
      <c r="X237" s="3">
        <f>IFERROR(ROUND(AVERAGE(L237,N237),1),0)</f>
        <v/>
      </c>
      <c r="Y237" s="3">
        <f>IFERROR(SWITCH(U237,"High",3,"Medium",2,"Low",0,"Unknown",1,1)+IF(Q237="Yes",2,IF(Q237="Unsure",1,0)),0)</f>
        <v/>
      </c>
      <c r="Z237" s="3">
        <f>IFERROR(ROUND((V237*2)+(W237*1)+(X237*2)+(IF(T237="Easy",2,IF(T237="Medium",1,IF(T237="Hard",-1,0))))-(Y237*2),1),0)</f>
        <v/>
      </c>
      <c r="AA237" s="3">
        <f>IFERROR(IF(S237="Not a fit","Not a Fit",IF(Y237&gt;=5,"High Risk / Needs Review",IF(AND(Z237&gt;=18,T237="Easy"),"Quick Win",IF(AND(Z237&gt;=18,T237&lt;&gt;"Easy"),"Strategic Project",IF(Z237&gt;=10,"Discovery Needed","Process Issue"))))),"")</f>
        <v/>
      </c>
      <c r="AB237" s="3">
        <f>IFERROR(SWITCH(AA237,"Quick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7" s="3" t="n"/>
      <c r="AD237" s="3" t="n"/>
      <c r="AE237" s="3" t="n"/>
    </row>
    <row r="238" ht="25" customHeight="1">
      <c r="A238" s="2" t="n"/>
      <c r="B238" s="2">
        <f>IFERROR(XLOOKUP(A238,'Intake Responses'!$A:$A,'Intake Responses'!$E:$E),"")</f>
        <v/>
      </c>
      <c r="C238" s="2">
        <f>IFERROR(XLOOKUP(A238,'Intake Responses'!$A:$A,'Intake Responses'!$D:$D),"")</f>
        <v/>
      </c>
      <c r="D238" s="2">
        <f>IFERROR(XLOOKUP(A238,'Intake Responses'!$A:$A,'Intake Responses'!$F:$F),"")</f>
        <v/>
      </c>
      <c r="E238" s="2" t="n"/>
      <c r="F238" s="2">
        <f>IFERROR(XLOOKUP(A238,'Intake Responses'!$A:$A,'Intake Responses'!$M:$M),"")</f>
        <v/>
      </c>
      <c r="G238" s="2">
        <f>IFERROR(XLOOKUP(A238,'Intake Responses'!$A:$A,'Intake Responses'!$N:$N),"")</f>
        <v/>
      </c>
      <c r="H238" s="2">
        <f>IFERROR(XLOOKUP(A238,'Intake Responses'!$A:$A,'Intake Responses'!$O:$O),"")</f>
        <v/>
      </c>
      <c r="I238" s="2">
        <f>IFERROR(SWITCH(F238,"Multiple times per day",60,"Daily",20,"Weekly",4,"Monthly",1,"Quarterly",0.33,"Ad hoc",0.5,"Unknown",0),0)</f>
        <v/>
      </c>
      <c r="J238" s="2">
        <f>IFERROR((G238*H238*I238)/60,0)</f>
        <v/>
      </c>
      <c r="K238" s="2">
        <f>IFERROR(J238*12,0)</f>
        <v/>
      </c>
      <c r="L238" s="2">
        <f>IFERROR(XLOOKUP(A238,'Intake Responses'!$A:$A,'Intake Responses'!$T:$T),"")</f>
        <v/>
      </c>
      <c r="M238" s="2">
        <f>IFERROR(XLOOKUP(A238,'Intake Responses'!$A:$A,'Intake Responses'!$U:$U),"")</f>
        <v/>
      </c>
      <c r="N238" s="2">
        <f>IFERROR(XLOOKUP(A238,'Intake Responses'!$A:$A,'Intake Responses'!$V:$V),"")</f>
        <v/>
      </c>
      <c r="O238" s="2">
        <f>IFERROR(XLOOKUP(A238,'Intake Responses'!$A:$A,'Intake Responses'!$W:$W),"")</f>
        <v/>
      </c>
      <c r="P238" s="2">
        <f>IFERROR(XLOOKUP(A238,'Intake Responses'!$A:$A,'Intake Responses'!$X:$X),"")</f>
        <v/>
      </c>
      <c r="Q238" s="2">
        <f>IFERROR(XLOOKUP(A238,'Intake Responses'!$A:$A,'Intake Responses'!$AF:$AF),"")</f>
        <v/>
      </c>
      <c r="R238" s="2">
        <f>IFERROR(XLOOKUP(A238,'Intake Responses'!$A:$A,'Intake Responses'!$S:$S),"")</f>
        <v/>
      </c>
      <c r="S238" s="2" t="n"/>
      <c r="T238" s="2" t="n"/>
      <c r="U238" s="2" t="n"/>
      <c r="V238" s="2">
        <f>IFERROR(MIN(5,ROUND(((M238+O238)/2)+(IF(J238&gt;=20,2,IF(J238&gt;=10,1.5,IF(J238&gt;=5,1,IF(J238&gt;=1,0.5,0))))),1)),0)</f>
        <v/>
      </c>
      <c r="W238" s="2">
        <f>IFERROR(SWITCH(F238,"Multiple times per day",5,"Daily",4,"Weekly",3,"Monthly",2,"Quarterly",1,"Ad hoc",1,"Unknown",0),0)</f>
        <v/>
      </c>
      <c r="X238" s="2">
        <f>IFERROR(ROUND(AVERAGE(L238,N238),1),0)</f>
        <v/>
      </c>
      <c r="Y238" s="2">
        <f>IFERROR(SWITCH(U238,"High",3,"Medium",2,"Low",0,"Unknown",1,1)+IF(Q238="Yes",2,IF(Q238="Unsure",1,0)),0)</f>
        <v/>
      </c>
      <c r="Z238" s="2">
        <f>IFERROR(ROUND((V238*2)+(W238*1)+(X238*2)+(IF(T238="Easy",2,IF(T238="Medium",1,IF(T238="Hard",-1,0))))-(Y238*2),1),0)</f>
        <v/>
      </c>
      <c r="AA238" s="2">
        <f>IFERROR(IF(S238="Not a fit","Not a Fit",IF(Y238&gt;=5,"High Risk / Needs Review",IF(AND(Z238&gt;=18,T238="Easy"),"Quick Win",IF(AND(Z238&gt;=18,T238&lt;&gt;"Easy"),"Strategic Project",IF(Z238&gt;=10,"Discovery Needed","Process Issue"))))),"")</f>
        <v/>
      </c>
      <c r="AB238" s="2">
        <f>IFERROR(SWITCH(AA238,"Quick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8" s="2" t="n"/>
      <c r="AD238" s="2" t="n"/>
      <c r="AE238" s="2" t="n"/>
    </row>
    <row r="239" ht="25" customHeight="1">
      <c r="A239" s="3" t="n"/>
      <c r="B239" s="3">
        <f>IFERROR(XLOOKUP(A239,'Intake Responses'!$A:$A,'Intake Responses'!$E:$E),"")</f>
        <v/>
      </c>
      <c r="C239" s="3">
        <f>IFERROR(XLOOKUP(A239,'Intake Responses'!$A:$A,'Intake Responses'!$D:$D),"")</f>
        <v/>
      </c>
      <c r="D239" s="3">
        <f>IFERROR(XLOOKUP(A239,'Intake Responses'!$A:$A,'Intake Responses'!$F:$F),"")</f>
        <v/>
      </c>
      <c r="E239" s="3" t="n"/>
      <c r="F239" s="3">
        <f>IFERROR(XLOOKUP(A239,'Intake Responses'!$A:$A,'Intake Responses'!$M:$M),"")</f>
        <v/>
      </c>
      <c r="G239" s="3">
        <f>IFERROR(XLOOKUP(A239,'Intake Responses'!$A:$A,'Intake Responses'!$N:$N),"")</f>
        <v/>
      </c>
      <c r="H239" s="3">
        <f>IFERROR(XLOOKUP(A239,'Intake Responses'!$A:$A,'Intake Responses'!$O:$O),"")</f>
        <v/>
      </c>
      <c r="I239" s="3">
        <f>IFERROR(SWITCH(F239,"Multiple times per day",60,"Daily",20,"Weekly",4,"Monthly",1,"Quarterly",0.33,"Ad hoc",0.5,"Unknown",0),0)</f>
        <v/>
      </c>
      <c r="J239" s="3">
        <f>IFERROR((G239*H239*I239)/60,0)</f>
        <v/>
      </c>
      <c r="K239" s="3">
        <f>IFERROR(J239*12,0)</f>
        <v/>
      </c>
      <c r="L239" s="3">
        <f>IFERROR(XLOOKUP(A239,'Intake Responses'!$A:$A,'Intake Responses'!$T:$T),"")</f>
        <v/>
      </c>
      <c r="M239" s="3">
        <f>IFERROR(XLOOKUP(A239,'Intake Responses'!$A:$A,'Intake Responses'!$U:$U),"")</f>
        <v/>
      </c>
      <c r="N239" s="3">
        <f>IFERROR(XLOOKUP(A239,'Intake Responses'!$A:$A,'Intake Responses'!$V:$V),"")</f>
        <v/>
      </c>
      <c r="O239" s="3">
        <f>IFERROR(XLOOKUP(A239,'Intake Responses'!$A:$A,'Intake Responses'!$W:$W),"")</f>
        <v/>
      </c>
      <c r="P239" s="3">
        <f>IFERROR(XLOOKUP(A239,'Intake Responses'!$A:$A,'Intake Responses'!$X:$X),"")</f>
        <v/>
      </c>
      <c r="Q239" s="3">
        <f>IFERROR(XLOOKUP(A239,'Intake Responses'!$A:$A,'Intake Responses'!$AF:$AF),"")</f>
        <v/>
      </c>
      <c r="R239" s="3">
        <f>IFERROR(XLOOKUP(A239,'Intake Responses'!$A:$A,'Intake Responses'!$S:$S),"")</f>
        <v/>
      </c>
      <c r="S239" s="3" t="n"/>
      <c r="T239" s="3" t="n"/>
      <c r="U239" s="3" t="n"/>
      <c r="V239" s="3">
        <f>IFERROR(MIN(5,ROUND(((M239+O239)/2)+(IF(J239&gt;=20,2,IF(J239&gt;=10,1.5,IF(J239&gt;=5,1,IF(J239&gt;=1,0.5,0))))),1)),0)</f>
        <v/>
      </c>
      <c r="W239" s="3">
        <f>IFERROR(SWITCH(F239,"Multiple times per day",5,"Daily",4,"Weekly",3,"Monthly",2,"Quarterly",1,"Ad hoc",1,"Unknown",0),0)</f>
        <v/>
      </c>
      <c r="X239" s="3">
        <f>IFERROR(ROUND(AVERAGE(L239,N239),1),0)</f>
        <v/>
      </c>
      <c r="Y239" s="3">
        <f>IFERROR(SWITCH(U239,"High",3,"Medium",2,"Low",0,"Unknown",1,1)+IF(Q239="Yes",2,IF(Q239="Unsure",1,0)),0)</f>
        <v/>
      </c>
      <c r="Z239" s="3">
        <f>IFERROR(ROUND((V239*2)+(W239*1)+(X239*2)+(IF(T239="Easy",2,IF(T239="Medium",1,IF(T239="Hard",-1,0))))-(Y239*2),1),0)</f>
        <v/>
      </c>
      <c r="AA239" s="3">
        <f>IFERROR(IF(S239="Not a fit","Not a Fit",IF(Y239&gt;=5,"High Risk / Needs Review",IF(AND(Z239&gt;=18,T239="Easy"),"Quick Win",IF(AND(Z239&gt;=18,T239&lt;&gt;"Easy"),"Strategic Project",IF(Z239&gt;=10,"Discovery Needed","Process Issue"))))),"")</f>
        <v/>
      </c>
      <c r="AB239" s="3">
        <f>IFERROR(SWITCH(AA239,"Quick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39" s="3" t="n"/>
      <c r="AD239" s="3" t="n"/>
      <c r="AE239" s="3" t="n"/>
    </row>
    <row r="240" ht="25" customHeight="1">
      <c r="A240" s="2" t="n"/>
      <c r="B240" s="2">
        <f>IFERROR(XLOOKUP(A240,'Intake Responses'!$A:$A,'Intake Responses'!$E:$E),"")</f>
        <v/>
      </c>
      <c r="C240" s="2">
        <f>IFERROR(XLOOKUP(A240,'Intake Responses'!$A:$A,'Intake Responses'!$D:$D),"")</f>
        <v/>
      </c>
      <c r="D240" s="2">
        <f>IFERROR(XLOOKUP(A240,'Intake Responses'!$A:$A,'Intake Responses'!$F:$F),"")</f>
        <v/>
      </c>
      <c r="E240" s="2" t="n"/>
      <c r="F240" s="2">
        <f>IFERROR(XLOOKUP(A240,'Intake Responses'!$A:$A,'Intake Responses'!$M:$M),"")</f>
        <v/>
      </c>
      <c r="G240" s="2">
        <f>IFERROR(XLOOKUP(A240,'Intake Responses'!$A:$A,'Intake Responses'!$N:$N),"")</f>
        <v/>
      </c>
      <c r="H240" s="2">
        <f>IFERROR(XLOOKUP(A240,'Intake Responses'!$A:$A,'Intake Responses'!$O:$O),"")</f>
        <v/>
      </c>
      <c r="I240" s="2">
        <f>IFERROR(SWITCH(F240,"Multiple times per day",60,"Daily",20,"Weekly",4,"Monthly",1,"Quarterly",0.33,"Ad hoc",0.5,"Unknown",0),0)</f>
        <v/>
      </c>
      <c r="J240" s="2">
        <f>IFERROR((G240*H240*I240)/60,0)</f>
        <v/>
      </c>
      <c r="K240" s="2">
        <f>IFERROR(J240*12,0)</f>
        <v/>
      </c>
      <c r="L240" s="2">
        <f>IFERROR(XLOOKUP(A240,'Intake Responses'!$A:$A,'Intake Responses'!$T:$T),"")</f>
        <v/>
      </c>
      <c r="M240" s="2">
        <f>IFERROR(XLOOKUP(A240,'Intake Responses'!$A:$A,'Intake Responses'!$U:$U),"")</f>
        <v/>
      </c>
      <c r="N240" s="2">
        <f>IFERROR(XLOOKUP(A240,'Intake Responses'!$A:$A,'Intake Responses'!$V:$V),"")</f>
        <v/>
      </c>
      <c r="O240" s="2">
        <f>IFERROR(XLOOKUP(A240,'Intake Responses'!$A:$A,'Intake Responses'!$W:$W),"")</f>
        <v/>
      </c>
      <c r="P240" s="2">
        <f>IFERROR(XLOOKUP(A240,'Intake Responses'!$A:$A,'Intake Responses'!$X:$X),"")</f>
        <v/>
      </c>
      <c r="Q240" s="2">
        <f>IFERROR(XLOOKUP(A240,'Intake Responses'!$A:$A,'Intake Responses'!$AF:$AF),"")</f>
        <v/>
      </c>
      <c r="R240" s="2">
        <f>IFERROR(XLOOKUP(A240,'Intake Responses'!$A:$A,'Intake Responses'!$S:$S),"")</f>
        <v/>
      </c>
      <c r="S240" s="2" t="n"/>
      <c r="T240" s="2" t="n"/>
      <c r="U240" s="2" t="n"/>
      <c r="V240" s="2">
        <f>IFERROR(MIN(5,ROUND(((M240+O240)/2)+(IF(J240&gt;=20,2,IF(J240&gt;=10,1.5,IF(J240&gt;=5,1,IF(J240&gt;=1,0.5,0))))),1)),0)</f>
        <v/>
      </c>
      <c r="W240" s="2">
        <f>IFERROR(SWITCH(F240,"Multiple times per day",5,"Daily",4,"Weekly",3,"Monthly",2,"Quarterly",1,"Ad hoc",1,"Unknown",0),0)</f>
        <v/>
      </c>
      <c r="X240" s="2">
        <f>IFERROR(ROUND(AVERAGE(L240,N240),1),0)</f>
        <v/>
      </c>
      <c r="Y240" s="2">
        <f>IFERROR(SWITCH(U240,"High",3,"Medium",2,"Low",0,"Unknown",1,1)+IF(Q240="Yes",2,IF(Q240="Unsure",1,0)),0)</f>
        <v/>
      </c>
      <c r="Z240" s="2">
        <f>IFERROR(ROUND((V240*2)+(W240*1)+(X240*2)+(IF(T240="Easy",2,IF(T240="Medium",1,IF(T240="Hard",-1,0))))-(Y240*2),1),0)</f>
        <v/>
      </c>
      <c r="AA240" s="2">
        <f>IFERROR(IF(S240="Not a fit","Not a Fit",IF(Y240&gt;=5,"High Risk / Needs Review",IF(AND(Z240&gt;=18,T240="Easy"),"Quick Win",IF(AND(Z240&gt;=18,T240&lt;&gt;"Easy"),"Strategic Project",IF(Z240&gt;=10,"Discovery Needed","Process Issue"))))),"")</f>
        <v/>
      </c>
      <c r="AB240" s="2">
        <f>IFERROR(SWITCH(AA240,"Quick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0" s="2" t="n"/>
      <c r="AD240" s="2" t="n"/>
      <c r="AE240" s="2" t="n"/>
    </row>
    <row r="241" ht="25" customHeight="1">
      <c r="A241" s="3" t="n"/>
      <c r="B241" s="3">
        <f>IFERROR(XLOOKUP(A241,'Intake Responses'!$A:$A,'Intake Responses'!$E:$E),"")</f>
        <v/>
      </c>
      <c r="C241" s="3">
        <f>IFERROR(XLOOKUP(A241,'Intake Responses'!$A:$A,'Intake Responses'!$D:$D),"")</f>
        <v/>
      </c>
      <c r="D241" s="3">
        <f>IFERROR(XLOOKUP(A241,'Intake Responses'!$A:$A,'Intake Responses'!$F:$F),"")</f>
        <v/>
      </c>
      <c r="E241" s="3" t="n"/>
      <c r="F241" s="3">
        <f>IFERROR(XLOOKUP(A241,'Intake Responses'!$A:$A,'Intake Responses'!$M:$M),"")</f>
        <v/>
      </c>
      <c r="G241" s="3">
        <f>IFERROR(XLOOKUP(A241,'Intake Responses'!$A:$A,'Intake Responses'!$N:$N),"")</f>
        <v/>
      </c>
      <c r="H241" s="3">
        <f>IFERROR(XLOOKUP(A241,'Intake Responses'!$A:$A,'Intake Responses'!$O:$O),"")</f>
        <v/>
      </c>
      <c r="I241" s="3">
        <f>IFERROR(SWITCH(F241,"Multiple times per day",60,"Daily",20,"Weekly",4,"Monthly",1,"Quarterly",0.33,"Ad hoc",0.5,"Unknown",0),0)</f>
        <v/>
      </c>
      <c r="J241" s="3">
        <f>IFERROR((G241*H241*I241)/60,0)</f>
        <v/>
      </c>
      <c r="K241" s="3">
        <f>IFERROR(J241*12,0)</f>
        <v/>
      </c>
      <c r="L241" s="3">
        <f>IFERROR(XLOOKUP(A241,'Intake Responses'!$A:$A,'Intake Responses'!$T:$T),"")</f>
        <v/>
      </c>
      <c r="M241" s="3">
        <f>IFERROR(XLOOKUP(A241,'Intake Responses'!$A:$A,'Intake Responses'!$U:$U),"")</f>
        <v/>
      </c>
      <c r="N241" s="3">
        <f>IFERROR(XLOOKUP(A241,'Intake Responses'!$A:$A,'Intake Responses'!$V:$V),"")</f>
        <v/>
      </c>
      <c r="O241" s="3">
        <f>IFERROR(XLOOKUP(A241,'Intake Responses'!$A:$A,'Intake Responses'!$W:$W),"")</f>
        <v/>
      </c>
      <c r="P241" s="3">
        <f>IFERROR(XLOOKUP(A241,'Intake Responses'!$A:$A,'Intake Responses'!$X:$X),"")</f>
        <v/>
      </c>
      <c r="Q241" s="3">
        <f>IFERROR(XLOOKUP(A241,'Intake Responses'!$A:$A,'Intake Responses'!$AF:$AF),"")</f>
        <v/>
      </c>
      <c r="R241" s="3">
        <f>IFERROR(XLOOKUP(A241,'Intake Responses'!$A:$A,'Intake Responses'!$S:$S),"")</f>
        <v/>
      </c>
      <c r="S241" s="3" t="n"/>
      <c r="T241" s="3" t="n"/>
      <c r="U241" s="3" t="n"/>
      <c r="V241" s="3">
        <f>IFERROR(MIN(5,ROUND(((M241+O241)/2)+(IF(J241&gt;=20,2,IF(J241&gt;=10,1.5,IF(J241&gt;=5,1,IF(J241&gt;=1,0.5,0))))),1)),0)</f>
        <v/>
      </c>
      <c r="W241" s="3">
        <f>IFERROR(SWITCH(F241,"Multiple times per day",5,"Daily",4,"Weekly",3,"Monthly",2,"Quarterly",1,"Ad hoc",1,"Unknown",0),0)</f>
        <v/>
      </c>
      <c r="X241" s="3">
        <f>IFERROR(ROUND(AVERAGE(L241,N241),1),0)</f>
        <v/>
      </c>
      <c r="Y241" s="3">
        <f>IFERROR(SWITCH(U241,"High",3,"Medium",2,"Low",0,"Unknown",1,1)+IF(Q241="Yes",2,IF(Q241="Unsure",1,0)),0)</f>
        <v/>
      </c>
      <c r="Z241" s="3">
        <f>IFERROR(ROUND((V241*2)+(W241*1)+(X241*2)+(IF(T241="Easy",2,IF(T241="Medium",1,IF(T241="Hard",-1,0))))-(Y241*2),1),0)</f>
        <v/>
      </c>
      <c r="AA241" s="3">
        <f>IFERROR(IF(S241="Not a fit","Not a Fit",IF(Y241&gt;=5,"High Risk / Needs Review",IF(AND(Z241&gt;=18,T241="Easy"),"Quick Win",IF(AND(Z241&gt;=18,T241&lt;&gt;"Easy"),"Strategic Project",IF(Z241&gt;=10,"Discovery Needed","Process Issue"))))),"")</f>
        <v/>
      </c>
      <c r="AB241" s="3">
        <f>IFERROR(SWITCH(AA241,"Quick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1" s="3" t="n"/>
      <c r="AD241" s="3" t="n"/>
      <c r="AE241" s="3" t="n"/>
    </row>
    <row r="242" ht="25" customHeight="1">
      <c r="A242" s="2" t="n"/>
      <c r="B242" s="2">
        <f>IFERROR(XLOOKUP(A242,'Intake Responses'!$A:$A,'Intake Responses'!$E:$E),"")</f>
        <v/>
      </c>
      <c r="C242" s="2">
        <f>IFERROR(XLOOKUP(A242,'Intake Responses'!$A:$A,'Intake Responses'!$D:$D),"")</f>
        <v/>
      </c>
      <c r="D242" s="2">
        <f>IFERROR(XLOOKUP(A242,'Intake Responses'!$A:$A,'Intake Responses'!$F:$F),"")</f>
        <v/>
      </c>
      <c r="E242" s="2" t="n"/>
      <c r="F242" s="2">
        <f>IFERROR(XLOOKUP(A242,'Intake Responses'!$A:$A,'Intake Responses'!$M:$M),"")</f>
        <v/>
      </c>
      <c r="G242" s="2">
        <f>IFERROR(XLOOKUP(A242,'Intake Responses'!$A:$A,'Intake Responses'!$N:$N),"")</f>
        <v/>
      </c>
      <c r="H242" s="2">
        <f>IFERROR(XLOOKUP(A242,'Intake Responses'!$A:$A,'Intake Responses'!$O:$O),"")</f>
        <v/>
      </c>
      <c r="I242" s="2">
        <f>IFERROR(SWITCH(F242,"Multiple times per day",60,"Daily",20,"Weekly",4,"Monthly",1,"Quarterly",0.33,"Ad hoc",0.5,"Unknown",0),0)</f>
        <v/>
      </c>
      <c r="J242" s="2">
        <f>IFERROR((G242*H242*I242)/60,0)</f>
        <v/>
      </c>
      <c r="K242" s="2">
        <f>IFERROR(J242*12,0)</f>
        <v/>
      </c>
      <c r="L242" s="2">
        <f>IFERROR(XLOOKUP(A242,'Intake Responses'!$A:$A,'Intake Responses'!$T:$T),"")</f>
        <v/>
      </c>
      <c r="M242" s="2">
        <f>IFERROR(XLOOKUP(A242,'Intake Responses'!$A:$A,'Intake Responses'!$U:$U),"")</f>
        <v/>
      </c>
      <c r="N242" s="2">
        <f>IFERROR(XLOOKUP(A242,'Intake Responses'!$A:$A,'Intake Responses'!$V:$V),"")</f>
        <v/>
      </c>
      <c r="O242" s="2">
        <f>IFERROR(XLOOKUP(A242,'Intake Responses'!$A:$A,'Intake Responses'!$W:$W),"")</f>
        <v/>
      </c>
      <c r="P242" s="2">
        <f>IFERROR(XLOOKUP(A242,'Intake Responses'!$A:$A,'Intake Responses'!$X:$X),"")</f>
        <v/>
      </c>
      <c r="Q242" s="2">
        <f>IFERROR(XLOOKUP(A242,'Intake Responses'!$A:$A,'Intake Responses'!$AF:$AF),"")</f>
        <v/>
      </c>
      <c r="R242" s="2">
        <f>IFERROR(XLOOKUP(A242,'Intake Responses'!$A:$A,'Intake Responses'!$S:$S),"")</f>
        <v/>
      </c>
      <c r="S242" s="2" t="n"/>
      <c r="T242" s="2" t="n"/>
      <c r="U242" s="2" t="n"/>
      <c r="V242" s="2">
        <f>IFERROR(MIN(5,ROUND(((M242+O242)/2)+(IF(J242&gt;=20,2,IF(J242&gt;=10,1.5,IF(J242&gt;=5,1,IF(J242&gt;=1,0.5,0))))),1)),0)</f>
        <v/>
      </c>
      <c r="W242" s="2">
        <f>IFERROR(SWITCH(F242,"Multiple times per day",5,"Daily",4,"Weekly",3,"Monthly",2,"Quarterly",1,"Ad hoc",1,"Unknown",0),0)</f>
        <v/>
      </c>
      <c r="X242" s="2">
        <f>IFERROR(ROUND(AVERAGE(L242,N242),1),0)</f>
        <v/>
      </c>
      <c r="Y242" s="2">
        <f>IFERROR(SWITCH(U242,"High",3,"Medium",2,"Low",0,"Unknown",1,1)+IF(Q242="Yes",2,IF(Q242="Unsure",1,0)),0)</f>
        <v/>
      </c>
      <c r="Z242" s="2">
        <f>IFERROR(ROUND((V242*2)+(W242*1)+(X242*2)+(IF(T242="Easy",2,IF(T242="Medium",1,IF(T242="Hard",-1,0))))-(Y242*2),1),0)</f>
        <v/>
      </c>
      <c r="AA242" s="2">
        <f>IFERROR(IF(S242="Not a fit","Not a Fit",IF(Y242&gt;=5,"High Risk / Needs Review",IF(AND(Z242&gt;=18,T242="Easy"),"Quick Win",IF(AND(Z242&gt;=18,T242&lt;&gt;"Easy"),"Strategic Project",IF(Z242&gt;=10,"Discovery Needed","Process Issue"))))),"")</f>
        <v/>
      </c>
      <c r="AB242" s="2">
        <f>IFERROR(SWITCH(AA242,"Quick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2" s="2" t="n"/>
      <c r="AD242" s="2" t="n"/>
      <c r="AE242" s="2" t="n"/>
    </row>
    <row r="243" ht="25" customHeight="1">
      <c r="A243" s="3" t="n"/>
      <c r="B243" s="3">
        <f>IFERROR(XLOOKUP(A243,'Intake Responses'!$A:$A,'Intake Responses'!$E:$E),"")</f>
        <v/>
      </c>
      <c r="C243" s="3">
        <f>IFERROR(XLOOKUP(A243,'Intake Responses'!$A:$A,'Intake Responses'!$D:$D),"")</f>
        <v/>
      </c>
      <c r="D243" s="3">
        <f>IFERROR(XLOOKUP(A243,'Intake Responses'!$A:$A,'Intake Responses'!$F:$F),"")</f>
        <v/>
      </c>
      <c r="E243" s="3" t="n"/>
      <c r="F243" s="3">
        <f>IFERROR(XLOOKUP(A243,'Intake Responses'!$A:$A,'Intake Responses'!$M:$M),"")</f>
        <v/>
      </c>
      <c r="G243" s="3">
        <f>IFERROR(XLOOKUP(A243,'Intake Responses'!$A:$A,'Intake Responses'!$N:$N),"")</f>
        <v/>
      </c>
      <c r="H243" s="3">
        <f>IFERROR(XLOOKUP(A243,'Intake Responses'!$A:$A,'Intake Responses'!$O:$O),"")</f>
        <v/>
      </c>
      <c r="I243" s="3">
        <f>IFERROR(SWITCH(F243,"Multiple times per day",60,"Daily",20,"Weekly",4,"Monthly",1,"Quarterly",0.33,"Ad hoc",0.5,"Unknown",0),0)</f>
        <v/>
      </c>
      <c r="J243" s="3">
        <f>IFERROR((G243*H243*I243)/60,0)</f>
        <v/>
      </c>
      <c r="K243" s="3">
        <f>IFERROR(J243*12,0)</f>
        <v/>
      </c>
      <c r="L243" s="3">
        <f>IFERROR(XLOOKUP(A243,'Intake Responses'!$A:$A,'Intake Responses'!$T:$T),"")</f>
        <v/>
      </c>
      <c r="M243" s="3">
        <f>IFERROR(XLOOKUP(A243,'Intake Responses'!$A:$A,'Intake Responses'!$U:$U),"")</f>
        <v/>
      </c>
      <c r="N243" s="3">
        <f>IFERROR(XLOOKUP(A243,'Intake Responses'!$A:$A,'Intake Responses'!$V:$V),"")</f>
        <v/>
      </c>
      <c r="O243" s="3">
        <f>IFERROR(XLOOKUP(A243,'Intake Responses'!$A:$A,'Intake Responses'!$W:$W),"")</f>
        <v/>
      </c>
      <c r="P243" s="3">
        <f>IFERROR(XLOOKUP(A243,'Intake Responses'!$A:$A,'Intake Responses'!$X:$X),"")</f>
        <v/>
      </c>
      <c r="Q243" s="3">
        <f>IFERROR(XLOOKUP(A243,'Intake Responses'!$A:$A,'Intake Responses'!$AF:$AF),"")</f>
        <v/>
      </c>
      <c r="R243" s="3">
        <f>IFERROR(XLOOKUP(A243,'Intake Responses'!$A:$A,'Intake Responses'!$S:$S),"")</f>
        <v/>
      </c>
      <c r="S243" s="3" t="n"/>
      <c r="T243" s="3" t="n"/>
      <c r="U243" s="3" t="n"/>
      <c r="V243" s="3">
        <f>IFERROR(MIN(5,ROUND(((M243+O243)/2)+(IF(J243&gt;=20,2,IF(J243&gt;=10,1.5,IF(J243&gt;=5,1,IF(J243&gt;=1,0.5,0))))),1)),0)</f>
        <v/>
      </c>
      <c r="W243" s="3">
        <f>IFERROR(SWITCH(F243,"Multiple times per day",5,"Daily",4,"Weekly",3,"Monthly",2,"Quarterly",1,"Ad hoc",1,"Unknown",0),0)</f>
        <v/>
      </c>
      <c r="X243" s="3">
        <f>IFERROR(ROUND(AVERAGE(L243,N243),1),0)</f>
        <v/>
      </c>
      <c r="Y243" s="3">
        <f>IFERROR(SWITCH(U243,"High",3,"Medium",2,"Low",0,"Unknown",1,1)+IF(Q243="Yes",2,IF(Q243="Unsure",1,0)),0)</f>
        <v/>
      </c>
      <c r="Z243" s="3">
        <f>IFERROR(ROUND((V243*2)+(W243*1)+(X243*2)+(IF(T243="Easy",2,IF(T243="Medium",1,IF(T243="Hard",-1,0))))-(Y243*2),1),0)</f>
        <v/>
      </c>
      <c r="AA243" s="3">
        <f>IFERROR(IF(S243="Not a fit","Not a Fit",IF(Y243&gt;=5,"High Risk / Needs Review",IF(AND(Z243&gt;=18,T243="Easy"),"Quick Win",IF(AND(Z243&gt;=18,T243&lt;&gt;"Easy"),"Strategic Project",IF(Z243&gt;=10,"Discovery Needed","Process Issue"))))),"")</f>
        <v/>
      </c>
      <c r="AB243" s="3">
        <f>IFERROR(SWITCH(AA243,"Quick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3" s="3" t="n"/>
      <c r="AD243" s="3" t="n"/>
      <c r="AE243" s="3" t="n"/>
    </row>
    <row r="244" ht="25" customHeight="1">
      <c r="A244" s="2" t="n"/>
      <c r="B244" s="2">
        <f>IFERROR(XLOOKUP(A244,'Intake Responses'!$A:$A,'Intake Responses'!$E:$E),"")</f>
        <v/>
      </c>
      <c r="C244" s="2">
        <f>IFERROR(XLOOKUP(A244,'Intake Responses'!$A:$A,'Intake Responses'!$D:$D),"")</f>
        <v/>
      </c>
      <c r="D244" s="2">
        <f>IFERROR(XLOOKUP(A244,'Intake Responses'!$A:$A,'Intake Responses'!$F:$F),"")</f>
        <v/>
      </c>
      <c r="E244" s="2" t="n"/>
      <c r="F244" s="2">
        <f>IFERROR(XLOOKUP(A244,'Intake Responses'!$A:$A,'Intake Responses'!$M:$M),"")</f>
        <v/>
      </c>
      <c r="G244" s="2">
        <f>IFERROR(XLOOKUP(A244,'Intake Responses'!$A:$A,'Intake Responses'!$N:$N),"")</f>
        <v/>
      </c>
      <c r="H244" s="2">
        <f>IFERROR(XLOOKUP(A244,'Intake Responses'!$A:$A,'Intake Responses'!$O:$O),"")</f>
        <v/>
      </c>
      <c r="I244" s="2">
        <f>IFERROR(SWITCH(F244,"Multiple times per day",60,"Daily",20,"Weekly",4,"Monthly",1,"Quarterly",0.33,"Ad hoc",0.5,"Unknown",0),0)</f>
        <v/>
      </c>
      <c r="J244" s="2">
        <f>IFERROR((G244*H244*I244)/60,0)</f>
        <v/>
      </c>
      <c r="K244" s="2">
        <f>IFERROR(J244*12,0)</f>
        <v/>
      </c>
      <c r="L244" s="2">
        <f>IFERROR(XLOOKUP(A244,'Intake Responses'!$A:$A,'Intake Responses'!$T:$T),"")</f>
        <v/>
      </c>
      <c r="M244" s="2">
        <f>IFERROR(XLOOKUP(A244,'Intake Responses'!$A:$A,'Intake Responses'!$U:$U),"")</f>
        <v/>
      </c>
      <c r="N244" s="2">
        <f>IFERROR(XLOOKUP(A244,'Intake Responses'!$A:$A,'Intake Responses'!$V:$V),"")</f>
        <v/>
      </c>
      <c r="O244" s="2">
        <f>IFERROR(XLOOKUP(A244,'Intake Responses'!$A:$A,'Intake Responses'!$W:$W),"")</f>
        <v/>
      </c>
      <c r="P244" s="2">
        <f>IFERROR(XLOOKUP(A244,'Intake Responses'!$A:$A,'Intake Responses'!$X:$X),"")</f>
        <v/>
      </c>
      <c r="Q244" s="2">
        <f>IFERROR(XLOOKUP(A244,'Intake Responses'!$A:$A,'Intake Responses'!$AF:$AF),"")</f>
        <v/>
      </c>
      <c r="R244" s="2">
        <f>IFERROR(XLOOKUP(A244,'Intake Responses'!$A:$A,'Intake Responses'!$S:$S),"")</f>
        <v/>
      </c>
      <c r="S244" s="2" t="n"/>
      <c r="T244" s="2" t="n"/>
      <c r="U244" s="2" t="n"/>
      <c r="V244" s="2">
        <f>IFERROR(MIN(5,ROUND(((M244+O244)/2)+(IF(J244&gt;=20,2,IF(J244&gt;=10,1.5,IF(J244&gt;=5,1,IF(J244&gt;=1,0.5,0))))),1)),0)</f>
        <v/>
      </c>
      <c r="W244" s="2">
        <f>IFERROR(SWITCH(F244,"Multiple times per day",5,"Daily",4,"Weekly",3,"Monthly",2,"Quarterly",1,"Ad hoc",1,"Unknown",0),0)</f>
        <v/>
      </c>
      <c r="X244" s="2">
        <f>IFERROR(ROUND(AVERAGE(L244,N244),1),0)</f>
        <v/>
      </c>
      <c r="Y244" s="2">
        <f>IFERROR(SWITCH(U244,"High",3,"Medium",2,"Low",0,"Unknown",1,1)+IF(Q244="Yes",2,IF(Q244="Unsure",1,0)),0)</f>
        <v/>
      </c>
      <c r="Z244" s="2">
        <f>IFERROR(ROUND((V244*2)+(W244*1)+(X244*2)+(IF(T244="Easy",2,IF(T244="Medium",1,IF(T244="Hard",-1,0))))-(Y244*2),1),0)</f>
        <v/>
      </c>
      <c r="AA244" s="2">
        <f>IFERROR(IF(S244="Not a fit","Not a Fit",IF(Y244&gt;=5,"High Risk / Needs Review",IF(AND(Z244&gt;=18,T244="Easy"),"Quick Win",IF(AND(Z244&gt;=18,T244&lt;&gt;"Easy"),"Strategic Project",IF(Z244&gt;=10,"Discovery Needed","Process Issue"))))),"")</f>
        <v/>
      </c>
      <c r="AB244" s="2">
        <f>IFERROR(SWITCH(AA244,"Quick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4" s="2" t="n"/>
      <c r="AD244" s="2" t="n"/>
      <c r="AE244" s="2" t="n"/>
    </row>
    <row r="245" ht="25" customHeight="1">
      <c r="A245" s="3" t="n"/>
      <c r="B245" s="3">
        <f>IFERROR(XLOOKUP(A245,'Intake Responses'!$A:$A,'Intake Responses'!$E:$E),"")</f>
        <v/>
      </c>
      <c r="C245" s="3">
        <f>IFERROR(XLOOKUP(A245,'Intake Responses'!$A:$A,'Intake Responses'!$D:$D),"")</f>
        <v/>
      </c>
      <c r="D245" s="3">
        <f>IFERROR(XLOOKUP(A245,'Intake Responses'!$A:$A,'Intake Responses'!$F:$F),"")</f>
        <v/>
      </c>
      <c r="E245" s="3" t="n"/>
      <c r="F245" s="3">
        <f>IFERROR(XLOOKUP(A245,'Intake Responses'!$A:$A,'Intake Responses'!$M:$M),"")</f>
        <v/>
      </c>
      <c r="G245" s="3">
        <f>IFERROR(XLOOKUP(A245,'Intake Responses'!$A:$A,'Intake Responses'!$N:$N),"")</f>
        <v/>
      </c>
      <c r="H245" s="3">
        <f>IFERROR(XLOOKUP(A245,'Intake Responses'!$A:$A,'Intake Responses'!$O:$O),"")</f>
        <v/>
      </c>
      <c r="I245" s="3">
        <f>IFERROR(SWITCH(F245,"Multiple times per day",60,"Daily",20,"Weekly",4,"Monthly",1,"Quarterly",0.33,"Ad hoc",0.5,"Unknown",0),0)</f>
        <v/>
      </c>
      <c r="J245" s="3">
        <f>IFERROR((G245*H245*I245)/60,0)</f>
        <v/>
      </c>
      <c r="K245" s="3">
        <f>IFERROR(J245*12,0)</f>
        <v/>
      </c>
      <c r="L245" s="3">
        <f>IFERROR(XLOOKUP(A245,'Intake Responses'!$A:$A,'Intake Responses'!$T:$T),"")</f>
        <v/>
      </c>
      <c r="M245" s="3">
        <f>IFERROR(XLOOKUP(A245,'Intake Responses'!$A:$A,'Intake Responses'!$U:$U),"")</f>
        <v/>
      </c>
      <c r="N245" s="3">
        <f>IFERROR(XLOOKUP(A245,'Intake Responses'!$A:$A,'Intake Responses'!$V:$V),"")</f>
        <v/>
      </c>
      <c r="O245" s="3">
        <f>IFERROR(XLOOKUP(A245,'Intake Responses'!$A:$A,'Intake Responses'!$W:$W),"")</f>
        <v/>
      </c>
      <c r="P245" s="3">
        <f>IFERROR(XLOOKUP(A245,'Intake Responses'!$A:$A,'Intake Responses'!$X:$X),"")</f>
        <v/>
      </c>
      <c r="Q245" s="3">
        <f>IFERROR(XLOOKUP(A245,'Intake Responses'!$A:$A,'Intake Responses'!$AF:$AF),"")</f>
        <v/>
      </c>
      <c r="R245" s="3">
        <f>IFERROR(XLOOKUP(A245,'Intake Responses'!$A:$A,'Intake Responses'!$S:$S),"")</f>
        <v/>
      </c>
      <c r="S245" s="3" t="n"/>
      <c r="T245" s="3" t="n"/>
      <c r="U245" s="3" t="n"/>
      <c r="V245" s="3">
        <f>IFERROR(MIN(5,ROUND(((M245+O245)/2)+(IF(J245&gt;=20,2,IF(J245&gt;=10,1.5,IF(J245&gt;=5,1,IF(J245&gt;=1,0.5,0))))),1)),0)</f>
        <v/>
      </c>
      <c r="W245" s="3">
        <f>IFERROR(SWITCH(F245,"Multiple times per day",5,"Daily",4,"Weekly",3,"Monthly",2,"Quarterly",1,"Ad hoc",1,"Unknown",0),0)</f>
        <v/>
      </c>
      <c r="X245" s="3">
        <f>IFERROR(ROUND(AVERAGE(L245,N245),1),0)</f>
        <v/>
      </c>
      <c r="Y245" s="3">
        <f>IFERROR(SWITCH(U245,"High",3,"Medium",2,"Low",0,"Unknown",1,1)+IF(Q245="Yes",2,IF(Q245="Unsure",1,0)),0)</f>
        <v/>
      </c>
      <c r="Z245" s="3">
        <f>IFERROR(ROUND((V245*2)+(W245*1)+(X245*2)+(IF(T245="Easy",2,IF(T245="Medium",1,IF(T245="Hard",-1,0))))-(Y245*2),1),0)</f>
        <v/>
      </c>
      <c r="AA245" s="3">
        <f>IFERROR(IF(S245="Not a fit","Not a Fit",IF(Y245&gt;=5,"High Risk / Needs Review",IF(AND(Z245&gt;=18,T245="Easy"),"Quick Win",IF(AND(Z245&gt;=18,T245&lt;&gt;"Easy"),"Strategic Project",IF(Z245&gt;=10,"Discovery Needed","Process Issue"))))),"")</f>
        <v/>
      </c>
      <c r="AB245" s="3">
        <f>IFERROR(SWITCH(AA245,"Quick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5" s="3" t="n"/>
      <c r="AD245" s="3" t="n"/>
      <c r="AE245" s="3" t="n"/>
    </row>
    <row r="246" ht="25" customHeight="1">
      <c r="A246" s="2" t="n"/>
      <c r="B246" s="2">
        <f>IFERROR(XLOOKUP(A246,'Intake Responses'!$A:$A,'Intake Responses'!$E:$E),"")</f>
        <v/>
      </c>
      <c r="C246" s="2">
        <f>IFERROR(XLOOKUP(A246,'Intake Responses'!$A:$A,'Intake Responses'!$D:$D),"")</f>
        <v/>
      </c>
      <c r="D246" s="2">
        <f>IFERROR(XLOOKUP(A246,'Intake Responses'!$A:$A,'Intake Responses'!$F:$F),"")</f>
        <v/>
      </c>
      <c r="E246" s="2" t="n"/>
      <c r="F246" s="2">
        <f>IFERROR(XLOOKUP(A246,'Intake Responses'!$A:$A,'Intake Responses'!$M:$M),"")</f>
        <v/>
      </c>
      <c r="G246" s="2">
        <f>IFERROR(XLOOKUP(A246,'Intake Responses'!$A:$A,'Intake Responses'!$N:$N),"")</f>
        <v/>
      </c>
      <c r="H246" s="2">
        <f>IFERROR(XLOOKUP(A246,'Intake Responses'!$A:$A,'Intake Responses'!$O:$O),"")</f>
        <v/>
      </c>
      <c r="I246" s="2">
        <f>IFERROR(SWITCH(F246,"Multiple times per day",60,"Daily",20,"Weekly",4,"Monthly",1,"Quarterly",0.33,"Ad hoc",0.5,"Unknown",0),0)</f>
        <v/>
      </c>
      <c r="J246" s="2">
        <f>IFERROR((G246*H246*I246)/60,0)</f>
        <v/>
      </c>
      <c r="K246" s="2">
        <f>IFERROR(J246*12,0)</f>
        <v/>
      </c>
      <c r="L246" s="2">
        <f>IFERROR(XLOOKUP(A246,'Intake Responses'!$A:$A,'Intake Responses'!$T:$T),"")</f>
        <v/>
      </c>
      <c r="M246" s="2">
        <f>IFERROR(XLOOKUP(A246,'Intake Responses'!$A:$A,'Intake Responses'!$U:$U),"")</f>
        <v/>
      </c>
      <c r="N246" s="2">
        <f>IFERROR(XLOOKUP(A246,'Intake Responses'!$A:$A,'Intake Responses'!$V:$V),"")</f>
        <v/>
      </c>
      <c r="O246" s="2">
        <f>IFERROR(XLOOKUP(A246,'Intake Responses'!$A:$A,'Intake Responses'!$W:$W),"")</f>
        <v/>
      </c>
      <c r="P246" s="2">
        <f>IFERROR(XLOOKUP(A246,'Intake Responses'!$A:$A,'Intake Responses'!$X:$X),"")</f>
        <v/>
      </c>
      <c r="Q246" s="2">
        <f>IFERROR(XLOOKUP(A246,'Intake Responses'!$A:$A,'Intake Responses'!$AF:$AF),"")</f>
        <v/>
      </c>
      <c r="R246" s="2">
        <f>IFERROR(XLOOKUP(A246,'Intake Responses'!$A:$A,'Intake Responses'!$S:$S),"")</f>
        <v/>
      </c>
      <c r="S246" s="2" t="n"/>
      <c r="T246" s="2" t="n"/>
      <c r="U246" s="2" t="n"/>
      <c r="V246" s="2">
        <f>IFERROR(MIN(5,ROUND(((M246+O246)/2)+(IF(J246&gt;=20,2,IF(J246&gt;=10,1.5,IF(J246&gt;=5,1,IF(J246&gt;=1,0.5,0))))),1)),0)</f>
        <v/>
      </c>
      <c r="W246" s="2">
        <f>IFERROR(SWITCH(F246,"Multiple times per day",5,"Daily",4,"Weekly",3,"Monthly",2,"Quarterly",1,"Ad hoc",1,"Unknown",0),0)</f>
        <v/>
      </c>
      <c r="X246" s="2">
        <f>IFERROR(ROUND(AVERAGE(L246,N246),1),0)</f>
        <v/>
      </c>
      <c r="Y246" s="2">
        <f>IFERROR(SWITCH(U246,"High",3,"Medium",2,"Low",0,"Unknown",1,1)+IF(Q246="Yes",2,IF(Q246="Unsure",1,0)),0)</f>
        <v/>
      </c>
      <c r="Z246" s="2">
        <f>IFERROR(ROUND((V246*2)+(W246*1)+(X246*2)+(IF(T246="Easy",2,IF(T246="Medium",1,IF(T246="Hard",-1,0))))-(Y246*2),1),0)</f>
        <v/>
      </c>
      <c r="AA246" s="2">
        <f>IFERROR(IF(S246="Not a fit","Not a Fit",IF(Y246&gt;=5,"High Risk / Needs Review",IF(AND(Z246&gt;=18,T246="Easy"),"Quick Win",IF(AND(Z246&gt;=18,T246&lt;&gt;"Easy"),"Strategic Project",IF(Z246&gt;=10,"Discovery Needed","Process Issue"))))),"")</f>
        <v/>
      </c>
      <c r="AB246" s="2">
        <f>IFERROR(SWITCH(AA246,"Quick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6" s="2" t="n"/>
      <c r="AD246" s="2" t="n"/>
      <c r="AE246" s="2" t="n"/>
    </row>
    <row r="247" ht="25" customHeight="1">
      <c r="A247" s="3" t="n"/>
      <c r="B247" s="3">
        <f>IFERROR(XLOOKUP(A247,'Intake Responses'!$A:$A,'Intake Responses'!$E:$E),"")</f>
        <v/>
      </c>
      <c r="C247" s="3">
        <f>IFERROR(XLOOKUP(A247,'Intake Responses'!$A:$A,'Intake Responses'!$D:$D),"")</f>
        <v/>
      </c>
      <c r="D247" s="3">
        <f>IFERROR(XLOOKUP(A247,'Intake Responses'!$A:$A,'Intake Responses'!$F:$F),"")</f>
        <v/>
      </c>
      <c r="E247" s="3" t="n"/>
      <c r="F247" s="3">
        <f>IFERROR(XLOOKUP(A247,'Intake Responses'!$A:$A,'Intake Responses'!$M:$M),"")</f>
        <v/>
      </c>
      <c r="G247" s="3">
        <f>IFERROR(XLOOKUP(A247,'Intake Responses'!$A:$A,'Intake Responses'!$N:$N),"")</f>
        <v/>
      </c>
      <c r="H247" s="3">
        <f>IFERROR(XLOOKUP(A247,'Intake Responses'!$A:$A,'Intake Responses'!$O:$O),"")</f>
        <v/>
      </c>
      <c r="I247" s="3">
        <f>IFERROR(SWITCH(F247,"Multiple times per day",60,"Daily",20,"Weekly",4,"Monthly",1,"Quarterly",0.33,"Ad hoc",0.5,"Unknown",0),0)</f>
        <v/>
      </c>
      <c r="J247" s="3">
        <f>IFERROR((G247*H247*I247)/60,0)</f>
        <v/>
      </c>
      <c r="K247" s="3">
        <f>IFERROR(J247*12,0)</f>
        <v/>
      </c>
      <c r="L247" s="3">
        <f>IFERROR(XLOOKUP(A247,'Intake Responses'!$A:$A,'Intake Responses'!$T:$T),"")</f>
        <v/>
      </c>
      <c r="M247" s="3">
        <f>IFERROR(XLOOKUP(A247,'Intake Responses'!$A:$A,'Intake Responses'!$U:$U),"")</f>
        <v/>
      </c>
      <c r="N247" s="3">
        <f>IFERROR(XLOOKUP(A247,'Intake Responses'!$A:$A,'Intake Responses'!$V:$V),"")</f>
        <v/>
      </c>
      <c r="O247" s="3">
        <f>IFERROR(XLOOKUP(A247,'Intake Responses'!$A:$A,'Intake Responses'!$W:$W),"")</f>
        <v/>
      </c>
      <c r="P247" s="3">
        <f>IFERROR(XLOOKUP(A247,'Intake Responses'!$A:$A,'Intake Responses'!$X:$X),"")</f>
        <v/>
      </c>
      <c r="Q247" s="3">
        <f>IFERROR(XLOOKUP(A247,'Intake Responses'!$A:$A,'Intake Responses'!$AF:$AF),"")</f>
        <v/>
      </c>
      <c r="R247" s="3">
        <f>IFERROR(XLOOKUP(A247,'Intake Responses'!$A:$A,'Intake Responses'!$S:$S),"")</f>
        <v/>
      </c>
      <c r="S247" s="3" t="n"/>
      <c r="T247" s="3" t="n"/>
      <c r="U247" s="3" t="n"/>
      <c r="V247" s="3">
        <f>IFERROR(MIN(5,ROUND(((M247+O247)/2)+(IF(J247&gt;=20,2,IF(J247&gt;=10,1.5,IF(J247&gt;=5,1,IF(J247&gt;=1,0.5,0))))),1)),0)</f>
        <v/>
      </c>
      <c r="W247" s="3">
        <f>IFERROR(SWITCH(F247,"Multiple times per day",5,"Daily",4,"Weekly",3,"Monthly",2,"Quarterly",1,"Ad hoc",1,"Unknown",0),0)</f>
        <v/>
      </c>
      <c r="X247" s="3">
        <f>IFERROR(ROUND(AVERAGE(L247,N247),1),0)</f>
        <v/>
      </c>
      <c r="Y247" s="3">
        <f>IFERROR(SWITCH(U247,"High",3,"Medium",2,"Low",0,"Unknown",1,1)+IF(Q247="Yes",2,IF(Q247="Unsure",1,0)),0)</f>
        <v/>
      </c>
      <c r="Z247" s="3">
        <f>IFERROR(ROUND((V247*2)+(W247*1)+(X247*2)+(IF(T247="Easy",2,IF(T247="Medium",1,IF(T247="Hard",-1,0))))-(Y247*2),1),0)</f>
        <v/>
      </c>
      <c r="AA247" s="3">
        <f>IFERROR(IF(S247="Not a fit","Not a Fit",IF(Y247&gt;=5,"High Risk / Needs Review",IF(AND(Z247&gt;=18,T247="Easy"),"Quick Win",IF(AND(Z247&gt;=18,T247&lt;&gt;"Easy"),"Strategic Project",IF(Z247&gt;=10,"Discovery Needed","Process Issue"))))),"")</f>
        <v/>
      </c>
      <c r="AB247" s="3">
        <f>IFERROR(SWITCH(AA247,"Quick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7" s="3" t="n"/>
      <c r="AD247" s="3" t="n"/>
      <c r="AE247" s="3" t="n"/>
    </row>
    <row r="248" ht="25" customHeight="1">
      <c r="A248" s="2" t="n"/>
      <c r="B248" s="2">
        <f>IFERROR(XLOOKUP(A248,'Intake Responses'!$A:$A,'Intake Responses'!$E:$E),"")</f>
        <v/>
      </c>
      <c r="C248" s="2">
        <f>IFERROR(XLOOKUP(A248,'Intake Responses'!$A:$A,'Intake Responses'!$D:$D),"")</f>
        <v/>
      </c>
      <c r="D248" s="2">
        <f>IFERROR(XLOOKUP(A248,'Intake Responses'!$A:$A,'Intake Responses'!$F:$F),"")</f>
        <v/>
      </c>
      <c r="E248" s="2" t="n"/>
      <c r="F248" s="2">
        <f>IFERROR(XLOOKUP(A248,'Intake Responses'!$A:$A,'Intake Responses'!$M:$M),"")</f>
        <v/>
      </c>
      <c r="G248" s="2">
        <f>IFERROR(XLOOKUP(A248,'Intake Responses'!$A:$A,'Intake Responses'!$N:$N),"")</f>
        <v/>
      </c>
      <c r="H248" s="2">
        <f>IFERROR(XLOOKUP(A248,'Intake Responses'!$A:$A,'Intake Responses'!$O:$O),"")</f>
        <v/>
      </c>
      <c r="I248" s="2">
        <f>IFERROR(SWITCH(F248,"Multiple times per day",60,"Daily",20,"Weekly",4,"Monthly",1,"Quarterly",0.33,"Ad hoc",0.5,"Unknown",0),0)</f>
        <v/>
      </c>
      <c r="J248" s="2">
        <f>IFERROR((G248*H248*I248)/60,0)</f>
        <v/>
      </c>
      <c r="K248" s="2">
        <f>IFERROR(J248*12,0)</f>
        <v/>
      </c>
      <c r="L248" s="2">
        <f>IFERROR(XLOOKUP(A248,'Intake Responses'!$A:$A,'Intake Responses'!$T:$T),"")</f>
        <v/>
      </c>
      <c r="M248" s="2">
        <f>IFERROR(XLOOKUP(A248,'Intake Responses'!$A:$A,'Intake Responses'!$U:$U),"")</f>
        <v/>
      </c>
      <c r="N248" s="2">
        <f>IFERROR(XLOOKUP(A248,'Intake Responses'!$A:$A,'Intake Responses'!$V:$V),"")</f>
        <v/>
      </c>
      <c r="O248" s="2">
        <f>IFERROR(XLOOKUP(A248,'Intake Responses'!$A:$A,'Intake Responses'!$W:$W),"")</f>
        <v/>
      </c>
      <c r="P248" s="2">
        <f>IFERROR(XLOOKUP(A248,'Intake Responses'!$A:$A,'Intake Responses'!$X:$X),"")</f>
        <v/>
      </c>
      <c r="Q248" s="2">
        <f>IFERROR(XLOOKUP(A248,'Intake Responses'!$A:$A,'Intake Responses'!$AF:$AF),"")</f>
        <v/>
      </c>
      <c r="R248" s="2">
        <f>IFERROR(XLOOKUP(A248,'Intake Responses'!$A:$A,'Intake Responses'!$S:$S),"")</f>
        <v/>
      </c>
      <c r="S248" s="2" t="n"/>
      <c r="T248" s="2" t="n"/>
      <c r="U248" s="2" t="n"/>
      <c r="V248" s="2">
        <f>IFERROR(MIN(5,ROUND(((M248+O248)/2)+(IF(J248&gt;=20,2,IF(J248&gt;=10,1.5,IF(J248&gt;=5,1,IF(J248&gt;=1,0.5,0))))),1)),0)</f>
        <v/>
      </c>
      <c r="W248" s="2">
        <f>IFERROR(SWITCH(F248,"Multiple times per day",5,"Daily",4,"Weekly",3,"Monthly",2,"Quarterly",1,"Ad hoc",1,"Unknown",0),0)</f>
        <v/>
      </c>
      <c r="X248" s="2">
        <f>IFERROR(ROUND(AVERAGE(L248,N248),1),0)</f>
        <v/>
      </c>
      <c r="Y248" s="2">
        <f>IFERROR(SWITCH(U248,"High",3,"Medium",2,"Low",0,"Unknown",1,1)+IF(Q248="Yes",2,IF(Q248="Unsure",1,0)),0)</f>
        <v/>
      </c>
      <c r="Z248" s="2">
        <f>IFERROR(ROUND((V248*2)+(W248*1)+(X248*2)+(IF(T248="Easy",2,IF(T248="Medium",1,IF(T248="Hard",-1,0))))-(Y248*2),1),0)</f>
        <v/>
      </c>
      <c r="AA248" s="2">
        <f>IFERROR(IF(S248="Not a fit","Not a Fit",IF(Y248&gt;=5,"High Risk / Needs Review",IF(AND(Z248&gt;=18,T248="Easy"),"Quick Win",IF(AND(Z248&gt;=18,T248&lt;&gt;"Easy"),"Strategic Project",IF(Z248&gt;=10,"Discovery Needed","Process Issue"))))),"")</f>
        <v/>
      </c>
      <c r="AB248" s="2">
        <f>IFERROR(SWITCH(AA248,"Quick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8" s="2" t="n"/>
      <c r="AD248" s="2" t="n"/>
      <c r="AE248" s="2" t="n"/>
    </row>
    <row r="249" ht="25" customHeight="1">
      <c r="A249" s="3" t="n"/>
      <c r="B249" s="3">
        <f>IFERROR(XLOOKUP(A249,'Intake Responses'!$A:$A,'Intake Responses'!$E:$E),"")</f>
        <v/>
      </c>
      <c r="C249" s="3">
        <f>IFERROR(XLOOKUP(A249,'Intake Responses'!$A:$A,'Intake Responses'!$D:$D),"")</f>
        <v/>
      </c>
      <c r="D249" s="3">
        <f>IFERROR(XLOOKUP(A249,'Intake Responses'!$A:$A,'Intake Responses'!$F:$F),"")</f>
        <v/>
      </c>
      <c r="E249" s="3" t="n"/>
      <c r="F249" s="3">
        <f>IFERROR(XLOOKUP(A249,'Intake Responses'!$A:$A,'Intake Responses'!$M:$M),"")</f>
        <v/>
      </c>
      <c r="G249" s="3">
        <f>IFERROR(XLOOKUP(A249,'Intake Responses'!$A:$A,'Intake Responses'!$N:$N),"")</f>
        <v/>
      </c>
      <c r="H249" s="3">
        <f>IFERROR(XLOOKUP(A249,'Intake Responses'!$A:$A,'Intake Responses'!$O:$O),"")</f>
        <v/>
      </c>
      <c r="I249" s="3">
        <f>IFERROR(SWITCH(F249,"Multiple times per day",60,"Daily",20,"Weekly",4,"Monthly",1,"Quarterly",0.33,"Ad hoc",0.5,"Unknown",0),0)</f>
        <v/>
      </c>
      <c r="J249" s="3">
        <f>IFERROR((G249*H249*I249)/60,0)</f>
        <v/>
      </c>
      <c r="K249" s="3">
        <f>IFERROR(J249*12,0)</f>
        <v/>
      </c>
      <c r="L249" s="3">
        <f>IFERROR(XLOOKUP(A249,'Intake Responses'!$A:$A,'Intake Responses'!$T:$T),"")</f>
        <v/>
      </c>
      <c r="M249" s="3">
        <f>IFERROR(XLOOKUP(A249,'Intake Responses'!$A:$A,'Intake Responses'!$U:$U),"")</f>
        <v/>
      </c>
      <c r="N249" s="3">
        <f>IFERROR(XLOOKUP(A249,'Intake Responses'!$A:$A,'Intake Responses'!$V:$V),"")</f>
        <v/>
      </c>
      <c r="O249" s="3">
        <f>IFERROR(XLOOKUP(A249,'Intake Responses'!$A:$A,'Intake Responses'!$W:$W),"")</f>
        <v/>
      </c>
      <c r="P249" s="3">
        <f>IFERROR(XLOOKUP(A249,'Intake Responses'!$A:$A,'Intake Responses'!$X:$X),"")</f>
        <v/>
      </c>
      <c r="Q249" s="3">
        <f>IFERROR(XLOOKUP(A249,'Intake Responses'!$A:$A,'Intake Responses'!$AF:$AF),"")</f>
        <v/>
      </c>
      <c r="R249" s="3">
        <f>IFERROR(XLOOKUP(A249,'Intake Responses'!$A:$A,'Intake Responses'!$S:$S),"")</f>
        <v/>
      </c>
      <c r="S249" s="3" t="n"/>
      <c r="T249" s="3" t="n"/>
      <c r="U249" s="3" t="n"/>
      <c r="V249" s="3">
        <f>IFERROR(MIN(5,ROUND(((M249+O249)/2)+(IF(J249&gt;=20,2,IF(J249&gt;=10,1.5,IF(J249&gt;=5,1,IF(J249&gt;=1,0.5,0))))),1)),0)</f>
        <v/>
      </c>
      <c r="W249" s="3">
        <f>IFERROR(SWITCH(F249,"Multiple times per day",5,"Daily",4,"Weekly",3,"Monthly",2,"Quarterly",1,"Ad hoc",1,"Unknown",0),0)</f>
        <v/>
      </c>
      <c r="X249" s="3">
        <f>IFERROR(ROUND(AVERAGE(L249,N249),1),0)</f>
        <v/>
      </c>
      <c r="Y249" s="3">
        <f>IFERROR(SWITCH(U249,"High",3,"Medium",2,"Low",0,"Unknown",1,1)+IF(Q249="Yes",2,IF(Q249="Unsure",1,0)),0)</f>
        <v/>
      </c>
      <c r="Z249" s="3">
        <f>IFERROR(ROUND((V249*2)+(W249*1)+(X249*2)+(IF(T249="Easy",2,IF(T249="Medium",1,IF(T249="Hard",-1,0))))-(Y249*2),1),0)</f>
        <v/>
      </c>
      <c r="AA249" s="3">
        <f>IFERROR(IF(S249="Not a fit","Not a Fit",IF(Y249&gt;=5,"High Risk / Needs Review",IF(AND(Z249&gt;=18,T249="Easy"),"Quick Win",IF(AND(Z249&gt;=18,T249&lt;&gt;"Easy"),"Strategic Project",IF(Z249&gt;=10,"Discovery Needed","Process Issue"))))),"")</f>
        <v/>
      </c>
      <c r="AB249" s="3">
        <f>IFERROR(SWITCH(AA249,"Quick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49" s="3" t="n"/>
      <c r="AD249" s="3" t="n"/>
      <c r="AE249" s="3" t="n"/>
    </row>
    <row r="250" ht="25" customHeight="1">
      <c r="A250" s="2" t="n"/>
      <c r="B250" s="2">
        <f>IFERROR(XLOOKUP(A250,'Intake Responses'!$A:$A,'Intake Responses'!$E:$E),"")</f>
        <v/>
      </c>
      <c r="C250" s="2">
        <f>IFERROR(XLOOKUP(A250,'Intake Responses'!$A:$A,'Intake Responses'!$D:$D),"")</f>
        <v/>
      </c>
      <c r="D250" s="2">
        <f>IFERROR(XLOOKUP(A250,'Intake Responses'!$A:$A,'Intake Responses'!$F:$F),"")</f>
        <v/>
      </c>
      <c r="E250" s="2" t="n"/>
      <c r="F250" s="2">
        <f>IFERROR(XLOOKUP(A250,'Intake Responses'!$A:$A,'Intake Responses'!$M:$M),"")</f>
        <v/>
      </c>
      <c r="G250" s="2">
        <f>IFERROR(XLOOKUP(A250,'Intake Responses'!$A:$A,'Intake Responses'!$N:$N),"")</f>
        <v/>
      </c>
      <c r="H250" s="2">
        <f>IFERROR(XLOOKUP(A250,'Intake Responses'!$A:$A,'Intake Responses'!$O:$O),"")</f>
        <v/>
      </c>
      <c r="I250" s="2">
        <f>IFERROR(SWITCH(F250,"Multiple times per day",60,"Daily",20,"Weekly",4,"Monthly",1,"Quarterly",0.33,"Ad hoc",0.5,"Unknown",0),0)</f>
        <v/>
      </c>
      <c r="J250" s="2">
        <f>IFERROR((G250*H250*I250)/60,0)</f>
        <v/>
      </c>
      <c r="K250" s="2">
        <f>IFERROR(J250*12,0)</f>
        <v/>
      </c>
      <c r="L250" s="2">
        <f>IFERROR(XLOOKUP(A250,'Intake Responses'!$A:$A,'Intake Responses'!$T:$T),"")</f>
        <v/>
      </c>
      <c r="M250" s="2">
        <f>IFERROR(XLOOKUP(A250,'Intake Responses'!$A:$A,'Intake Responses'!$U:$U),"")</f>
        <v/>
      </c>
      <c r="N250" s="2">
        <f>IFERROR(XLOOKUP(A250,'Intake Responses'!$A:$A,'Intake Responses'!$V:$V),"")</f>
        <v/>
      </c>
      <c r="O250" s="2">
        <f>IFERROR(XLOOKUP(A250,'Intake Responses'!$A:$A,'Intake Responses'!$W:$W),"")</f>
        <v/>
      </c>
      <c r="P250" s="2">
        <f>IFERROR(XLOOKUP(A250,'Intake Responses'!$A:$A,'Intake Responses'!$X:$X),"")</f>
        <v/>
      </c>
      <c r="Q250" s="2">
        <f>IFERROR(XLOOKUP(A250,'Intake Responses'!$A:$A,'Intake Responses'!$AF:$AF),"")</f>
        <v/>
      </c>
      <c r="R250" s="2">
        <f>IFERROR(XLOOKUP(A250,'Intake Responses'!$A:$A,'Intake Responses'!$S:$S),"")</f>
        <v/>
      </c>
      <c r="S250" s="2" t="n"/>
      <c r="T250" s="2" t="n"/>
      <c r="U250" s="2" t="n"/>
      <c r="V250" s="2">
        <f>IFERROR(MIN(5,ROUND(((M250+O250)/2)+(IF(J250&gt;=20,2,IF(J250&gt;=10,1.5,IF(J250&gt;=5,1,IF(J250&gt;=1,0.5,0))))),1)),0)</f>
        <v/>
      </c>
      <c r="W250" s="2">
        <f>IFERROR(SWITCH(F250,"Multiple times per day",5,"Daily",4,"Weekly",3,"Monthly",2,"Quarterly",1,"Ad hoc",1,"Unknown",0),0)</f>
        <v/>
      </c>
      <c r="X250" s="2">
        <f>IFERROR(ROUND(AVERAGE(L250,N250),1),0)</f>
        <v/>
      </c>
      <c r="Y250" s="2">
        <f>IFERROR(SWITCH(U250,"High",3,"Medium",2,"Low",0,"Unknown",1,1)+IF(Q250="Yes",2,IF(Q250="Unsure",1,0)),0)</f>
        <v/>
      </c>
      <c r="Z250" s="2">
        <f>IFERROR(ROUND((V250*2)+(W250*1)+(X250*2)+(IF(T250="Easy",2,IF(T250="Medium",1,IF(T250="Hard",-1,0))))-(Y250*2),1),0)</f>
        <v/>
      </c>
      <c r="AA250" s="2">
        <f>IFERROR(IF(S250="Not a fit","Not a Fit",IF(Y250&gt;=5,"High Risk / Needs Review",IF(AND(Z250&gt;=18,T250="Easy"),"Quick Win",IF(AND(Z250&gt;=18,T250&lt;&gt;"Easy"),"Strategic Project",IF(Z250&gt;=10,"Discovery Needed","Process Issue"))))),"")</f>
        <v/>
      </c>
      <c r="AB250" s="2">
        <f>IFERROR(SWITCH(AA250,"Quick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0" s="2" t="n"/>
      <c r="AD250" s="2" t="n"/>
      <c r="AE250" s="2" t="n"/>
    </row>
    <row r="251" ht="25" customHeight="1">
      <c r="A251" s="3" t="n"/>
      <c r="B251" s="3">
        <f>IFERROR(XLOOKUP(A251,'Intake Responses'!$A:$A,'Intake Responses'!$E:$E),"")</f>
        <v/>
      </c>
      <c r="C251" s="3">
        <f>IFERROR(XLOOKUP(A251,'Intake Responses'!$A:$A,'Intake Responses'!$D:$D),"")</f>
        <v/>
      </c>
      <c r="D251" s="3">
        <f>IFERROR(XLOOKUP(A251,'Intake Responses'!$A:$A,'Intake Responses'!$F:$F),"")</f>
        <v/>
      </c>
      <c r="E251" s="3" t="n"/>
      <c r="F251" s="3">
        <f>IFERROR(XLOOKUP(A251,'Intake Responses'!$A:$A,'Intake Responses'!$M:$M),"")</f>
        <v/>
      </c>
      <c r="G251" s="3">
        <f>IFERROR(XLOOKUP(A251,'Intake Responses'!$A:$A,'Intake Responses'!$N:$N),"")</f>
        <v/>
      </c>
      <c r="H251" s="3">
        <f>IFERROR(XLOOKUP(A251,'Intake Responses'!$A:$A,'Intake Responses'!$O:$O),"")</f>
        <v/>
      </c>
      <c r="I251" s="3">
        <f>IFERROR(SWITCH(F251,"Multiple times per day",60,"Daily",20,"Weekly",4,"Monthly",1,"Quarterly",0.33,"Ad hoc",0.5,"Unknown",0),0)</f>
        <v/>
      </c>
      <c r="J251" s="3">
        <f>IFERROR((G251*H251*I251)/60,0)</f>
        <v/>
      </c>
      <c r="K251" s="3">
        <f>IFERROR(J251*12,0)</f>
        <v/>
      </c>
      <c r="L251" s="3">
        <f>IFERROR(XLOOKUP(A251,'Intake Responses'!$A:$A,'Intake Responses'!$T:$T),"")</f>
        <v/>
      </c>
      <c r="M251" s="3">
        <f>IFERROR(XLOOKUP(A251,'Intake Responses'!$A:$A,'Intake Responses'!$U:$U),"")</f>
        <v/>
      </c>
      <c r="N251" s="3">
        <f>IFERROR(XLOOKUP(A251,'Intake Responses'!$A:$A,'Intake Responses'!$V:$V),"")</f>
        <v/>
      </c>
      <c r="O251" s="3">
        <f>IFERROR(XLOOKUP(A251,'Intake Responses'!$A:$A,'Intake Responses'!$W:$W),"")</f>
        <v/>
      </c>
      <c r="P251" s="3">
        <f>IFERROR(XLOOKUP(A251,'Intake Responses'!$A:$A,'Intake Responses'!$X:$X),"")</f>
        <v/>
      </c>
      <c r="Q251" s="3">
        <f>IFERROR(XLOOKUP(A251,'Intake Responses'!$A:$A,'Intake Responses'!$AF:$AF),"")</f>
        <v/>
      </c>
      <c r="R251" s="3">
        <f>IFERROR(XLOOKUP(A251,'Intake Responses'!$A:$A,'Intake Responses'!$S:$S),"")</f>
        <v/>
      </c>
      <c r="S251" s="3" t="n"/>
      <c r="T251" s="3" t="n"/>
      <c r="U251" s="3" t="n"/>
      <c r="V251" s="3">
        <f>IFERROR(MIN(5,ROUND(((M251+O251)/2)+(IF(J251&gt;=20,2,IF(J251&gt;=10,1.5,IF(J251&gt;=5,1,IF(J251&gt;=1,0.5,0))))),1)),0)</f>
        <v/>
      </c>
      <c r="W251" s="3">
        <f>IFERROR(SWITCH(F251,"Multiple times per day",5,"Daily",4,"Weekly",3,"Monthly",2,"Quarterly",1,"Ad hoc",1,"Unknown",0),0)</f>
        <v/>
      </c>
      <c r="X251" s="3">
        <f>IFERROR(ROUND(AVERAGE(L251,N251),1),0)</f>
        <v/>
      </c>
      <c r="Y251" s="3">
        <f>IFERROR(SWITCH(U251,"High",3,"Medium",2,"Low",0,"Unknown",1,1)+IF(Q251="Yes",2,IF(Q251="Unsure",1,0)),0)</f>
        <v/>
      </c>
      <c r="Z251" s="3">
        <f>IFERROR(ROUND((V251*2)+(W251*1)+(X251*2)+(IF(T251="Easy",2,IF(T251="Medium",1,IF(T251="Hard",-1,0))))-(Y251*2),1),0)</f>
        <v/>
      </c>
      <c r="AA251" s="3">
        <f>IFERROR(IF(S251="Not a fit","Not a Fit",IF(Y251&gt;=5,"High Risk / Needs Review",IF(AND(Z251&gt;=18,T251="Easy"),"Quick Win",IF(AND(Z251&gt;=18,T251&lt;&gt;"Easy"),"Strategic Project",IF(Z251&gt;=10,"Discovery Needed","Process Issue"))))),"")</f>
        <v/>
      </c>
      <c r="AB251" s="3">
        <f>IFERROR(SWITCH(AA251,"Quick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1" s="3" t="n"/>
      <c r="AD251" s="3" t="n"/>
      <c r="AE251" s="3" t="n"/>
    </row>
    <row r="252" ht="25" customHeight="1">
      <c r="A252" s="2" t="n"/>
      <c r="B252" s="2">
        <f>IFERROR(XLOOKUP(A252,'Intake Responses'!$A:$A,'Intake Responses'!$E:$E),"")</f>
        <v/>
      </c>
      <c r="C252" s="2">
        <f>IFERROR(XLOOKUP(A252,'Intake Responses'!$A:$A,'Intake Responses'!$D:$D),"")</f>
        <v/>
      </c>
      <c r="D252" s="2">
        <f>IFERROR(XLOOKUP(A252,'Intake Responses'!$A:$A,'Intake Responses'!$F:$F),"")</f>
        <v/>
      </c>
      <c r="E252" s="2" t="n"/>
      <c r="F252" s="2">
        <f>IFERROR(XLOOKUP(A252,'Intake Responses'!$A:$A,'Intake Responses'!$M:$M),"")</f>
        <v/>
      </c>
      <c r="G252" s="2">
        <f>IFERROR(XLOOKUP(A252,'Intake Responses'!$A:$A,'Intake Responses'!$N:$N),"")</f>
        <v/>
      </c>
      <c r="H252" s="2">
        <f>IFERROR(XLOOKUP(A252,'Intake Responses'!$A:$A,'Intake Responses'!$O:$O),"")</f>
        <v/>
      </c>
      <c r="I252" s="2">
        <f>IFERROR(SWITCH(F252,"Multiple times per day",60,"Daily",20,"Weekly",4,"Monthly",1,"Quarterly",0.33,"Ad hoc",0.5,"Unknown",0),0)</f>
        <v/>
      </c>
      <c r="J252" s="2">
        <f>IFERROR((G252*H252*I252)/60,0)</f>
        <v/>
      </c>
      <c r="K252" s="2">
        <f>IFERROR(J252*12,0)</f>
        <v/>
      </c>
      <c r="L252" s="2">
        <f>IFERROR(XLOOKUP(A252,'Intake Responses'!$A:$A,'Intake Responses'!$T:$T),"")</f>
        <v/>
      </c>
      <c r="M252" s="2">
        <f>IFERROR(XLOOKUP(A252,'Intake Responses'!$A:$A,'Intake Responses'!$U:$U),"")</f>
        <v/>
      </c>
      <c r="N252" s="2">
        <f>IFERROR(XLOOKUP(A252,'Intake Responses'!$A:$A,'Intake Responses'!$V:$V),"")</f>
        <v/>
      </c>
      <c r="O252" s="2">
        <f>IFERROR(XLOOKUP(A252,'Intake Responses'!$A:$A,'Intake Responses'!$W:$W),"")</f>
        <v/>
      </c>
      <c r="P252" s="2">
        <f>IFERROR(XLOOKUP(A252,'Intake Responses'!$A:$A,'Intake Responses'!$X:$X),"")</f>
        <v/>
      </c>
      <c r="Q252" s="2">
        <f>IFERROR(XLOOKUP(A252,'Intake Responses'!$A:$A,'Intake Responses'!$AF:$AF),"")</f>
        <v/>
      </c>
      <c r="R252" s="2">
        <f>IFERROR(XLOOKUP(A252,'Intake Responses'!$A:$A,'Intake Responses'!$S:$S),"")</f>
        <v/>
      </c>
      <c r="S252" s="2" t="n"/>
      <c r="T252" s="2" t="n"/>
      <c r="U252" s="2" t="n"/>
      <c r="V252" s="2">
        <f>IFERROR(MIN(5,ROUND(((M252+O252)/2)+(IF(J252&gt;=20,2,IF(J252&gt;=10,1.5,IF(J252&gt;=5,1,IF(J252&gt;=1,0.5,0))))),1)),0)</f>
        <v/>
      </c>
      <c r="W252" s="2">
        <f>IFERROR(SWITCH(F252,"Multiple times per day",5,"Daily",4,"Weekly",3,"Monthly",2,"Quarterly",1,"Ad hoc",1,"Unknown",0),0)</f>
        <v/>
      </c>
      <c r="X252" s="2">
        <f>IFERROR(ROUND(AVERAGE(L252,N252),1),0)</f>
        <v/>
      </c>
      <c r="Y252" s="2">
        <f>IFERROR(SWITCH(U252,"High",3,"Medium",2,"Low",0,"Unknown",1,1)+IF(Q252="Yes",2,IF(Q252="Unsure",1,0)),0)</f>
        <v/>
      </c>
      <c r="Z252" s="2">
        <f>IFERROR(ROUND((V252*2)+(W252*1)+(X252*2)+(IF(T252="Easy",2,IF(T252="Medium",1,IF(T252="Hard",-1,0))))-(Y252*2),1),0)</f>
        <v/>
      </c>
      <c r="AA252" s="2">
        <f>IFERROR(IF(S252="Not a fit","Not a Fit",IF(Y252&gt;=5,"High Risk / Needs Review",IF(AND(Z252&gt;=18,T252="Easy"),"Quick Win",IF(AND(Z252&gt;=18,T252&lt;&gt;"Easy"),"Strategic Project",IF(Z252&gt;=10,"Discovery Needed","Process Issue"))))),"")</f>
        <v/>
      </c>
      <c r="AB252" s="2">
        <f>IFERROR(SWITCH(AA252,"Quick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2" s="2" t="n"/>
      <c r="AD252" s="2" t="n"/>
      <c r="AE252" s="2" t="n"/>
    </row>
    <row r="253" ht="25" customHeight="1">
      <c r="A253" s="3" t="n"/>
      <c r="B253" s="3">
        <f>IFERROR(XLOOKUP(A253,'Intake Responses'!$A:$A,'Intake Responses'!$E:$E),"")</f>
        <v/>
      </c>
      <c r="C253" s="3">
        <f>IFERROR(XLOOKUP(A253,'Intake Responses'!$A:$A,'Intake Responses'!$D:$D),"")</f>
        <v/>
      </c>
      <c r="D253" s="3">
        <f>IFERROR(XLOOKUP(A253,'Intake Responses'!$A:$A,'Intake Responses'!$F:$F),"")</f>
        <v/>
      </c>
      <c r="E253" s="3" t="n"/>
      <c r="F253" s="3">
        <f>IFERROR(XLOOKUP(A253,'Intake Responses'!$A:$A,'Intake Responses'!$M:$M),"")</f>
        <v/>
      </c>
      <c r="G253" s="3">
        <f>IFERROR(XLOOKUP(A253,'Intake Responses'!$A:$A,'Intake Responses'!$N:$N),"")</f>
        <v/>
      </c>
      <c r="H253" s="3">
        <f>IFERROR(XLOOKUP(A253,'Intake Responses'!$A:$A,'Intake Responses'!$O:$O),"")</f>
        <v/>
      </c>
      <c r="I253" s="3">
        <f>IFERROR(SWITCH(F253,"Multiple times per day",60,"Daily",20,"Weekly",4,"Monthly",1,"Quarterly",0.33,"Ad hoc",0.5,"Unknown",0),0)</f>
        <v/>
      </c>
      <c r="J253" s="3">
        <f>IFERROR((G253*H253*I253)/60,0)</f>
        <v/>
      </c>
      <c r="K253" s="3">
        <f>IFERROR(J253*12,0)</f>
        <v/>
      </c>
      <c r="L253" s="3">
        <f>IFERROR(XLOOKUP(A253,'Intake Responses'!$A:$A,'Intake Responses'!$T:$T),"")</f>
        <v/>
      </c>
      <c r="M253" s="3">
        <f>IFERROR(XLOOKUP(A253,'Intake Responses'!$A:$A,'Intake Responses'!$U:$U),"")</f>
        <v/>
      </c>
      <c r="N253" s="3">
        <f>IFERROR(XLOOKUP(A253,'Intake Responses'!$A:$A,'Intake Responses'!$V:$V),"")</f>
        <v/>
      </c>
      <c r="O253" s="3">
        <f>IFERROR(XLOOKUP(A253,'Intake Responses'!$A:$A,'Intake Responses'!$W:$W),"")</f>
        <v/>
      </c>
      <c r="P253" s="3">
        <f>IFERROR(XLOOKUP(A253,'Intake Responses'!$A:$A,'Intake Responses'!$X:$X),"")</f>
        <v/>
      </c>
      <c r="Q253" s="3">
        <f>IFERROR(XLOOKUP(A253,'Intake Responses'!$A:$A,'Intake Responses'!$AF:$AF),"")</f>
        <v/>
      </c>
      <c r="R253" s="3">
        <f>IFERROR(XLOOKUP(A253,'Intake Responses'!$A:$A,'Intake Responses'!$S:$S),"")</f>
        <v/>
      </c>
      <c r="S253" s="3" t="n"/>
      <c r="T253" s="3" t="n"/>
      <c r="U253" s="3" t="n"/>
      <c r="V253" s="3">
        <f>IFERROR(MIN(5,ROUND(((M253+O253)/2)+(IF(J253&gt;=20,2,IF(J253&gt;=10,1.5,IF(J253&gt;=5,1,IF(J253&gt;=1,0.5,0))))),1)),0)</f>
        <v/>
      </c>
      <c r="W253" s="3">
        <f>IFERROR(SWITCH(F253,"Multiple times per day",5,"Daily",4,"Weekly",3,"Monthly",2,"Quarterly",1,"Ad hoc",1,"Unknown",0),0)</f>
        <v/>
      </c>
      <c r="X253" s="3">
        <f>IFERROR(ROUND(AVERAGE(L253,N253),1),0)</f>
        <v/>
      </c>
      <c r="Y253" s="3">
        <f>IFERROR(SWITCH(U253,"High",3,"Medium",2,"Low",0,"Unknown",1,1)+IF(Q253="Yes",2,IF(Q253="Unsure",1,0)),0)</f>
        <v/>
      </c>
      <c r="Z253" s="3">
        <f>IFERROR(ROUND((V253*2)+(W253*1)+(X253*2)+(IF(T253="Easy",2,IF(T253="Medium",1,IF(T253="Hard",-1,0))))-(Y253*2),1),0)</f>
        <v/>
      </c>
      <c r="AA253" s="3">
        <f>IFERROR(IF(S253="Not a fit","Not a Fit",IF(Y253&gt;=5,"High Risk / Needs Review",IF(AND(Z253&gt;=18,T253="Easy"),"Quick Win",IF(AND(Z253&gt;=18,T253&lt;&gt;"Easy"),"Strategic Project",IF(Z253&gt;=10,"Discovery Needed","Process Issue"))))),"")</f>
        <v/>
      </c>
      <c r="AB253" s="3">
        <f>IFERROR(SWITCH(AA253,"Quick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3" s="3" t="n"/>
      <c r="AD253" s="3" t="n"/>
      <c r="AE253" s="3" t="n"/>
    </row>
    <row r="254" ht="25" customHeight="1">
      <c r="A254" s="2" t="n"/>
      <c r="B254" s="2">
        <f>IFERROR(XLOOKUP(A254,'Intake Responses'!$A:$A,'Intake Responses'!$E:$E),"")</f>
        <v/>
      </c>
      <c r="C254" s="2">
        <f>IFERROR(XLOOKUP(A254,'Intake Responses'!$A:$A,'Intake Responses'!$D:$D),"")</f>
        <v/>
      </c>
      <c r="D254" s="2">
        <f>IFERROR(XLOOKUP(A254,'Intake Responses'!$A:$A,'Intake Responses'!$F:$F),"")</f>
        <v/>
      </c>
      <c r="E254" s="2" t="n"/>
      <c r="F254" s="2">
        <f>IFERROR(XLOOKUP(A254,'Intake Responses'!$A:$A,'Intake Responses'!$M:$M),"")</f>
        <v/>
      </c>
      <c r="G254" s="2">
        <f>IFERROR(XLOOKUP(A254,'Intake Responses'!$A:$A,'Intake Responses'!$N:$N),"")</f>
        <v/>
      </c>
      <c r="H254" s="2">
        <f>IFERROR(XLOOKUP(A254,'Intake Responses'!$A:$A,'Intake Responses'!$O:$O),"")</f>
        <v/>
      </c>
      <c r="I254" s="2">
        <f>IFERROR(SWITCH(F254,"Multiple times per day",60,"Daily",20,"Weekly",4,"Monthly",1,"Quarterly",0.33,"Ad hoc",0.5,"Unknown",0),0)</f>
        <v/>
      </c>
      <c r="J254" s="2">
        <f>IFERROR((G254*H254*I254)/60,0)</f>
        <v/>
      </c>
      <c r="K254" s="2">
        <f>IFERROR(J254*12,0)</f>
        <v/>
      </c>
      <c r="L254" s="2">
        <f>IFERROR(XLOOKUP(A254,'Intake Responses'!$A:$A,'Intake Responses'!$T:$T),"")</f>
        <v/>
      </c>
      <c r="M254" s="2">
        <f>IFERROR(XLOOKUP(A254,'Intake Responses'!$A:$A,'Intake Responses'!$U:$U),"")</f>
        <v/>
      </c>
      <c r="N254" s="2">
        <f>IFERROR(XLOOKUP(A254,'Intake Responses'!$A:$A,'Intake Responses'!$V:$V),"")</f>
        <v/>
      </c>
      <c r="O254" s="2">
        <f>IFERROR(XLOOKUP(A254,'Intake Responses'!$A:$A,'Intake Responses'!$W:$W),"")</f>
        <v/>
      </c>
      <c r="P254" s="2">
        <f>IFERROR(XLOOKUP(A254,'Intake Responses'!$A:$A,'Intake Responses'!$X:$X),"")</f>
        <v/>
      </c>
      <c r="Q254" s="2">
        <f>IFERROR(XLOOKUP(A254,'Intake Responses'!$A:$A,'Intake Responses'!$AF:$AF),"")</f>
        <v/>
      </c>
      <c r="R254" s="2">
        <f>IFERROR(XLOOKUP(A254,'Intake Responses'!$A:$A,'Intake Responses'!$S:$S),"")</f>
        <v/>
      </c>
      <c r="S254" s="2" t="n"/>
      <c r="T254" s="2" t="n"/>
      <c r="U254" s="2" t="n"/>
      <c r="V254" s="2">
        <f>IFERROR(MIN(5,ROUND(((M254+O254)/2)+(IF(J254&gt;=20,2,IF(J254&gt;=10,1.5,IF(J254&gt;=5,1,IF(J254&gt;=1,0.5,0))))),1)),0)</f>
        <v/>
      </c>
      <c r="W254" s="2">
        <f>IFERROR(SWITCH(F254,"Multiple times per day",5,"Daily",4,"Weekly",3,"Monthly",2,"Quarterly",1,"Ad hoc",1,"Unknown",0),0)</f>
        <v/>
      </c>
      <c r="X254" s="2">
        <f>IFERROR(ROUND(AVERAGE(L254,N254),1),0)</f>
        <v/>
      </c>
      <c r="Y254" s="2">
        <f>IFERROR(SWITCH(U254,"High",3,"Medium",2,"Low",0,"Unknown",1,1)+IF(Q254="Yes",2,IF(Q254="Unsure",1,0)),0)</f>
        <v/>
      </c>
      <c r="Z254" s="2">
        <f>IFERROR(ROUND((V254*2)+(W254*1)+(X254*2)+(IF(T254="Easy",2,IF(T254="Medium",1,IF(T254="Hard",-1,0))))-(Y254*2),1),0)</f>
        <v/>
      </c>
      <c r="AA254" s="2">
        <f>IFERROR(IF(S254="Not a fit","Not a Fit",IF(Y254&gt;=5,"High Risk / Needs Review",IF(AND(Z254&gt;=18,T254="Easy"),"Quick Win",IF(AND(Z254&gt;=18,T254&lt;&gt;"Easy"),"Strategic Project",IF(Z254&gt;=10,"Discovery Needed","Process Issue"))))),"")</f>
        <v/>
      </c>
      <c r="AB254" s="2">
        <f>IFERROR(SWITCH(AA254,"Quick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4" s="2" t="n"/>
      <c r="AD254" s="2" t="n"/>
      <c r="AE254" s="2" t="n"/>
    </row>
    <row r="255" ht="25" customHeight="1">
      <c r="A255" s="3" t="n"/>
      <c r="B255" s="3">
        <f>IFERROR(XLOOKUP(A255,'Intake Responses'!$A:$A,'Intake Responses'!$E:$E),"")</f>
        <v/>
      </c>
      <c r="C255" s="3">
        <f>IFERROR(XLOOKUP(A255,'Intake Responses'!$A:$A,'Intake Responses'!$D:$D),"")</f>
        <v/>
      </c>
      <c r="D255" s="3">
        <f>IFERROR(XLOOKUP(A255,'Intake Responses'!$A:$A,'Intake Responses'!$F:$F),"")</f>
        <v/>
      </c>
      <c r="E255" s="3" t="n"/>
      <c r="F255" s="3">
        <f>IFERROR(XLOOKUP(A255,'Intake Responses'!$A:$A,'Intake Responses'!$M:$M),"")</f>
        <v/>
      </c>
      <c r="G255" s="3">
        <f>IFERROR(XLOOKUP(A255,'Intake Responses'!$A:$A,'Intake Responses'!$N:$N),"")</f>
        <v/>
      </c>
      <c r="H255" s="3">
        <f>IFERROR(XLOOKUP(A255,'Intake Responses'!$A:$A,'Intake Responses'!$O:$O),"")</f>
        <v/>
      </c>
      <c r="I255" s="3">
        <f>IFERROR(SWITCH(F255,"Multiple times per day",60,"Daily",20,"Weekly",4,"Monthly",1,"Quarterly",0.33,"Ad hoc",0.5,"Unknown",0),0)</f>
        <v/>
      </c>
      <c r="J255" s="3">
        <f>IFERROR((G255*H255*I255)/60,0)</f>
        <v/>
      </c>
      <c r="K255" s="3">
        <f>IFERROR(J255*12,0)</f>
        <v/>
      </c>
      <c r="L255" s="3">
        <f>IFERROR(XLOOKUP(A255,'Intake Responses'!$A:$A,'Intake Responses'!$T:$T),"")</f>
        <v/>
      </c>
      <c r="M255" s="3">
        <f>IFERROR(XLOOKUP(A255,'Intake Responses'!$A:$A,'Intake Responses'!$U:$U),"")</f>
        <v/>
      </c>
      <c r="N255" s="3">
        <f>IFERROR(XLOOKUP(A255,'Intake Responses'!$A:$A,'Intake Responses'!$V:$V),"")</f>
        <v/>
      </c>
      <c r="O255" s="3">
        <f>IFERROR(XLOOKUP(A255,'Intake Responses'!$A:$A,'Intake Responses'!$W:$W),"")</f>
        <v/>
      </c>
      <c r="P255" s="3">
        <f>IFERROR(XLOOKUP(A255,'Intake Responses'!$A:$A,'Intake Responses'!$X:$X),"")</f>
        <v/>
      </c>
      <c r="Q255" s="3">
        <f>IFERROR(XLOOKUP(A255,'Intake Responses'!$A:$A,'Intake Responses'!$AF:$AF),"")</f>
        <v/>
      </c>
      <c r="R255" s="3">
        <f>IFERROR(XLOOKUP(A255,'Intake Responses'!$A:$A,'Intake Responses'!$S:$S),"")</f>
        <v/>
      </c>
      <c r="S255" s="3" t="n"/>
      <c r="T255" s="3" t="n"/>
      <c r="U255" s="3" t="n"/>
      <c r="V255" s="3">
        <f>IFERROR(MIN(5,ROUND(((M255+O255)/2)+(IF(J255&gt;=20,2,IF(J255&gt;=10,1.5,IF(J255&gt;=5,1,IF(J255&gt;=1,0.5,0))))),1)),0)</f>
        <v/>
      </c>
      <c r="W255" s="3">
        <f>IFERROR(SWITCH(F255,"Multiple times per day",5,"Daily",4,"Weekly",3,"Monthly",2,"Quarterly",1,"Ad hoc",1,"Unknown",0),0)</f>
        <v/>
      </c>
      <c r="X255" s="3">
        <f>IFERROR(ROUND(AVERAGE(L255,N255),1),0)</f>
        <v/>
      </c>
      <c r="Y255" s="3">
        <f>IFERROR(SWITCH(U255,"High",3,"Medium",2,"Low",0,"Unknown",1,1)+IF(Q255="Yes",2,IF(Q255="Unsure",1,0)),0)</f>
        <v/>
      </c>
      <c r="Z255" s="3">
        <f>IFERROR(ROUND((V255*2)+(W255*1)+(X255*2)+(IF(T255="Easy",2,IF(T255="Medium",1,IF(T255="Hard",-1,0))))-(Y255*2),1),0)</f>
        <v/>
      </c>
      <c r="AA255" s="3">
        <f>IFERROR(IF(S255="Not a fit","Not a Fit",IF(Y255&gt;=5,"High Risk / Needs Review",IF(AND(Z255&gt;=18,T255="Easy"),"Quick Win",IF(AND(Z255&gt;=18,T255&lt;&gt;"Easy"),"Strategic Project",IF(Z255&gt;=10,"Discovery Needed","Process Issue"))))),"")</f>
        <v/>
      </c>
      <c r="AB255" s="3">
        <f>IFERROR(SWITCH(AA255,"Quick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5" s="3" t="n"/>
      <c r="AD255" s="3" t="n"/>
      <c r="AE255" s="3" t="n"/>
    </row>
    <row r="256" ht="25" customHeight="1">
      <c r="A256" s="2" t="n"/>
      <c r="B256" s="2">
        <f>IFERROR(XLOOKUP(A256,'Intake Responses'!$A:$A,'Intake Responses'!$E:$E),"")</f>
        <v/>
      </c>
      <c r="C256" s="2">
        <f>IFERROR(XLOOKUP(A256,'Intake Responses'!$A:$A,'Intake Responses'!$D:$D),"")</f>
        <v/>
      </c>
      <c r="D256" s="2">
        <f>IFERROR(XLOOKUP(A256,'Intake Responses'!$A:$A,'Intake Responses'!$F:$F),"")</f>
        <v/>
      </c>
      <c r="E256" s="2" t="n"/>
      <c r="F256" s="2">
        <f>IFERROR(XLOOKUP(A256,'Intake Responses'!$A:$A,'Intake Responses'!$M:$M),"")</f>
        <v/>
      </c>
      <c r="G256" s="2">
        <f>IFERROR(XLOOKUP(A256,'Intake Responses'!$A:$A,'Intake Responses'!$N:$N),"")</f>
        <v/>
      </c>
      <c r="H256" s="2">
        <f>IFERROR(XLOOKUP(A256,'Intake Responses'!$A:$A,'Intake Responses'!$O:$O),"")</f>
        <v/>
      </c>
      <c r="I256" s="2">
        <f>IFERROR(SWITCH(F256,"Multiple times per day",60,"Daily",20,"Weekly",4,"Monthly",1,"Quarterly",0.33,"Ad hoc",0.5,"Unknown",0),0)</f>
        <v/>
      </c>
      <c r="J256" s="2">
        <f>IFERROR((G256*H256*I256)/60,0)</f>
        <v/>
      </c>
      <c r="K256" s="2">
        <f>IFERROR(J256*12,0)</f>
        <v/>
      </c>
      <c r="L256" s="2">
        <f>IFERROR(XLOOKUP(A256,'Intake Responses'!$A:$A,'Intake Responses'!$T:$T),"")</f>
        <v/>
      </c>
      <c r="M256" s="2">
        <f>IFERROR(XLOOKUP(A256,'Intake Responses'!$A:$A,'Intake Responses'!$U:$U),"")</f>
        <v/>
      </c>
      <c r="N256" s="2">
        <f>IFERROR(XLOOKUP(A256,'Intake Responses'!$A:$A,'Intake Responses'!$V:$V),"")</f>
        <v/>
      </c>
      <c r="O256" s="2">
        <f>IFERROR(XLOOKUP(A256,'Intake Responses'!$A:$A,'Intake Responses'!$W:$W),"")</f>
        <v/>
      </c>
      <c r="P256" s="2">
        <f>IFERROR(XLOOKUP(A256,'Intake Responses'!$A:$A,'Intake Responses'!$X:$X),"")</f>
        <v/>
      </c>
      <c r="Q256" s="2">
        <f>IFERROR(XLOOKUP(A256,'Intake Responses'!$A:$A,'Intake Responses'!$AF:$AF),"")</f>
        <v/>
      </c>
      <c r="R256" s="2">
        <f>IFERROR(XLOOKUP(A256,'Intake Responses'!$A:$A,'Intake Responses'!$S:$S),"")</f>
        <v/>
      </c>
      <c r="S256" s="2" t="n"/>
      <c r="T256" s="2" t="n"/>
      <c r="U256" s="2" t="n"/>
      <c r="V256" s="2">
        <f>IFERROR(MIN(5,ROUND(((M256+O256)/2)+(IF(J256&gt;=20,2,IF(J256&gt;=10,1.5,IF(J256&gt;=5,1,IF(J256&gt;=1,0.5,0))))),1)),0)</f>
        <v/>
      </c>
      <c r="W256" s="2">
        <f>IFERROR(SWITCH(F256,"Multiple times per day",5,"Daily",4,"Weekly",3,"Monthly",2,"Quarterly",1,"Ad hoc",1,"Unknown",0),0)</f>
        <v/>
      </c>
      <c r="X256" s="2">
        <f>IFERROR(ROUND(AVERAGE(L256,N256),1),0)</f>
        <v/>
      </c>
      <c r="Y256" s="2">
        <f>IFERROR(SWITCH(U256,"High",3,"Medium",2,"Low",0,"Unknown",1,1)+IF(Q256="Yes",2,IF(Q256="Unsure",1,0)),0)</f>
        <v/>
      </c>
      <c r="Z256" s="2">
        <f>IFERROR(ROUND((V256*2)+(W256*1)+(X256*2)+(IF(T256="Easy",2,IF(T256="Medium",1,IF(T256="Hard",-1,0))))-(Y256*2),1),0)</f>
        <v/>
      </c>
      <c r="AA256" s="2">
        <f>IFERROR(IF(S256="Not a fit","Not a Fit",IF(Y256&gt;=5,"High Risk / Needs Review",IF(AND(Z256&gt;=18,T256="Easy"),"Quick Win",IF(AND(Z256&gt;=18,T256&lt;&gt;"Easy"),"Strategic Project",IF(Z256&gt;=10,"Discovery Needed","Process Issue"))))),"")</f>
        <v/>
      </c>
      <c r="AB256" s="2">
        <f>IFERROR(SWITCH(AA256,"Quick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6" s="2" t="n"/>
      <c r="AD256" s="2" t="n"/>
      <c r="AE256" s="2" t="n"/>
    </row>
    <row r="257" ht="25" customHeight="1">
      <c r="A257" s="3" t="n"/>
      <c r="B257" s="3">
        <f>IFERROR(XLOOKUP(A257,'Intake Responses'!$A:$A,'Intake Responses'!$E:$E),"")</f>
        <v/>
      </c>
      <c r="C257" s="3">
        <f>IFERROR(XLOOKUP(A257,'Intake Responses'!$A:$A,'Intake Responses'!$D:$D),"")</f>
        <v/>
      </c>
      <c r="D257" s="3">
        <f>IFERROR(XLOOKUP(A257,'Intake Responses'!$A:$A,'Intake Responses'!$F:$F),"")</f>
        <v/>
      </c>
      <c r="E257" s="3" t="n"/>
      <c r="F257" s="3">
        <f>IFERROR(XLOOKUP(A257,'Intake Responses'!$A:$A,'Intake Responses'!$M:$M),"")</f>
        <v/>
      </c>
      <c r="G257" s="3">
        <f>IFERROR(XLOOKUP(A257,'Intake Responses'!$A:$A,'Intake Responses'!$N:$N),"")</f>
        <v/>
      </c>
      <c r="H257" s="3">
        <f>IFERROR(XLOOKUP(A257,'Intake Responses'!$A:$A,'Intake Responses'!$O:$O),"")</f>
        <v/>
      </c>
      <c r="I257" s="3">
        <f>IFERROR(SWITCH(F257,"Multiple times per day",60,"Daily",20,"Weekly",4,"Monthly",1,"Quarterly",0.33,"Ad hoc",0.5,"Unknown",0),0)</f>
        <v/>
      </c>
      <c r="J257" s="3">
        <f>IFERROR((G257*H257*I257)/60,0)</f>
        <v/>
      </c>
      <c r="K257" s="3">
        <f>IFERROR(J257*12,0)</f>
        <v/>
      </c>
      <c r="L257" s="3">
        <f>IFERROR(XLOOKUP(A257,'Intake Responses'!$A:$A,'Intake Responses'!$T:$T),"")</f>
        <v/>
      </c>
      <c r="M257" s="3">
        <f>IFERROR(XLOOKUP(A257,'Intake Responses'!$A:$A,'Intake Responses'!$U:$U),"")</f>
        <v/>
      </c>
      <c r="N257" s="3">
        <f>IFERROR(XLOOKUP(A257,'Intake Responses'!$A:$A,'Intake Responses'!$V:$V),"")</f>
        <v/>
      </c>
      <c r="O257" s="3">
        <f>IFERROR(XLOOKUP(A257,'Intake Responses'!$A:$A,'Intake Responses'!$W:$W),"")</f>
        <v/>
      </c>
      <c r="P257" s="3">
        <f>IFERROR(XLOOKUP(A257,'Intake Responses'!$A:$A,'Intake Responses'!$X:$X),"")</f>
        <v/>
      </c>
      <c r="Q257" s="3">
        <f>IFERROR(XLOOKUP(A257,'Intake Responses'!$A:$A,'Intake Responses'!$AF:$AF),"")</f>
        <v/>
      </c>
      <c r="R257" s="3">
        <f>IFERROR(XLOOKUP(A257,'Intake Responses'!$A:$A,'Intake Responses'!$S:$S),"")</f>
        <v/>
      </c>
      <c r="S257" s="3" t="n"/>
      <c r="T257" s="3" t="n"/>
      <c r="U257" s="3" t="n"/>
      <c r="V257" s="3">
        <f>IFERROR(MIN(5,ROUND(((M257+O257)/2)+(IF(J257&gt;=20,2,IF(J257&gt;=10,1.5,IF(J257&gt;=5,1,IF(J257&gt;=1,0.5,0))))),1)),0)</f>
        <v/>
      </c>
      <c r="W257" s="3">
        <f>IFERROR(SWITCH(F257,"Multiple times per day",5,"Daily",4,"Weekly",3,"Monthly",2,"Quarterly",1,"Ad hoc",1,"Unknown",0),0)</f>
        <v/>
      </c>
      <c r="X257" s="3">
        <f>IFERROR(ROUND(AVERAGE(L257,N257),1),0)</f>
        <v/>
      </c>
      <c r="Y257" s="3">
        <f>IFERROR(SWITCH(U257,"High",3,"Medium",2,"Low",0,"Unknown",1,1)+IF(Q257="Yes",2,IF(Q257="Unsure",1,0)),0)</f>
        <v/>
      </c>
      <c r="Z257" s="3">
        <f>IFERROR(ROUND((V257*2)+(W257*1)+(X257*2)+(IF(T257="Easy",2,IF(T257="Medium",1,IF(T257="Hard",-1,0))))-(Y257*2),1),0)</f>
        <v/>
      </c>
      <c r="AA257" s="3">
        <f>IFERROR(IF(S257="Not a fit","Not a Fit",IF(Y257&gt;=5,"High Risk / Needs Review",IF(AND(Z257&gt;=18,T257="Easy"),"Quick Win",IF(AND(Z257&gt;=18,T257&lt;&gt;"Easy"),"Strategic Project",IF(Z257&gt;=10,"Discovery Needed","Process Issue"))))),"")</f>
        <v/>
      </c>
      <c r="AB257" s="3">
        <f>IFERROR(SWITCH(AA257,"Quick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7" s="3" t="n"/>
      <c r="AD257" s="3" t="n"/>
      <c r="AE257" s="3" t="n"/>
    </row>
    <row r="258" ht="25" customHeight="1">
      <c r="A258" s="2" t="n"/>
      <c r="B258" s="2">
        <f>IFERROR(XLOOKUP(A258,'Intake Responses'!$A:$A,'Intake Responses'!$E:$E),"")</f>
        <v/>
      </c>
      <c r="C258" s="2">
        <f>IFERROR(XLOOKUP(A258,'Intake Responses'!$A:$A,'Intake Responses'!$D:$D),"")</f>
        <v/>
      </c>
      <c r="D258" s="2">
        <f>IFERROR(XLOOKUP(A258,'Intake Responses'!$A:$A,'Intake Responses'!$F:$F),"")</f>
        <v/>
      </c>
      <c r="E258" s="2" t="n"/>
      <c r="F258" s="2">
        <f>IFERROR(XLOOKUP(A258,'Intake Responses'!$A:$A,'Intake Responses'!$M:$M),"")</f>
        <v/>
      </c>
      <c r="G258" s="2">
        <f>IFERROR(XLOOKUP(A258,'Intake Responses'!$A:$A,'Intake Responses'!$N:$N),"")</f>
        <v/>
      </c>
      <c r="H258" s="2">
        <f>IFERROR(XLOOKUP(A258,'Intake Responses'!$A:$A,'Intake Responses'!$O:$O),"")</f>
        <v/>
      </c>
      <c r="I258" s="2">
        <f>IFERROR(SWITCH(F258,"Multiple times per day",60,"Daily",20,"Weekly",4,"Monthly",1,"Quarterly",0.33,"Ad hoc",0.5,"Unknown",0),0)</f>
        <v/>
      </c>
      <c r="J258" s="2">
        <f>IFERROR((G258*H258*I258)/60,0)</f>
        <v/>
      </c>
      <c r="K258" s="2">
        <f>IFERROR(J258*12,0)</f>
        <v/>
      </c>
      <c r="L258" s="2">
        <f>IFERROR(XLOOKUP(A258,'Intake Responses'!$A:$A,'Intake Responses'!$T:$T),"")</f>
        <v/>
      </c>
      <c r="M258" s="2">
        <f>IFERROR(XLOOKUP(A258,'Intake Responses'!$A:$A,'Intake Responses'!$U:$U),"")</f>
        <v/>
      </c>
      <c r="N258" s="2">
        <f>IFERROR(XLOOKUP(A258,'Intake Responses'!$A:$A,'Intake Responses'!$V:$V),"")</f>
        <v/>
      </c>
      <c r="O258" s="2">
        <f>IFERROR(XLOOKUP(A258,'Intake Responses'!$A:$A,'Intake Responses'!$W:$W),"")</f>
        <v/>
      </c>
      <c r="P258" s="2">
        <f>IFERROR(XLOOKUP(A258,'Intake Responses'!$A:$A,'Intake Responses'!$X:$X),"")</f>
        <v/>
      </c>
      <c r="Q258" s="2">
        <f>IFERROR(XLOOKUP(A258,'Intake Responses'!$A:$A,'Intake Responses'!$AF:$AF),"")</f>
        <v/>
      </c>
      <c r="R258" s="2">
        <f>IFERROR(XLOOKUP(A258,'Intake Responses'!$A:$A,'Intake Responses'!$S:$S),"")</f>
        <v/>
      </c>
      <c r="S258" s="2" t="n"/>
      <c r="T258" s="2" t="n"/>
      <c r="U258" s="2" t="n"/>
      <c r="V258" s="2">
        <f>IFERROR(MIN(5,ROUND(((M258+O258)/2)+(IF(J258&gt;=20,2,IF(J258&gt;=10,1.5,IF(J258&gt;=5,1,IF(J258&gt;=1,0.5,0))))),1)),0)</f>
        <v/>
      </c>
      <c r="W258" s="2">
        <f>IFERROR(SWITCH(F258,"Multiple times per day",5,"Daily",4,"Weekly",3,"Monthly",2,"Quarterly",1,"Ad hoc",1,"Unknown",0),0)</f>
        <v/>
      </c>
      <c r="X258" s="2">
        <f>IFERROR(ROUND(AVERAGE(L258,N258),1),0)</f>
        <v/>
      </c>
      <c r="Y258" s="2">
        <f>IFERROR(SWITCH(U258,"High",3,"Medium",2,"Low",0,"Unknown",1,1)+IF(Q258="Yes",2,IF(Q258="Unsure",1,0)),0)</f>
        <v/>
      </c>
      <c r="Z258" s="2">
        <f>IFERROR(ROUND((V258*2)+(W258*1)+(X258*2)+(IF(T258="Easy",2,IF(T258="Medium",1,IF(T258="Hard",-1,0))))-(Y258*2),1),0)</f>
        <v/>
      </c>
      <c r="AA258" s="2">
        <f>IFERROR(IF(S258="Not a fit","Not a Fit",IF(Y258&gt;=5,"High Risk / Needs Review",IF(AND(Z258&gt;=18,T258="Easy"),"Quick Win",IF(AND(Z258&gt;=18,T258&lt;&gt;"Easy"),"Strategic Project",IF(Z258&gt;=10,"Discovery Needed","Process Issue"))))),"")</f>
        <v/>
      </c>
      <c r="AB258" s="2">
        <f>IFERROR(SWITCH(AA258,"Quick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8" s="2" t="n"/>
      <c r="AD258" s="2" t="n"/>
      <c r="AE258" s="2" t="n"/>
    </row>
    <row r="259" ht="25" customHeight="1">
      <c r="A259" s="3" t="n"/>
      <c r="B259" s="3">
        <f>IFERROR(XLOOKUP(A259,'Intake Responses'!$A:$A,'Intake Responses'!$E:$E),"")</f>
        <v/>
      </c>
      <c r="C259" s="3">
        <f>IFERROR(XLOOKUP(A259,'Intake Responses'!$A:$A,'Intake Responses'!$D:$D),"")</f>
        <v/>
      </c>
      <c r="D259" s="3">
        <f>IFERROR(XLOOKUP(A259,'Intake Responses'!$A:$A,'Intake Responses'!$F:$F),"")</f>
        <v/>
      </c>
      <c r="E259" s="3" t="n"/>
      <c r="F259" s="3">
        <f>IFERROR(XLOOKUP(A259,'Intake Responses'!$A:$A,'Intake Responses'!$M:$M),"")</f>
        <v/>
      </c>
      <c r="G259" s="3">
        <f>IFERROR(XLOOKUP(A259,'Intake Responses'!$A:$A,'Intake Responses'!$N:$N),"")</f>
        <v/>
      </c>
      <c r="H259" s="3">
        <f>IFERROR(XLOOKUP(A259,'Intake Responses'!$A:$A,'Intake Responses'!$O:$O),"")</f>
        <v/>
      </c>
      <c r="I259" s="3">
        <f>IFERROR(SWITCH(F259,"Multiple times per day",60,"Daily",20,"Weekly",4,"Monthly",1,"Quarterly",0.33,"Ad hoc",0.5,"Unknown",0),0)</f>
        <v/>
      </c>
      <c r="J259" s="3">
        <f>IFERROR((G259*H259*I259)/60,0)</f>
        <v/>
      </c>
      <c r="K259" s="3">
        <f>IFERROR(J259*12,0)</f>
        <v/>
      </c>
      <c r="L259" s="3">
        <f>IFERROR(XLOOKUP(A259,'Intake Responses'!$A:$A,'Intake Responses'!$T:$T),"")</f>
        <v/>
      </c>
      <c r="M259" s="3">
        <f>IFERROR(XLOOKUP(A259,'Intake Responses'!$A:$A,'Intake Responses'!$U:$U),"")</f>
        <v/>
      </c>
      <c r="N259" s="3">
        <f>IFERROR(XLOOKUP(A259,'Intake Responses'!$A:$A,'Intake Responses'!$V:$V),"")</f>
        <v/>
      </c>
      <c r="O259" s="3">
        <f>IFERROR(XLOOKUP(A259,'Intake Responses'!$A:$A,'Intake Responses'!$W:$W),"")</f>
        <v/>
      </c>
      <c r="P259" s="3">
        <f>IFERROR(XLOOKUP(A259,'Intake Responses'!$A:$A,'Intake Responses'!$X:$X),"")</f>
        <v/>
      </c>
      <c r="Q259" s="3">
        <f>IFERROR(XLOOKUP(A259,'Intake Responses'!$A:$A,'Intake Responses'!$AF:$AF),"")</f>
        <v/>
      </c>
      <c r="R259" s="3">
        <f>IFERROR(XLOOKUP(A259,'Intake Responses'!$A:$A,'Intake Responses'!$S:$S),"")</f>
        <v/>
      </c>
      <c r="S259" s="3" t="n"/>
      <c r="T259" s="3" t="n"/>
      <c r="U259" s="3" t="n"/>
      <c r="V259" s="3">
        <f>IFERROR(MIN(5,ROUND(((M259+O259)/2)+(IF(J259&gt;=20,2,IF(J259&gt;=10,1.5,IF(J259&gt;=5,1,IF(J259&gt;=1,0.5,0))))),1)),0)</f>
        <v/>
      </c>
      <c r="W259" s="3">
        <f>IFERROR(SWITCH(F259,"Multiple times per day",5,"Daily",4,"Weekly",3,"Monthly",2,"Quarterly",1,"Ad hoc",1,"Unknown",0),0)</f>
        <v/>
      </c>
      <c r="X259" s="3">
        <f>IFERROR(ROUND(AVERAGE(L259,N259),1),0)</f>
        <v/>
      </c>
      <c r="Y259" s="3">
        <f>IFERROR(SWITCH(U259,"High",3,"Medium",2,"Low",0,"Unknown",1,1)+IF(Q259="Yes",2,IF(Q259="Unsure",1,0)),0)</f>
        <v/>
      </c>
      <c r="Z259" s="3">
        <f>IFERROR(ROUND((V259*2)+(W259*1)+(X259*2)+(IF(T259="Easy",2,IF(T259="Medium",1,IF(T259="Hard",-1,0))))-(Y259*2),1),0)</f>
        <v/>
      </c>
      <c r="AA259" s="3">
        <f>IFERROR(IF(S259="Not a fit","Not a Fit",IF(Y259&gt;=5,"High Risk / Needs Review",IF(AND(Z259&gt;=18,T259="Easy"),"Quick Win",IF(AND(Z259&gt;=18,T259&lt;&gt;"Easy"),"Strategic Project",IF(Z259&gt;=10,"Discovery Needed","Process Issue"))))),"")</f>
        <v/>
      </c>
      <c r="AB259" s="3">
        <f>IFERROR(SWITCH(AA259,"Quick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59" s="3" t="n"/>
      <c r="AD259" s="3" t="n"/>
      <c r="AE259" s="3" t="n"/>
    </row>
    <row r="260" ht="25" customHeight="1">
      <c r="A260" s="2" t="n"/>
      <c r="B260" s="2">
        <f>IFERROR(XLOOKUP(A260,'Intake Responses'!$A:$A,'Intake Responses'!$E:$E),"")</f>
        <v/>
      </c>
      <c r="C260" s="2">
        <f>IFERROR(XLOOKUP(A260,'Intake Responses'!$A:$A,'Intake Responses'!$D:$D),"")</f>
        <v/>
      </c>
      <c r="D260" s="2">
        <f>IFERROR(XLOOKUP(A260,'Intake Responses'!$A:$A,'Intake Responses'!$F:$F),"")</f>
        <v/>
      </c>
      <c r="E260" s="2" t="n"/>
      <c r="F260" s="2">
        <f>IFERROR(XLOOKUP(A260,'Intake Responses'!$A:$A,'Intake Responses'!$M:$M),"")</f>
        <v/>
      </c>
      <c r="G260" s="2">
        <f>IFERROR(XLOOKUP(A260,'Intake Responses'!$A:$A,'Intake Responses'!$N:$N),"")</f>
        <v/>
      </c>
      <c r="H260" s="2">
        <f>IFERROR(XLOOKUP(A260,'Intake Responses'!$A:$A,'Intake Responses'!$O:$O),"")</f>
        <v/>
      </c>
      <c r="I260" s="2">
        <f>IFERROR(SWITCH(F260,"Multiple times per day",60,"Daily",20,"Weekly",4,"Monthly",1,"Quarterly",0.33,"Ad hoc",0.5,"Unknown",0),0)</f>
        <v/>
      </c>
      <c r="J260" s="2">
        <f>IFERROR((G260*H260*I260)/60,0)</f>
        <v/>
      </c>
      <c r="K260" s="2">
        <f>IFERROR(J260*12,0)</f>
        <v/>
      </c>
      <c r="L260" s="2">
        <f>IFERROR(XLOOKUP(A260,'Intake Responses'!$A:$A,'Intake Responses'!$T:$T),"")</f>
        <v/>
      </c>
      <c r="M260" s="2">
        <f>IFERROR(XLOOKUP(A260,'Intake Responses'!$A:$A,'Intake Responses'!$U:$U),"")</f>
        <v/>
      </c>
      <c r="N260" s="2">
        <f>IFERROR(XLOOKUP(A260,'Intake Responses'!$A:$A,'Intake Responses'!$V:$V),"")</f>
        <v/>
      </c>
      <c r="O260" s="2">
        <f>IFERROR(XLOOKUP(A260,'Intake Responses'!$A:$A,'Intake Responses'!$W:$W),"")</f>
        <v/>
      </c>
      <c r="P260" s="2">
        <f>IFERROR(XLOOKUP(A260,'Intake Responses'!$A:$A,'Intake Responses'!$X:$X),"")</f>
        <v/>
      </c>
      <c r="Q260" s="2">
        <f>IFERROR(XLOOKUP(A260,'Intake Responses'!$A:$A,'Intake Responses'!$AF:$AF),"")</f>
        <v/>
      </c>
      <c r="R260" s="2">
        <f>IFERROR(XLOOKUP(A260,'Intake Responses'!$A:$A,'Intake Responses'!$S:$S),"")</f>
        <v/>
      </c>
      <c r="S260" s="2" t="n"/>
      <c r="T260" s="2" t="n"/>
      <c r="U260" s="2" t="n"/>
      <c r="V260" s="2">
        <f>IFERROR(MIN(5,ROUND(((M260+O260)/2)+(IF(J260&gt;=20,2,IF(J260&gt;=10,1.5,IF(J260&gt;=5,1,IF(J260&gt;=1,0.5,0))))),1)),0)</f>
        <v/>
      </c>
      <c r="W260" s="2">
        <f>IFERROR(SWITCH(F260,"Multiple times per day",5,"Daily",4,"Weekly",3,"Monthly",2,"Quarterly",1,"Ad hoc",1,"Unknown",0),0)</f>
        <v/>
      </c>
      <c r="X260" s="2">
        <f>IFERROR(ROUND(AVERAGE(L260,N260),1),0)</f>
        <v/>
      </c>
      <c r="Y260" s="2">
        <f>IFERROR(SWITCH(U260,"High",3,"Medium",2,"Low",0,"Unknown",1,1)+IF(Q260="Yes",2,IF(Q260="Unsure",1,0)),0)</f>
        <v/>
      </c>
      <c r="Z260" s="2">
        <f>IFERROR(ROUND((V260*2)+(W260*1)+(X260*2)+(IF(T260="Easy",2,IF(T260="Medium",1,IF(T260="Hard",-1,0))))-(Y260*2),1),0)</f>
        <v/>
      </c>
      <c r="AA260" s="2">
        <f>IFERROR(IF(S260="Not a fit","Not a Fit",IF(Y260&gt;=5,"High Risk / Needs Review",IF(AND(Z260&gt;=18,T260="Easy"),"Quick Win",IF(AND(Z260&gt;=18,T260&lt;&gt;"Easy"),"Strategic Project",IF(Z260&gt;=10,"Discovery Needed","Process Issue"))))),"")</f>
        <v/>
      </c>
      <c r="AB260" s="2">
        <f>IFERROR(SWITCH(AA260,"Quick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0" s="2" t="n"/>
      <c r="AD260" s="2" t="n"/>
      <c r="AE260" s="2" t="n"/>
    </row>
    <row r="261" ht="25" customHeight="1">
      <c r="A261" s="3" t="n"/>
      <c r="B261" s="3">
        <f>IFERROR(XLOOKUP(A261,'Intake Responses'!$A:$A,'Intake Responses'!$E:$E),"")</f>
        <v/>
      </c>
      <c r="C261" s="3">
        <f>IFERROR(XLOOKUP(A261,'Intake Responses'!$A:$A,'Intake Responses'!$D:$D),"")</f>
        <v/>
      </c>
      <c r="D261" s="3">
        <f>IFERROR(XLOOKUP(A261,'Intake Responses'!$A:$A,'Intake Responses'!$F:$F),"")</f>
        <v/>
      </c>
      <c r="E261" s="3" t="n"/>
      <c r="F261" s="3">
        <f>IFERROR(XLOOKUP(A261,'Intake Responses'!$A:$A,'Intake Responses'!$M:$M),"")</f>
        <v/>
      </c>
      <c r="G261" s="3">
        <f>IFERROR(XLOOKUP(A261,'Intake Responses'!$A:$A,'Intake Responses'!$N:$N),"")</f>
        <v/>
      </c>
      <c r="H261" s="3">
        <f>IFERROR(XLOOKUP(A261,'Intake Responses'!$A:$A,'Intake Responses'!$O:$O),"")</f>
        <v/>
      </c>
      <c r="I261" s="3">
        <f>IFERROR(SWITCH(F261,"Multiple times per day",60,"Daily",20,"Weekly",4,"Monthly",1,"Quarterly",0.33,"Ad hoc",0.5,"Unknown",0),0)</f>
        <v/>
      </c>
      <c r="J261" s="3">
        <f>IFERROR((G261*H261*I261)/60,0)</f>
        <v/>
      </c>
      <c r="K261" s="3">
        <f>IFERROR(J261*12,0)</f>
        <v/>
      </c>
      <c r="L261" s="3">
        <f>IFERROR(XLOOKUP(A261,'Intake Responses'!$A:$A,'Intake Responses'!$T:$T),"")</f>
        <v/>
      </c>
      <c r="M261" s="3">
        <f>IFERROR(XLOOKUP(A261,'Intake Responses'!$A:$A,'Intake Responses'!$U:$U),"")</f>
        <v/>
      </c>
      <c r="N261" s="3">
        <f>IFERROR(XLOOKUP(A261,'Intake Responses'!$A:$A,'Intake Responses'!$V:$V),"")</f>
        <v/>
      </c>
      <c r="O261" s="3">
        <f>IFERROR(XLOOKUP(A261,'Intake Responses'!$A:$A,'Intake Responses'!$W:$W),"")</f>
        <v/>
      </c>
      <c r="P261" s="3">
        <f>IFERROR(XLOOKUP(A261,'Intake Responses'!$A:$A,'Intake Responses'!$X:$X),"")</f>
        <v/>
      </c>
      <c r="Q261" s="3">
        <f>IFERROR(XLOOKUP(A261,'Intake Responses'!$A:$A,'Intake Responses'!$AF:$AF),"")</f>
        <v/>
      </c>
      <c r="R261" s="3">
        <f>IFERROR(XLOOKUP(A261,'Intake Responses'!$A:$A,'Intake Responses'!$S:$S),"")</f>
        <v/>
      </c>
      <c r="S261" s="3" t="n"/>
      <c r="T261" s="3" t="n"/>
      <c r="U261" s="3" t="n"/>
      <c r="V261" s="3">
        <f>IFERROR(MIN(5,ROUND(((M261+O261)/2)+(IF(J261&gt;=20,2,IF(J261&gt;=10,1.5,IF(J261&gt;=5,1,IF(J261&gt;=1,0.5,0))))),1)),0)</f>
        <v/>
      </c>
      <c r="W261" s="3">
        <f>IFERROR(SWITCH(F261,"Multiple times per day",5,"Daily",4,"Weekly",3,"Monthly",2,"Quarterly",1,"Ad hoc",1,"Unknown",0),0)</f>
        <v/>
      </c>
      <c r="X261" s="3">
        <f>IFERROR(ROUND(AVERAGE(L261,N261),1),0)</f>
        <v/>
      </c>
      <c r="Y261" s="3">
        <f>IFERROR(SWITCH(U261,"High",3,"Medium",2,"Low",0,"Unknown",1,1)+IF(Q261="Yes",2,IF(Q261="Unsure",1,0)),0)</f>
        <v/>
      </c>
      <c r="Z261" s="3">
        <f>IFERROR(ROUND((V261*2)+(W261*1)+(X261*2)+(IF(T261="Easy",2,IF(T261="Medium",1,IF(T261="Hard",-1,0))))-(Y261*2),1),0)</f>
        <v/>
      </c>
      <c r="AA261" s="3">
        <f>IFERROR(IF(S261="Not a fit","Not a Fit",IF(Y261&gt;=5,"High Risk / Needs Review",IF(AND(Z261&gt;=18,T261="Easy"),"Quick Win",IF(AND(Z261&gt;=18,T261&lt;&gt;"Easy"),"Strategic Project",IF(Z261&gt;=10,"Discovery Needed","Process Issue"))))),"")</f>
        <v/>
      </c>
      <c r="AB261" s="3">
        <f>IFERROR(SWITCH(AA261,"Quick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1" s="3" t="n"/>
      <c r="AD261" s="3" t="n"/>
      <c r="AE261" s="3" t="n"/>
    </row>
    <row r="262" ht="25" customHeight="1">
      <c r="A262" s="2" t="n"/>
      <c r="B262" s="2">
        <f>IFERROR(XLOOKUP(A262,'Intake Responses'!$A:$A,'Intake Responses'!$E:$E),"")</f>
        <v/>
      </c>
      <c r="C262" s="2">
        <f>IFERROR(XLOOKUP(A262,'Intake Responses'!$A:$A,'Intake Responses'!$D:$D),"")</f>
        <v/>
      </c>
      <c r="D262" s="2">
        <f>IFERROR(XLOOKUP(A262,'Intake Responses'!$A:$A,'Intake Responses'!$F:$F),"")</f>
        <v/>
      </c>
      <c r="E262" s="2" t="n"/>
      <c r="F262" s="2">
        <f>IFERROR(XLOOKUP(A262,'Intake Responses'!$A:$A,'Intake Responses'!$M:$M),"")</f>
        <v/>
      </c>
      <c r="G262" s="2">
        <f>IFERROR(XLOOKUP(A262,'Intake Responses'!$A:$A,'Intake Responses'!$N:$N),"")</f>
        <v/>
      </c>
      <c r="H262" s="2">
        <f>IFERROR(XLOOKUP(A262,'Intake Responses'!$A:$A,'Intake Responses'!$O:$O),"")</f>
        <v/>
      </c>
      <c r="I262" s="2">
        <f>IFERROR(SWITCH(F262,"Multiple times per day",60,"Daily",20,"Weekly",4,"Monthly",1,"Quarterly",0.33,"Ad hoc",0.5,"Unknown",0),0)</f>
        <v/>
      </c>
      <c r="J262" s="2">
        <f>IFERROR((G262*H262*I262)/60,0)</f>
        <v/>
      </c>
      <c r="K262" s="2">
        <f>IFERROR(J262*12,0)</f>
        <v/>
      </c>
      <c r="L262" s="2">
        <f>IFERROR(XLOOKUP(A262,'Intake Responses'!$A:$A,'Intake Responses'!$T:$T),"")</f>
        <v/>
      </c>
      <c r="M262" s="2">
        <f>IFERROR(XLOOKUP(A262,'Intake Responses'!$A:$A,'Intake Responses'!$U:$U),"")</f>
        <v/>
      </c>
      <c r="N262" s="2">
        <f>IFERROR(XLOOKUP(A262,'Intake Responses'!$A:$A,'Intake Responses'!$V:$V),"")</f>
        <v/>
      </c>
      <c r="O262" s="2">
        <f>IFERROR(XLOOKUP(A262,'Intake Responses'!$A:$A,'Intake Responses'!$W:$W),"")</f>
        <v/>
      </c>
      <c r="P262" s="2">
        <f>IFERROR(XLOOKUP(A262,'Intake Responses'!$A:$A,'Intake Responses'!$X:$X),"")</f>
        <v/>
      </c>
      <c r="Q262" s="2">
        <f>IFERROR(XLOOKUP(A262,'Intake Responses'!$A:$A,'Intake Responses'!$AF:$AF),"")</f>
        <v/>
      </c>
      <c r="R262" s="2">
        <f>IFERROR(XLOOKUP(A262,'Intake Responses'!$A:$A,'Intake Responses'!$S:$S),"")</f>
        <v/>
      </c>
      <c r="S262" s="2" t="n"/>
      <c r="T262" s="2" t="n"/>
      <c r="U262" s="2" t="n"/>
      <c r="V262" s="2">
        <f>IFERROR(MIN(5,ROUND(((M262+O262)/2)+(IF(J262&gt;=20,2,IF(J262&gt;=10,1.5,IF(J262&gt;=5,1,IF(J262&gt;=1,0.5,0))))),1)),0)</f>
        <v/>
      </c>
      <c r="W262" s="2">
        <f>IFERROR(SWITCH(F262,"Multiple times per day",5,"Daily",4,"Weekly",3,"Monthly",2,"Quarterly",1,"Ad hoc",1,"Unknown",0),0)</f>
        <v/>
      </c>
      <c r="X262" s="2">
        <f>IFERROR(ROUND(AVERAGE(L262,N262),1),0)</f>
        <v/>
      </c>
      <c r="Y262" s="2">
        <f>IFERROR(SWITCH(U262,"High",3,"Medium",2,"Low",0,"Unknown",1,1)+IF(Q262="Yes",2,IF(Q262="Unsure",1,0)),0)</f>
        <v/>
      </c>
      <c r="Z262" s="2">
        <f>IFERROR(ROUND((V262*2)+(W262*1)+(X262*2)+(IF(T262="Easy",2,IF(T262="Medium",1,IF(T262="Hard",-1,0))))-(Y262*2),1),0)</f>
        <v/>
      </c>
      <c r="AA262" s="2">
        <f>IFERROR(IF(S262="Not a fit","Not a Fit",IF(Y262&gt;=5,"High Risk / Needs Review",IF(AND(Z262&gt;=18,T262="Easy"),"Quick Win",IF(AND(Z262&gt;=18,T262&lt;&gt;"Easy"),"Strategic Project",IF(Z262&gt;=10,"Discovery Needed","Process Issue"))))),"")</f>
        <v/>
      </c>
      <c r="AB262" s="2">
        <f>IFERROR(SWITCH(AA262,"Quick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2" s="2" t="n"/>
      <c r="AD262" s="2" t="n"/>
      <c r="AE262" s="2" t="n"/>
    </row>
    <row r="263" ht="25" customHeight="1">
      <c r="A263" s="3" t="n"/>
      <c r="B263" s="3">
        <f>IFERROR(XLOOKUP(A263,'Intake Responses'!$A:$A,'Intake Responses'!$E:$E),"")</f>
        <v/>
      </c>
      <c r="C263" s="3">
        <f>IFERROR(XLOOKUP(A263,'Intake Responses'!$A:$A,'Intake Responses'!$D:$D),"")</f>
        <v/>
      </c>
      <c r="D263" s="3">
        <f>IFERROR(XLOOKUP(A263,'Intake Responses'!$A:$A,'Intake Responses'!$F:$F),"")</f>
        <v/>
      </c>
      <c r="E263" s="3" t="n"/>
      <c r="F263" s="3">
        <f>IFERROR(XLOOKUP(A263,'Intake Responses'!$A:$A,'Intake Responses'!$M:$M),"")</f>
        <v/>
      </c>
      <c r="G263" s="3">
        <f>IFERROR(XLOOKUP(A263,'Intake Responses'!$A:$A,'Intake Responses'!$N:$N),"")</f>
        <v/>
      </c>
      <c r="H263" s="3">
        <f>IFERROR(XLOOKUP(A263,'Intake Responses'!$A:$A,'Intake Responses'!$O:$O),"")</f>
        <v/>
      </c>
      <c r="I263" s="3">
        <f>IFERROR(SWITCH(F263,"Multiple times per day",60,"Daily",20,"Weekly",4,"Monthly",1,"Quarterly",0.33,"Ad hoc",0.5,"Unknown",0),0)</f>
        <v/>
      </c>
      <c r="J263" s="3">
        <f>IFERROR((G263*H263*I263)/60,0)</f>
        <v/>
      </c>
      <c r="K263" s="3">
        <f>IFERROR(J263*12,0)</f>
        <v/>
      </c>
      <c r="L263" s="3">
        <f>IFERROR(XLOOKUP(A263,'Intake Responses'!$A:$A,'Intake Responses'!$T:$T),"")</f>
        <v/>
      </c>
      <c r="M263" s="3">
        <f>IFERROR(XLOOKUP(A263,'Intake Responses'!$A:$A,'Intake Responses'!$U:$U),"")</f>
        <v/>
      </c>
      <c r="N263" s="3">
        <f>IFERROR(XLOOKUP(A263,'Intake Responses'!$A:$A,'Intake Responses'!$V:$V),"")</f>
        <v/>
      </c>
      <c r="O263" s="3">
        <f>IFERROR(XLOOKUP(A263,'Intake Responses'!$A:$A,'Intake Responses'!$W:$W),"")</f>
        <v/>
      </c>
      <c r="P263" s="3">
        <f>IFERROR(XLOOKUP(A263,'Intake Responses'!$A:$A,'Intake Responses'!$X:$X),"")</f>
        <v/>
      </c>
      <c r="Q263" s="3">
        <f>IFERROR(XLOOKUP(A263,'Intake Responses'!$A:$A,'Intake Responses'!$AF:$AF),"")</f>
        <v/>
      </c>
      <c r="R263" s="3">
        <f>IFERROR(XLOOKUP(A263,'Intake Responses'!$A:$A,'Intake Responses'!$S:$S),"")</f>
        <v/>
      </c>
      <c r="S263" s="3" t="n"/>
      <c r="T263" s="3" t="n"/>
      <c r="U263" s="3" t="n"/>
      <c r="V263" s="3">
        <f>IFERROR(MIN(5,ROUND(((M263+O263)/2)+(IF(J263&gt;=20,2,IF(J263&gt;=10,1.5,IF(J263&gt;=5,1,IF(J263&gt;=1,0.5,0))))),1)),0)</f>
        <v/>
      </c>
      <c r="W263" s="3">
        <f>IFERROR(SWITCH(F263,"Multiple times per day",5,"Daily",4,"Weekly",3,"Monthly",2,"Quarterly",1,"Ad hoc",1,"Unknown",0),0)</f>
        <v/>
      </c>
      <c r="X263" s="3">
        <f>IFERROR(ROUND(AVERAGE(L263,N263),1),0)</f>
        <v/>
      </c>
      <c r="Y263" s="3">
        <f>IFERROR(SWITCH(U263,"High",3,"Medium",2,"Low",0,"Unknown",1,1)+IF(Q263="Yes",2,IF(Q263="Unsure",1,0)),0)</f>
        <v/>
      </c>
      <c r="Z263" s="3">
        <f>IFERROR(ROUND((V263*2)+(W263*1)+(X263*2)+(IF(T263="Easy",2,IF(T263="Medium",1,IF(T263="Hard",-1,0))))-(Y263*2),1),0)</f>
        <v/>
      </c>
      <c r="AA263" s="3">
        <f>IFERROR(IF(S263="Not a fit","Not a Fit",IF(Y263&gt;=5,"High Risk / Needs Review",IF(AND(Z263&gt;=18,T263="Easy"),"Quick Win",IF(AND(Z263&gt;=18,T263&lt;&gt;"Easy"),"Strategic Project",IF(Z263&gt;=10,"Discovery Needed","Process Issue"))))),"")</f>
        <v/>
      </c>
      <c r="AB263" s="3">
        <f>IFERROR(SWITCH(AA263,"Quick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3" s="3" t="n"/>
      <c r="AD263" s="3" t="n"/>
      <c r="AE263" s="3" t="n"/>
    </row>
    <row r="264" ht="25" customHeight="1">
      <c r="A264" s="2" t="n"/>
      <c r="B264" s="2">
        <f>IFERROR(XLOOKUP(A264,'Intake Responses'!$A:$A,'Intake Responses'!$E:$E),"")</f>
        <v/>
      </c>
      <c r="C264" s="2">
        <f>IFERROR(XLOOKUP(A264,'Intake Responses'!$A:$A,'Intake Responses'!$D:$D),"")</f>
        <v/>
      </c>
      <c r="D264" s="2">
        <f>IFERROR(XLOOKUP(A264,'Intake Responses'!$A:$A,'Intake Responses'!$F:$F),"")</f>
        <v/>
      </c>
      <c r="E264" s="2" t="n"/>
      <c r="F264" s="2">
        <f>IFERROR(XLOOKUP(A264,'Intake Responses'!$A:$A,'Intake Responses'!$M:$M),"")</f>
        <v/>
      </c>
      <c r="G264" s="2">
        <f>IFERROR(XLOOKUP(A264,'Intake Responses'!$A:$A,'Intake Responses'!$N:$N),"")</f>
        <v/>
      </c>
      <c r="H264" s="2">
        <f>IFERROR(XLOOKUP(A264,'Intake Responses'!$A:$A,'Intake Responses'!$O:$O),"")</f>
        <v/>
      </c>
      <c r="I264" s="2">
        <f>IFERROR(SWITCH(F264,"Multiple times per day",60,"Daily",20,"Weekly",4,"Monthly",1,"Quarterly",0.33,"Ad hoc",0.5,"Unknown",0),0)</f>
        <v/>
      </c>
      <c r="J264" s="2">
        <f>IFERROR((G264*H264*I264)/60,0)</f>
        <v/>
      </c>
      <c r="K264" s="2">
        <f>IFERROR(J264*12,0)</f>
        <v/>
      </c>
      <c r="L264" s="2">
        <f>IFERROR(XLOOKUP(A264,'Intake Responses'!$A:$A,'Intake Responses'!$T:$T),"")</f>
        <v/>
      </c>
      <c r="M264" s="2">
        <f>IFERROR(XLOOKUP(A264,'Intake Responses'!$A:$A,'Intake Responses'!$U:$U),"")</f>
        <v/>
      </c>
      <c r="N264" s="2">
        <f>IFERROR(XLOOKUP(A264,'Intake Responses'!$A:$A,'Intake Responses'!$V:$V),"")</f>
        <v/>
      </c>
      <c r="O264" s="2">
        <f>IFERROR(XLOOKUP(A264,'Intake Responses'!$A:$A,'Intake Responses'!$W:$W),"")</f>
        <v/>
      </c>
      <c r="P264" s="2">
        <f>IFERROR(XLOOKUP(A264,'Intake Responses'!$A:$A,'Intake Responses'!$X:$X),"")</f>
        <v/>
      </c>
      <c r="Q264" s="2">
        <f>IFERROR(XLOOKUP(A264,'Intake Responses'!$A:$A,'Intake Responses'!$AF:$AF),"")</f>
        <v/>
      </c>
      <c r="R264" s="2">
        <f>IFERROR(XLOOKUP(A264,'Intake Responses'!$A:$A,'Intake Responses'!$S:$S),"")</f>
        <v/>
      </c>
      <c r="S264" s="2" t="n"/>
      <c r="T264" s="2" t="n"/>
      <c r="U264" s="2" t="n"/>
      <c r="V264" s="2">
        <f>IFERROR(MIN(5,ROUND(((M264+O264)/2)+(IF(J264&gt;=20,2,IF(J264&gt;=10,1.5,IF(J264&gt;=5,1,IF(J264&gt;=1,0.5,0))))),1)),0)</f>
        <v/>
      </c>
      <c r="W264" s="2">
        <f>IFERROR(SWITCH(F264,"Multiple times per day",5,"Daily",4,"Weekly",3,"Monthly",2,"Quarterly",1,"Ad hoc",1,"Unknown",0),0)</f>
        <v/>
      </c>
      <c r="X264" s="2">
        <f>IFERROR(ROUND(AVERAGE(L264,N264),1),0)</f>
        <v/>
      </c>
      <c r="Y264" s="2">
        <f>IFERROR(SWITCH(U264,"High",3,"Medium",2,"Low",0,"Unknown",1,1)+IF(Q264="Yes",2,IF(Q264="Unsure",1,0)),0)</f>
        <v/>
      </c>
      <c r="Z264" s="2">
        <f>IFERROR(ROUND((V264*2)+(W264*1)+(X264*2)+(IF(T264="Easy",2,IF(T264="Medium",1,IF(T264="Hard",-1,0))))-(Y264*2),1),0)</f>
        <v/>
      </c>
      <c r="AA264" s="2">
        <f>IFERROR(IF(S264="Not a fit","Not a Fit",IF(Y264&gt;=5,"High Risk / Needs Review",IF(AND(Z264&gt;=18,T264="Easy"),"Quick Win",IF(AND(Z264&gt;=18,T264&lt;&gt;"Easy"),"Strategic Project",IF(Z264&gt;=10,"Discovery Needed","Process Issue"))))),"")</f>
        <v/>
      </c>
      <c r="AB264" s="2">
        <f>IFERROR(SWITCH(AA264,"Quick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4" s="2" t="n"/>
      <c r="AD264" s="2" t="n"/>
      <c r="AE264" s="2" t="n"/>
    </row>
    <row r="265" ht="25" customHeight="1">
      <c r="A265" s="3" t="n"/>
      <c r="B265" s="3">
        <f>IFERROR(XLOOKUP(A265,'Intake Responses'!$A:$A,'Intake Responses'!$E:$E),"")</f>
        <v/>
      </c>
      <c r="C265" s="3">
        <f>IFERROR(XLOOKUP(A265,'Intake Responses'!$A:$A,'Intake Responses'!$D:$D),"")</f>
        <v/>
      </c>
      <c r="D265" s="3">
        <f>IFERROR(XLOOKUP(A265,'Intake Responses'!$A:$A,'Intake Responses'!$F:$F),"")</f>
        <v/>
      </c>
      <c r="E265" s="3" t="n"/>
      <c r="F265" s="3">
        <f>IFERROR(XLOOKUP(A265,'Intake Responses'!$A:$A,'Intake Responses'!$M:$M),"")</f>
        <v/>
      </c>
      <c r="G265" s="3">
        <f>IFERROR(XLOOKUP(A265,'Intake Responses'!$A:$A,'Intake Responses'!$N:$N),"")</f>
        <v/>
      </c>
      <c r="H265" s="3">
        <f>IFERROR(XLOOKUP(A265,'Intake Responses'!$A:$A,'Intake Responses'!$O:$O),"")</f>
        <v/>
      </c>
      <c r="I265" s="3">
        <f>IFERROR(SWITCH(F265,"Multiple times per day",60,"Daily",20,"Weekly",4,"Monthly",1,"Quarterly",0.33,"Ad hoc",0.5,"Unknown",0),0)</f>
        <v/>
      </c>
      <c r="J265" s="3">
        <f>IFERROR((G265*H265*I265)/60,0)</f>
        <v/>
      </c>
      <c r="K265" s="3">
        <f>IFERROR(J265*12,0)</f>
        <v/>
      </c>
      <c r="L265" s="3">
        <f>IFERROR(XLOOKUP(A265,'Intake Responses'!$A:$A,'Intake Responses'!$T:$T),"")</f>
        <v/>
      </c>
      <c r="M265" s="3">
        <f>IFERROR(XLOOKUP(A265,'Intake Responses'!$A:$A,'Intake Responses'!$U:$U),"")</f>
        <v/>
      </c>
      <c r="N265" s="3">
        <f>IFERROR(XLOOKUP(A265,'Intake Responses'!$A:$A,'Intake Responses'!$V:$V),"")</f>
        <v/>
      </c>
      <c r="O265" s="3">
        <f>IFERROR(XLOOKUP(A265,'Intake Responses'!$A:$A,'Intake Responses'!$W:$W),"")</f>
        <v/>
      </c>
      <c r="P265" s="3">
        <f>IFERROR(XLOOKUP(A265,'Intake Responses'!$A:$A,'Intake Responses'!$X:$X),"")</f>
        <v/>
      </c>
      <c r="Q265" s="3">
        <f>IFERROR(XLOOKUP(A265,'Intake Responses'!$A:$A,'Intake Responses'!$AF:$AF),"")</f>
        <v/>
      </c>
      <c r="R265" s="3">
        <f>IFERROR(XLOOKUP(A265,'Intake Responses'!$A:$A,'Intake Responses'!$S:$S),"")</f>
        <v/>
      </c>
      <c r="S265" s="3" t="n"/>
      <c r="T265" s="3" t="n"/>
      <c r="U265" s="3" t="n"/>
      <c r="V265" s="3">
        <f>IFERROR(MIN(5,ROUND(((M265+O265)/2)+(IF(J265&gt;=20,2,IF(J265&gt;=10,1.5,IF(J265&gt;=5,1,IF(J265&gt;=1,0.5,0))))),1)),0)</f>
        <v/>
      </c>
      <c r="W265" s="3">
        <f>IFERROR(SWITCH(F265,"Multiple times per day",5,"Daily",4,"Weekly",3,"Monthly",2,"Quarterly",1,"Ad hoc",1,"Unknown",0),0)</f>
        <v/>
      </c>
      <c r="X265" s="3">
        <f>IFERROR(ROUND(AVERAGE(L265,N265),1),0)</f>
        <v/>
      </c>
      <c r="Y265" s="3">
        <f>IFERROR(SWITCH(U265,"High",3,"Medium",2,"Low",0,"Unknown",1,1)+IF(Q265="Yes",2,IF(Q265="Unsure",1,0)),0)</f>
        <v/>
      </c>
      <c r="Z265" s="3">
        <f>IFERROR(ROUND((V265*2)+(W265*1)+(X265*2)+(IF(T265="Easy",2,IF(T265="Medium",1,IF(T265="Hard",-1,0))))-(Y265*2),1),0)</f>
        <v/>
      </c>
      <c r="AA265" s="3">
        <f>IFERROR(IF(S265="Not a fit","Not a Fit",IF(Y265&gt;=5,"High Risk / Needs Review",IF(AND(Z265&gt;=18,T265="Easy"),"Quick Win",IF(AND(Z265&gt;=18,T265&lt;&gt;"Easy"),"Strategic Project",IF(Z265&gt;=10,"Discovery Needed","Process Issue"))))),"")</f>
        <v/>
      </c>
      <c r="AB265" s="3">
        <f>IFERROR(SWITCH(AA265,"Quick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5" s="3" t="n"/>
      <c r="AD265" s="3" t="n"/>
      <c r="AE265" s="3" t="n"/>
    </row>
    <row r="266" ht="25" customHeight="1">
      <c r="A266" s="2" t="n"/>
      <c r="B266" s="2">
        <f>IFERROR(XLOOKUP(A266,'Intake Responses'!$A:$A,'Intake Responses'!$E:$E),"")</f>
        <v/>
      </c>
      <c r="C266" s="2">
        <f>IFERROR(XLOOKUP(A266,'Intake Responses'!$A:$A,'Intake Responses'!$D:$D),"")</f>
        <v/>
      </c>
      <c r="D266" s="2">
        <f>IFERROR(XLOOKUP(A266,'Intake Responses'!$A:$A,'Intake Responses'!$F:$F),"")</f>
        <v/>
      </c>
      <c r="E266" s="2" t="n"/>
      <c r="F266" s="2">
        <f>IFERROR(XLOOKUP(A266,'Intake Responses'!$A:$A,'Intake Responses'!$M:$M),"")</f>
        <v/>
      </c>
      <c r="G266" s="2">
        <f>IFERROR(XLOOKUP(A266,'Intake Responses'!$A:$A,'Intake Responses'!$N:$N),"")</f>
        <v/>
      </c>
      <c r="H266" s="2">
        <f>IFERROR(XLOOKUP(A266,'Intake Responses'!$A:$A,'Intake Responses'!$O:$O),"")</f>
        <v/>
      </c>
      <c r="I266" s="2">
        <f>IFERROR(SWITCH(F266,"Multiple times per day",60,"Daily",20,"Weekly",4,"Monthly",1,"Quarterly",0.33,"Ad hoc",0.5,"Unknown",0),0)</f>
        <v/>
      </c>
      <c r="J266" s="2">
        <f>IFERROR((G266*H266*I266)/60,0)</f>
        <v/>
      </c>
      <c r="K266" s="2">
        <f>IFERROR(J266*12,0)</f>
        <v/>
      </c>
      <c r="L266" s="2">
        <f>IFERROR(XLOOKUP(A266,'Intake Responses'!$A:$A,'Intake Responses'!$T:$T),"")</f>
        <v/>
      </c>
      <c r="M266" s="2">
        <f>IFERROR(XLOOKUP(A266,'Intake Responses'!$A:$A,'Intake Responses'!$U:$U),"")</f>
        <v/>
      </c>
      <c r="N266" s="2">
        <f>IFERROR(XLOOKUP(A266,'Intake Responses'!$A:$A,'Intake Responses'!$V:$V),"")</f>
        <v/>
      </c>
      <c r="O266" s="2">
        <f>IFERROR(XLOOKUP(A266,'Intake Responses'!$A:$A,'Intake Responses'!$W:$W),"")</f>
        <v/>
      </c>
      <c r="P266" s="2">
        <f>IFERROR(XLOOKUP(A266,'Intake Responses'!$A:$A,'Intake Responses'!$X:$X),"")</f>
        <v/>
      </c>
      <c r="Q266" s="2">
        <f>IFERROR(XLOOKUP(A266,'Intake Responses'!$A:$A,'Intake Responses'!$AF:$AF),"")</f>
        <v/>
      </c>
      <c r="R266" s="2">
        <f>IFERROR(XLOOKUP(A266,'Intake Responses'!$A:$A,'Intake Responses'!$S:$S),"")</f>
        <v/>
      </c>
      <c r="S266" s="2" t="n"/>
      <c r="T266" s="2" t="n"/>
      <c r="U266" s="2" t="n"/>
      <c r="V266" s="2">
        <f>IFERROR(MIN(5,ROUND(((M266+O266)/2)+(IF(J266&gt;=20,2,IF(J266&gt;=10,1.5,IF(J266&gt;=5,1,IF(J266&gt;=1,0.5,0))))),1)),0)</f>
        <v/>
      </c>
      <c r="W266" s="2">
        <f>IFERROR(SWITCH(F266,"Multiple times per day",5,"Daily",4,"Weekly",3,"Monthly",2,"Quarterly",1,"Ad hoc",1,"Unknown",0),0)</f>
        <v/>
      </c>
      <c r="X266" s="2">
        <f>IFERROR(ROUND(AVERAGE(L266,N266),1),0)</f>
        <v/>
      </c>
      <c r="Y266" s="2">
        <f>IFERROR(SWITCH(U266,"High",3,"Medium",2,"Low",0,"Unknown",1,1)+IF(Q266="Yes",2,IF(Q266="Unsure",1,0)),0)</f>
        <v/>
      </c>
      <c r="Z266" s="2">
        <f>IFERROR(ROUND((V266*2)+(W266*1)+(X266*2)+(IF(T266="Easy",2,IF(T266="Medium",1,IF(T266="Hard",-1,0))))-(Y266*2),1),0)</f>
        <v/>
      </c>
      <c r="AA266" s="2">
        <f>IFERROR(IF(S266="Not a fit","Not a Fit",IF(Y266&gt;=5,"High Risk / Needs Review",IF(AND(Z266&gt;=18,T266="Easy"),"Quick Win",IF(AND(Z266&gt;=18,T266&lt;&gt;"Easy"),"Strategic Project",IF(Z266&gt;=10,"Discovery Needed","Process Issue"))))),"")</f>
        <v/>
      </c>
      <c r="AB266" s="2">
        <f>IFERROR(SWITCH(AA266,"Quick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6" s="2" t="n"/>
      <c r="AD266" s="2" t="n"/>
      <c r="AE266" s="2" t="n"/>
    </row>
    <row r="267" ht="25" customHeight="1">
      <c r="A267" s="3" t="n"/>
      <c r="B267" s="3">
        <f>IFERROR(XLOOKUP(A267,'Intake Responses'!$A:$A,'Intake Responses'!$E:$E),"")</f>
        <v/>
      </c>
      <c r="C267" s="3">
        <f>IFERROR(XLOOKUP(A267,'Intake Responses'!$A:$A,'Intake Responses'!$D:$D),"")</f>
        <v/>
      </c>
      <c r="D267" s="3">
        <f>IFERROR(XLOOKUP(A267,'Intake Responses'!$A:$A,'Intake Responses'!$F:$F),"")</f>
        <v/>
      </c>
      <c r="E267" s="3" t="n"/>
      <c r="F267" s="3">
        <f>IFERROR(XLOOKUP(A267,'Intake Responses'!$A:$A,'Intake Responses'!$M:$M),"")</f>
        <v/>
      </c>
      <c r="G267" s="3">
        <f>IFERROR(XLOOKUP(A267,'Intake Responses'!$A:$A,'Intake Responses'!$N:$N),"")</f>
        <v/>
      </c>
      <c r="H267" s="3">
        <f>IFERROR(XLOOKUP(A267,'Intake Responses'!$A:$A,'Intake Responses'!$O:$O),"")</f>
        <v/>
      </c>
      <c r="I267" s="3">
        <f>IFERROR(SWITCH(F267,"Multiple times per day",60,"Daily",20,"Weekly",4,"Monthly",1,"Quarterly",0.33,"Ad hoc",0.5,"Unknown",0),0)</f>
        <v/>
      </c>
      <c r="J267" s="3">
        <f>IFERROR((G267*H267*I267)/60,0)</f>
        <v/>
      </c>
      <c r="K267" s="3">
        <f>IFERROR(J267*12,0)</f>
        <v/>
      </c>
      <c r="L267" s="3">
        <f>IFERROR(XLOOKUP(A267,'Intake Responses'!$A:$A,'Intake Responses'!$T:$T),"")</f>
        <v/>
      </c>
      <c r="M267" s="3">
        <f>IFERROR(XLOOKUP(A267,'Intake Responses'!$A:$A,'Intake Responses'!$U:$U),"")</f>
        <v/>
      </c>
      <c r="N267" s="3">
        <f>IFERROR(XLOOKUP(A267,'Intake Responses'!$A:$A,'Intake Responses'!$V:$V),"")</f>
        <v/>
      </c>
      <c r="O267" s="3">
        <f>IFERROR(XLOOKUP(A267,'Intake Responses'!$A:$A,'Intake Responses'!$W:$W),"")</f>
        <v/>
      </c>
      <c r="P267" s="3">
        <f>IFERROR(XLOOKUP(A267,'Intake Responses'!$A:$A,'Intake Responses'!$X:$X),"")</f>
        <v/>
      </c>
      <c r="Q267" s="3">
        <f>IFERROR(XLOOKUP(A267,'Intake Responses'!$A:$A,'Intake Responses'!$AF:$AF),"")</f>
        <v/>
      </c>
      <c r="R267" s="3">
        <f>IFERROR(XLOOKUP(A267,'Intake Responses'!$A:$A,'Intake Responses'!$S:$S),"")</f>
        <v/>
      </c>
      <c r="S267" s="3" t="n"/>
      <c r="T267" s="3" t="n"/>
      <c r="U267" s="3" t="n"/>
      <c r="V267" s="3">
        <f>IFERROR(MIN(5,ROUND(((M267+O267)/2)+(IF(J267&gt;=20,2,IF(J267&gt;=10,1.5,IF(J267&gt;=5,1,IF(J267&gt;=1,0.5,0))))),1)),0)</f>
        <v/>
      </c>
      <c r="W267" s="3">
        <f>IFERROR(SWITCH(F267,"Multiple times per day",5,"Daily",4,"Weekly",3,"Monthly",2,"Quarterly",1,"Ad hoc",1,"Unknown",0),0)</f>
        <v/>
      </c>
      <c r="X267" s="3">
        <f>IFERROR(ROUND(AVERAGE(L267,N267),1),0)</f>
        <v/>
      </c>
      <c r="Y267" s="3">
        <f>IFERROR(SWITCH(U267,"High",3,"Medium",2,"Low",0,"Unknown",1,1)+IF(Q267="Yes",2,IF(Q267="Unsure",1,0)),0)</f>
        <v/>
      </c>
      <c r="Z267" s="3">
        <f>IFERROR(ROUND((V267*2)+(W267*1)+(X267*2)+(IF(T267="Easy",2,IF(T267="Medium",1,IF(T267="Hard",-1,0))))-(Y267*2),1),0)</f>
        <v/>
      </c>
      <c r="AA267" s="3">
        <f>IFERROR(IF(S267="Not a fit","Not a Fit",IF(Y267&gt;=5,"High Risk / Needs Review",IF(AND(Z267&gt;=18,T267="Easy"),"Quick Win",IF(AND(Z267&gt;=18,T267&lt;&gt;"Easy"),"Strategic Project",IF(Z267&gt;=10,"Discovery Needed","Process Issue"))))),"")</f>
        <v/>
      </c>
      <c r="AB267" s="3">
        <f>IFERROR(SWITCH(AA267,"Quick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7" s="3" t="n"/>
      <c r="AD267" s="3" t="n"/>
      <c r="AE267" s="3" t="n"/>
    </row>
    <row r="268" ht="25" customHeight="1">
      <c r="A268" s="2" t="n"/>
      <c r="B268" s="2">
        <f>IFERROR(XLOOKUP(A268,'Intake Responses'!$A:$A,'Intake Responses'!$E:$E),"")</f>
        <v/>
      </c>
      <c r="C268" s="2">
        <f>IFERROR(XLOOKUP(A268,'Intake Responses'!$A:$A,'Intake Responses'!$D:$D),"")</f>
        <v/>
      </c>
      <c r="D268" s="2">
        <f>IFERROR(XLOOKUP(A268,'Intake Responses'!$A:$A,'Intake Responses'!$F:$F),"")</f>
        <v/>
      </c>
      <c r="E268" s="2" t="n"/>
      <c r="F268" s="2">
        <f>IFERROR(XLOOKUP(A268,'Intake Responses'!$A:$A,'Intake Responses'!$M:$M),"")</f>
        <v/>
      </c>
      <c r="G268" s="2">
        <f>IFERROR(XLOOKUP(A268,'Intake Responses'!$A:$A,'Intake Responses'!$N:$N),"")</f>
        <v/>
      </c>
      <c r="H268" s="2">
        <f>IFERROR(XLOOKUP(A268,'Intake Responses'!$A:$A,'Intake Responses'!$O:$O),"")</f>
        <v/>
      </c>
      <c r="I268" s="2">
        <f>IFERROR(SWITCH(F268,"Multiple times per day",60,"Daily",20,"Weekly",4,"Monthly",1,"Quarterly",0.33,"Ad hoc",0.5,"Unknown",0),0)</f>
        <v/>
      </c>
      <c r="J268" s="2">
        <f>IFERROR((G268*H268*I268)/60,0)</f>
        <v/>
      </c>
      <c r="K268" s="2">
        <f>IFERROR(J268*12,0)</f>
        <v/>
      </c>
      <c r="L268" s="2">
        <f>IFERROR(XLOOKUP(A268,'Intake Responses'!$A:$A,'Intake Responses'!$T:$T),"")</f>
        <v/>
      </c>
      <c r="M268" s="2">
        <f>IFERROR(XLOOKUP(A268,'Intake Responses'!$A:$A,'Intake Responses'!$U:$U),"")</f>
        <v/>
      </c>
      <c r="N268" s="2">
        <f>IFERROR(XLOOKUP(A268,'Intake Responses'!$A:$A,'Intake Responses'!$V:$V),"")</f>
        <v/>
      </c>
      <c r="O268" s="2">
        <f>IFERROR(XLOOKUP(A268,'Intake Responses'!$A:$A,'Intake Responses'!$W:$W),"")</f>
        <v/>
      </c>
      <c r="P268" s="2">
        <f>IFERROR(XLOOKUP(A268,'Intake Responses'!$A:$A,'Intake Responses'!$X:$X),"")</f>
        <v/>
      </c>
      <c r="Q268" s="2">
        <f>IFERROR(XLOOKUP(A268,'Intake Responses'!$A:$A,'Intake Responses'!$AF:$AF),"")</f>
        <v/>
      </c>
      <c r="R268" s="2">
        <f>IFERROR(XLOOKUP(A268,'Intake Responses'!$A:$A,'Intake Responses'!$S:$S),"")</f>
        <v/>
      </c>
      <c r="S268" s="2" t="n"/>
      <c r="T268" s="2" t="n"/>
      <c r="U268" s="2" t="n"/>
      <c r="V268" s="2">
        <f>IFERROR(MIN(5,ROUND(((M268+O268)/2)+(IF(J268&gt;=20,2,IF(J268&gt;=10,1.5,IF(J268&gt;=5,1,IF(J268&gt;=1,0.5,0))))),1)),0)</f>
        <v/>
      </c>
      <c r="W268" s="2">
        <f>IFERROR(SWITCH(F268,"Multiple times per day",5,"Daily",4,"Weekly",3,"Monthly",2,"Quarterly",1,"Ad hoc",1,"Unknown",0),0)</f>
        <v/>
      </c>
      <c r="X268" s="2">
        <f>IFERROR(ROUND(AVERAGE(L268,N268),1),0)</f>
        <v/>
      </c>
      <c r="Y268" s="2">
        <f>IFERROR(SWITCH(U268,"High",3,"Medium",2,"Low",0,"Unknown",1,1)+IF(Q268="Yes",2,IF(Q268="Unsure",1,0)),0)</f>
        <v/>
      </c>
      <c r="Z268" s="2">
        <f>IFERROR(ROUND((V268*2)+(W268*1)+(X268*2)+(IF(T268="Easy",2,IF(T268="Medium",1,IF(T268="Hard",-1,0))))-(Y268*2),1),0)</f>
        <v/>
      </c>
      <c r="AA268" s="2">
        <f>IFERROR(IF(S268="Not a fit","Not a Fit",IF(Y268&gt;=5,"High Risk / Needs Review",IF(AND(Z268&gt;=18,T268="Easy"),"Quick Win",IF(AND(Z268&gt;=18,T268&lt;&gt;"Easy"),"Strategic Project",IF(Z268&gt;=10,"Discovery Needed","Process Issue"))))),"")</f>
        <v/>
      </c>
      <c r="AB268" s="2">
        <f>IFERROR(SWITCH(AA268,"Quick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8" s="2" t="n"/>
      <c r="AD268" s="2" t="n"/>
      <c r="AE268" s="2" t="n"/>
    </row>
    <row r="269" ht="25" customHeight="1">
      <c r="A269" s="3" t="n"/>
      <c r="B269" s="3">
        <f>IFERROR(XLOOKUP(A269,'Intake Responses'!$A:$A,'Intake Responses'!$E:$E),"")</f>
        <v/>
      </c>
      <c r="C269" s="3">
        <f>IFERROR(XLOOKUP(A269,'Intake Responses'!$A:$A,'Intake Responses'!$D:$D),"")</f>
        <v/>
      </c>
      <c r="D269" s="3">
        <f>IFERROR(XLOOKUP(A269,'Intake Responses'!$A:$A,'Intake Responses'!$F:$F),"")</f>
        <v/>
      </c>
      <c r="E269" s="3" t="n"/>
      <c r="F269" s="3">
        <f>IFERROR(XLOOKUP(A269,'Intake Responses'!$A:$A,'Intake Responses'!$M:$M),"")</f>
        <v/>
      </c>
      <c r="G269" s="3">
        <f>IFERROR(XLOOKUP(A269,'Intake Responses'!$A:$A,'Intake Responses'!$N:$N),"")</f>
        <v/>
      </c>
      <c r="H269" s="3">
        <f>IFERROR(XLOOKUP(A269,'Intake Responses'!$A:$A,'Intake Responses'!$O:$O),"")</f>
        <v/>
      </c>
      <c r="I269" s="3">
        <f>IFERROR(SWITCH(F269,"Multiple times per day",60,"Daily",20,"Weekly",4,"Monthly",1,"Quarterly",0.33,"Ad hoc",0.5,"Unknown",0),0)</f>
        <v/>
      </c>
      <c r="J269" s="3">
        <f>IFERROR((G269*H269*I269)/60,0)</f>
        <v/>
      </c>
      <c r="K269" s="3">
        <f>IFERROR(J269*12,0)</f>
        <v/>
      </c>
      <c r="L269" s="3">
        <f>IFERROR(XLOOKUP(A269,'Intake Responses'!$A:$A,'Intake Responses'!$T:$T),"")</f>
        <v/>
      </c>
      <c r="M269" s="3">
        <f>IFERROR(XLOOKUP(A269,'Intake Responses'!$A:$A,'Intake Responses'!$U:$U),"")</f>
        <v/>
      </c>
      <c r="N269" s="3">
        <f>IFERROR(XLOOKUP(A269,'Intake Responses'!$A:$A,'Intake Responses'!$V:$V),"")</f>
        <v/>
      </c>
      <c r="O269" s="3">
        <f>IFERROR(XLOOKUP(A269,'Intake Responses'!$A:$A,'Intake Responses'!$W:$W),"")</f>
        <v/>
      </c>
      <c r="P269" s="3">
        <f>IFERROR(XLOOKUP(A269,'Intake Responses'!$A:$A,'Intake Responses'!$X:$X),"")</f>
        <v/>
      </c>
      <c r="Q269" s="3">
        <f>IFERROR(XLOOKUP(A269,'Intake Responses'!$A:$A,'Intake Responses'!$AF:$AF),"")</f>
        <v/>
      </c>
      <c r="R269" s="3">
        <f>IFERROR(XLOOKUP(A269,'Intake Responses'!$A:$A,'Intake Responses'!$S:$S),"")</f>
        <v/>
      </c>
      <c r="S269" s="3" t="n"/>
      <c r="T269" s="3" t="n"/>
      <c r="U269" s="3" t="n"/>
      <c r="V269" s="3">
        <f>IFERROR(MIN(5,ROUND(((M269+O269)/2)+(IF(J269&gt;=20,2,IF(J269&gt;=10,1.5,IF(J269&gt;=5,1,IF(J269&gt;=1,0.5,0))))),1)),0)</f>
        <v/>
      </c>
      <c r="W269" s="3">
        <f>IFERROR(SWITCH(F269,"Multiple times per day",5,"Daily",4,"Weekly",3,"Monthly",2,"Quarterly",1,"Ad hoc",1,"Unknown",0),0)</f>
        <v/>
      </c>
      <c r="X269" s="3">
        <f>IFERROR(ROUND(AVERAGE(L269,N269),1),0)</f>
        <v/>
      </c>
      <c r="Y269" s="3">
        <f>IFERROR(SWITCH(U269,"High",3,"Medium",2,"Low",0,"Unknown",1,1)+IF(Q269="Yes",2,IF(Q269="Unsure",1,0)),0)</f>
        <v/>
      </c>
      <c r="Z269" s="3">
        <f>IFERROR(ROUND((V269*2)+(W269*1)+(X269*2)+(IF(T269="Easy",2,IF(T269="Medium",1,IF(T269="Hard",-1,0))))-(Y269*2),1),0)</f>
        <v/>
      </c>
      <c r="AA269" s="3">
        <f>IFERROR(IF(S269="Not a fit","Not a Fit",IF(Y269&gt;=5,"High Risk / Needs Review",IF(AND(Z269&gt;=18,T269="Easy"),"Quick Win",IF(AND(Z269&gt;=18,T269&lt;&gt;"Easy"),"Strategic Project",IF(Z269&gt;=10,"Discovery Needed","Process Issue"))))),"")</f>
        <v/>
      </c>
      <c r="AB269" s="3">
        <f>IFERROR(SWITCH(AA269,"Quick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69" s="3" t="n"/>
      <c r="AD269" s="3" t="n"/>
      <c r="AE269" s="3" t="n"/>
    </row>
    <row r="270" ht="25" customHeight="1">
      <c r="A270" s="2" t="n"/>
      <c r="B270" s="2">
        <f>IFERROR(XLOOKUP(A270,'Intake Responses'!$A:$A,'Intake Responses'!$E:$E),"")</f>
        <v/>
      </c>
      <c r="C270" s="2">
        <f>IFERROR(XLOOKUP(A270,'Intake Responses'!$A:$A,'Intake Responses'!$D:$D),"")</f>
        <v/>
      </c>
      <c r="D270" s="2">
        <f>IFERROR(XLOOKUP(A270,'Intake Responses'!$A:$A,'Intake Responses'!$F:$F),"")</f>
        <v/>
      </c>
      <c r="E270" s="2" t="n"/>
      <c r="F270" s="2">
        <f>IFERROR(XLOOKUP(A270,'Intake Responses'!$A:$A,'Intake Responses'!$M:$M),"")</f>
        <v/>
      </c>
      <c r="G270" s="2">
        <f>IFERROR(XLOOKUP(A270,'Intake Responses'!$A:$A,'Intake Responses'!$N:$N),"")</f>
        <v/>
      </c>
      <c r="H270" s="2">
        <f>IFERROR(XLOOKUP(A270,'Intake Responses'!$A:$A,'Intake Responses'!$O:$O),"")</f>
        <v/>
      </c>
      <c r="I270" s="2">
        <f>IFERROR(SWITCH(F270,"Multiple times per day",60,"Daily",20,"Weekly",4,"Monthly",1,"Quarterly",0.33,"Ad hoc",0.5,"Unknown",0),0)</f>
        <v/>
      </c>
      <c r="J270" s="2">
        <f>IFERROR((G270*H270*I270)/60,0)</f>
        <v/>
      </c>
      <c r="K270" s="2">
        <f>IFERROR(J270*12,0)</f>
        <v/>
      </c>
      <c r="L270" s="2">
        <f>IFERROR(XLOOKUP(A270,'Intake Responses'!$A:$A,'Intake Responses'!$T:$T),"")</f>
        <v/>
      </c>
      <c r="M270" s="2">
        <f>IFERROR(XLOOKUP(A270,'Intake Responses'!$A:$A,'Intake Responses'!$U:$U),"")</f>
        <v/>
      </c>
      <c r="N270" s="2">
        <f>IFERROR(XLOOKUP(A270,'Intake Responses'!$A:$A,'Intake Responses'!$V:$V),"")</f>
        <v/>
      </c>
      <c r="O270" s="2">
        <f>IFERROR(XLOOKUP(A270,'Intake Responses'!$A:$A,'Intake Responses'!$W:$W),"")</f>
        <v/>
      </c>
      <c r="P270" s="2">
        <f>IFERROR(XLOOKUP(A270,'Intake Responses'!$A:$A,'Intake Responses'!$X:$X),"")</f>
        <v/>
      </c>
      <c r="Q270" s="2">
        <f>IFERROR(XLOOKUP(A270,'Intake Responses'!$A:$A,'Intake Responses'!$AF:$AF),"")</f>
        <v/>
      </c>
      <c r="R270" s="2">
        <f>IFERROR(XLOOKUP(A270,'Intake Responses'!$A:$A,'Intake Responses'!$S:$S),"")</f>
        <v/>
      </c>
      <c r="S270" s="2" t="n"/>
      <c r="T270" s="2" t="n"/>
      <c r="U270" s="2" t="n"/>
      <c r="V270" s="2">
        <f>IFERROR(MIN(5,ROUND(((M270+O270)/2)+(IF(J270&gt;=20,2,IF(J270&gt;=10,1.5,IF(J270&gt;=5,1,IF(J270&gt;=1,0.5,0))))),1)),0)</f>
        <v/>
      </c>
      <c r="W270" s="2">
        <f>IFERROR(SWITCH(F270,"Multiple times per day",5,"Daily",4,"Weekly",3,"Monthly",2,"Quarterly",1,"Ad hoc",1,"Unknown",0),0)</f>
        <v/>
      </c>
      <c r="X270" s="2">
        <f>IFERROR(ROUND(AVERAGE(L270,N270),1),0)</f>
        <v/>
      </c>
      <c r="Y270" s="2">
        <f>IFERROR(SWITCH(U270,"High",3,"Medium",2,"Low",0,"Unknown",1,1)+IF(Q270="Yes",2,IF(Q270="Unsure",1,0)),0)</f>
        <v/>
      </c>
      <c r="Z270" s="2">
        <f>IFERROR(ROUND((V270*2)+(W270*1)+(X270*2)+(IF(T270="Easy",2,IF(T270="Medium",1,IF(T270="Hard",-1,0))))-(Y270*2),1),0)</f>
        <v/>
      </c>
      <c r="AA270" s="2">
        <f>IFERROR(IF(S270="Not a fit","Not a Fit",IF(Y270&gt;=5,"High Risk / Needs Review",IF(AND(Z270&gt;=18,T270="Easy"),"Quick Win",IF(AND(Z270&gt;=18,T270&lt;&gt;"Easy"),"Strategic Project",IF(Z270&gt;=10,"Discovery Needed","Process Issue"))))),"")</f>
        <v/>
      </c>
      <c r="AB270" s="2">
        <f>IFERROR(SWITCH(AA270,"Quick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0" s="2" t="n"/>
      <c r="AD270" s="2" t="n"/>
      <c r="AE270" s="2" t="n"/>
    </row>
    <row r="271" ht="25" customHeight="1">
      <c r="A271" s="3" t="n"/>
      <c r="B271" s="3">
        <f>IFERROR(XLOOKUP(A271,'Intake Responses'!$A:$A,'Intake Responses'!$E:$E),"")</f>
        <v/>
      </c>
      <c r="C271" s="3">
        <f>IFERROR(XLOOKUP(A271,'Intake Responses'!$A:$A,'Intake Responses'!$D:$D),"")</f>
        <v/>
      </c>
      <c r="D271" s="3">
        <f>IFERROR(XLOOKUP(A271,'Intake Responses'!$A:$A,'Intake Responses'!$F:$F),"")</f>
        <v/>
      </c>
      <c r="E271" s="3" t="n"/>
      <c r="F271" s="3">
        <f>IFERROR(XLOOKUP(A271,'Intake Responses'!$A:$A,'Intake Responses'!$M:$M),"")</f>
        <v/>
      </c>
      <c r="G271" s="3">
        <f>IFERROR(XLOOKUP(A271,'Intake Responses'!$A:$A,'Intake Responses'!$N:$N),"")</f>
        <v/>
      </c>
      <c r="H271" s="3">
        <f>IFERROR(XLOOKUP(A271,'Intake Responses'!$A:$A,'Intake Responses'!$O:$O),"")</f>
        <v/>
      </c>
      <c r="I271" s="3">
        <f>IFERROR(SWITCH(F271,"Multiple times per day",60,"Daily",20,"Weekly",4,"Monthly",1,"Quarterly",0.33,"Ad hoc",0.5,"Unknown",0),0)</f>
        <v/>
      </c>
      <c r="J271" s="3">
        <f>IFERROR((G271*H271*I271)/60,0)</f>
        <v/>
      </c>
      <c r="K271" s="3">
        <f>IFERROR(J271*12,0)</f>
        <v/>
      </c>
      <c r="L271" s="3">
        <f>IFERROR(XLOOKUP(A271,'Intake Responses'!$A:$A,'Intake Responses'!$T:$T),"")</f>
        <v/>
      </c>
      <c r="M271" s="3">
        <f>IFERROR(XLOOKUP(A271,'Intake Responses'!$A:$A,'Intake Responses'!$U:$U),"")</f>
        <v/>
      </c>
      <c r="N271" s="3">
        <f>IFERROR(XLOOKUP(A271,'Intake Responses'!$A:$A,'Intake Responses'!$V:$V),"")</f>
        <v/>
      </c>
      <c r="O271" s="3">
        <f>IFERROR(XLOOKUP(A271,'Intake Responses'!$A:$A,'Intake Responses'!$W:$W),"")</f>
        <v/>
      </c>
      <c r="P271" s="3">
        <f>IFERROR(XLOOKUP(A271,'Intake Responses'!$A:$A,'Intake Responses'!$X:$X),"")</f>
        <v/>
      </c>
      <c r="Q271" s="3">
        <f>IFERROR(XLOOKUP(A271,'Intake Responses'!$A:$A,'Intake Responses'!$AF:$AF),"")</f>
        <v/>
      </c>
      <c r="R271" s="3">
        <f>IFERROR(XLOOKUP(A271,'Intake Responses'!$A:$A,'Intake Responses'!$S:$S),"")</f>
        <v/>
      </c>
      <c r="S271" s="3" t="n"/>
      <c r="T271" s="3" t="n"/>
      <c r="U271" s="3" t="n"/>
      <c r="V271" s="3">
        <f>IFERROR(MIN(5,ROUND(((M271+O271)/2)+(IF(J271&gt;=20,2,IF(J271&gt;=10,1.5,IF(J271&gt;=5,1,IF(J271&gt;=1,0.5,0))))),1)),0)</f>
        <v/>
      </c>
      <c r="W271" s="3">
        <f>IFERROR(SWITCH(F271,"Multiple times per day",5,"Daily",4,"Weekly",3,"Monthly",2,"Quarterly",1,"Ad hoc",1,"Unknown",0),0)</f>
        <v/>
      </c>
      <c r="X271" s="3">
        <f>IFERROR(ROUND(AVERAGE(L271,N271),1),0)</f>
        <v/>
      </c>
      <c r="Y271" s="3">
        <f>IFERROR(SWITCH(U271,"High",3,"Medium",2,"Low",0,"Unknown",1,1)+IF(Q271="Yes",2,IF(Q271="Unsure",1,0)),0)</f>
        <v/>
      </c>
      <c r="Z271" s="3">
        <f>IFERROR(ROUND((V271*2)+(W271*1)+(X271*2)+(IF(T271="Easy",2,IF(T271="Medium",1,IF(T271="Hard",-1,0))))-(Y271*2),1),0)</f>
        <v/>
      </c>
      <c r="AA271" s="3">
        <f>IFERROR(IF(S271="Not a fit","Not a Fit",IF(Y271&gt;=5,"High Risk / Needs Review",IF(AND(Z271&gt;=18,T271="Easy"),"Quick Win",IF(AND(Z271&gt;=18,T271&lt;&gt;"Easy"),"Strategic Project",IF(Z271&gt;=10,"Discovery Needed","Process Issue"))))),"")</f>
        <v/>
      </c>
      <c r="AB271" s="3">
        <f>IFERROR(SWITCH(AA271,"Quick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1" s="3" t="n"/>
      <c r="AD271" s="3" t="n"/>
      <c r="AE271" s="3" t="n"/>
    </row>
    <row r="272" ht="25" customHeight="1">
      <c r="A272" s="2" t="n"/>
      <c r="B272" s="2">
        <f>IFERROR(XLOOKUP(A272,'Intake Responses'!$A:$A,'Intake Responses'!$E:$E),"")</f>
        <v/>
      </c>
      <c r="C272" s="2">
        <f>IFERROR(XLOOKUP(A272,'Intake Responses'!$A:$A,'Intake Responses'!$D:$D),"")</f>
        <v/>
      </c>
      <c r="D272" s="2">
        <f>IFERROR(XLOOKUP(A272,'Intake Responses'!$A:$A,'Intake Responses'!$F:$F),"")</f>
        <v/>
      </c>
      <c r="E272" s="2" t="n"/>
      <c r="F272" s="2">
        <f>IFERROR(XLOOKUP(A272,'Intake Responses'!$A:$A,'Intake Responses'!$M:$M),"")</f>
        <v/>
      </c>
      <c r="G272" s="2">
        <f>IFERROR(XLOOKUP(A272,'Intake Responses'!$A:$A,'Intake Responses'!$N:$N),"")</f>
        <v/>
      </c>
      <c r="H272" s="2">
        <f>IFERROR(XLOOKUP(A272,'Intake Responses'!$A:$A,'Intake Responses'!$O:$O),"")</f>
        <v/>
      </c>
      <c r="I272" s="2">
        <f>IFERROR(SWITCH(F272,"Multiple times per day",60,"Daily",20,"Weekly",4,"Monthly",1,"Quarterly",0.33,"Ad hoc",0.5,"Unknown",0),0)</f>
        <v/>
      </c>
      <c r="J272" s="2">
        <f>IFERROR((G272*H272*I272)/60,0)</f>
        <v/>
      </c>
      <c r="K272" s="2">
        <f>IFERROR(J272*12,0)</f>
        <v/>
      </c>
      <c r="L272" s="2">
        <f>IFERROR(XLOOKUP(A272,'Intake Responses'!$A:$A,'Intake Responses'!$T:$T),"")</f>
        <v/>
      </c>
      <c r="M272" s="2">
        <f>IFERROR(XLOOKUP(A272,'Intake Responses'!$A:$A,'Intake Responses'!$U:$U),"")</f>
        <v/>
      </c>
      <c r="N272" s="2">
        <f>IFERROR(XLOOKUP(A272,'Intake Responses'!$A:$A,'Intake Responses'!$V:$V),"")</f>
        <v/>
      </c>
      <c r="O272" s="2">
        <f>IFERROR(XLOOKUP(A272,'Intake Responses'!$A:$A,'Intake Responses'!$W:$W),"")</f>
        <v/>
      </c>
      <c r="P272" s="2">
        <f>IFERROR(XLOOKUP(A272,'Intake Responses'!$A:$A,'Intake Responses'!$X:$X),"")</f>
        <v/>
      </c>
      <c r="Q272" s="2">
        <f>IFERROR(XLOOKUP(A272,'Intake Responses'!$A:$A,'Intake Responses'!$AF:$AF),"")</f>
        <v/>
      </c>
      <c r="R272" s="2">
        <f>IFERROR(XLOOKUP(A272,'Intake Responses'!$A:$A,'Intake Responses'!$S:$S),"")</f>
        <v/>
      </c>
      <c r="S272" s="2" t="n"/>
      <c r="T272" s="2" t="n"/>
      <c r="U272" s="2" t="n"/>
      <c r="V272" s="2">
        <f>IFERROR(MIN(5,ROUND(((M272+O272)/2)+(IF(J272&gt;=20,2,IF(J272&gt;=10,1.5,IF(J272&gt;=5,1,IF(J272&gt;=1,0.5,0))))),1)),0)</f>
        <v/>
      </c>
      <c r="W272" s="2">
        <f>IFERROR(SWITCH(F272,"Multiple times per day",5,"Daily",4,"Weekly",3,"Monthly",2,"Quarterly",1,"Ad hoc",1,"Unknown",0),0)</f>
        <v/>
      </c>
      <c r="X272" s="2">
        <f>IFERROR(ROUND(AVERAGE(L272,N272),1),0)</f>
        <v/>
      </c>
      <c r="Y272" s="2">
        <f>IFERROR(SWITCH(U272,"High",3,"Medium",2,"Low",0,"Unknown",1,1)+IF(Q272="Yes",2,IF(Q272="Unsure",1,0)),0)</f>
        <v/>
      </c>
      <c r="Z272" s="2">
        <f>IFERROR(ROUND((V272*2)+(W272*1)+(X272*2)+(IF(T272="Easy",2,IF(T272="Medium",1,IF(T272="Hard",-1,0))))-(Y272*2),1),0)</f>
        <v/>
      </c>
      <c r="AA272" s="2">
        <f>IFERROR(IF(S272="Not a fit","Not a Fit",IF(Y272&gt;=5,"High Risk / Needs Review",IF(AND(Z272&gt;=18,T272="Easy"),"Quick Win",IF(AND(Z272&gt;=18,T272&lt;&gt;"Easy"),"Strategic Project",IF(Z272&gt;=10,"Discovery Needed","Process Issue"))))),"")</f>
        <v/>
      </c>
      <c r="AB272" s="2">
        <f>IFERROR(SWITCH(AA272,"Quick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2" s="2" t="n"/>
      <c r="AD272" s="2" t="n"/>
      <c r="AE272" s="2" t="n"/>
    </row>
    <row r="273" ht="25" customHeight="1">
      <c r="A273" s="3" t="n"/>
      <c r="B273" s="3">
        <f>IFERROR(XLOOKUP(A273,'Intake Responses'!$A:$A,'Intake Responses'!$E:$E),"")</f>
        <v/>
      </c>
      <c r="C273" s="3">
        <f>IFERROR(XLOOKUP(A273,'Intake Responses'!$A:$A,'Intake Responses'!$D:$D),"")</f>
        <v/>
      </c>
      <c r="D273" s="3">
        <f>IFERROR(XLOOKUP(A273,'Intake Responses'!$A:$A,'Intake Responses'!$F:$F),"")</f>
        <v/>
      </c>
      <c r="E273" s="3" t="n"/>
      <c r="F273" s="3">
        <f>IFERROR(XLOOKUP(A273,'Intake Responses'!$A:$A,'Intake Responses'!$M:$M),"")</f>
        <v/>
      </c>
      <c r="G273" s="3">
        <f>IFERROR(XLOOKUP(A273,'Intake Responses'!$A:$A,'Intake Responses'!$N:$N),"")</f>
        <v/>
      </c>
      <c r="H273" s="3">
        <f>IFERROR(XLOOKUP(A273,'Intake Responses'!$A:$A,'Intake Responses'!$O:$O),"")</f>
        <v/>
      </c>
      <c r="I273" s="3">
        <f>IFERROR(SWITCH(F273,"Multiple times per day",60,"Daily",20,"Weekly",4,"Monthly",1,"Quarterly",0.33,"Ad hoc",0.5,"Unknown",0),0)</f>
        <v/>
      </c>
      <c r="J273" s="3">
        <f>IFERROR((G273*H273*I273)/60,0)</f>
        <v/>
      </c>
      <c r="K273" s="3">
        <f>IFERROR(J273*12,0)</f>
        <v/>
      </c>
      <c r="L273" s="3">
        <f>IFERROR(XLOOKUP(A273,'Intake Responses'!$A:$A,'Intake Responses'!$T:$T),"")</f>
        <v/>
      </c>
      <c r="M273" s="3">
        <f>IFERROR(XLOOKUP(A273,'Intake Responses'!$A:$A,'Intake Responses'!$U:$U),"")</f>
        <v/>
      </c>
      <c r="N273" s="3">
        <f>IFERROR(XLOOKUP(A273,'Intake Responses'!$A:$A,'Intake Responses'!$V:$V),"")</f>
        <v/>
      </c>
      <c r="O273" s="3">
        <f>IFERROR(XLOOKUP(A273,'Intake Responses'!$A:$A,'Intake Responses'!$W:$W),"")</f>
        <v/>
      </c>
      <c r="P273" s="3">
        <f>IFERROR(XLOOKUP(A273,'Intake Responses'!$A:$A,'Intake Responses'!$X:$X),"")</f>
        <v/>
      </c>
      <c r="Q273" s="3">
        <f>IFERROR(XLOOKUP(A273,'Intake Responses'!$A:$A,'Intake Responses'!$AF:$AF),"")</f>
        <v/>
      </c>
      <c r="R273" s="3">
        <f>IFERROR(XLOOKUP(A273,'Intake Responses'!$A:$A,'Intake Responses'!$S:$S),"")</f>
        <v/>
      </c>
      <c r="S273" s="3" t="n"/>
      <c r="T273" s="3" t="n"/>
      <c r="U273" s="3" t="n"/>
      <c r="V273" s="3">
        <f>IFERROR(MIN(5,ROUND(((M273+O273)/2)+(IF(J273&gt;=20,2,IF(J273&gt;=10,1.5,IF(J273&gt;=5,1,IF(J273&gt;=1,0.5,0))))),1)),0)</f>
        <v/>
      </c>
      <c r="W273" s="3">
        <f>IFERROR(SWITCH(F273,"Multiple times per day",5,"Daily",4,"Weekly",3,"Monthly",2,"Quarterly",1,"Ad hoc",1,"Unknown",0),0)</f>
        <v/>
      </c>
      <c r="X273" s="3">
        <f>IFERROR(ROUND(AVERAGE(L273,N273),1),0)</f>
        <v/>
      </c>
      <c r="Y273" s="3">
        <f>IFERROR(SWITCH(U273,"High",3,"Medium",2,"Low",0,"Unknown",1,1)+IF(Q273="Yes",2,IF(Q273="Unsure",1,0)),0)</f>
        <v/>
      </c>
      <c r="Z273" s="3">
        <f>IFERROR(ROUND((V273*2)+(W273*1)+(X273*2)+(IF(T273="Easy",2,IF(T273="Medium",1,IF(T273="Hard",-1,0))))-(Y273*2),1),0)</f>
        <v/>
      </c>
      <c r="AA273" s="3">
        <f>IFERROR(IF(S273="Not a fit","Not a Fit",IF(Y273&gt;=5,"High Risk / Needs Review",IF(AND(Z273&gt;=18,T273="Easy"),"Quick Win",IF(AND(Z273&gt;=18,T273&lt;&gt;"Easy"),"Strategic Project",IF(Z273&gt;=10,"Discovery Needed","Process Issue"))))),"")</f>
        <v/>
      </c>
      <c r="AB273" s="3">
        <f>IFERROR(SWITCH(AA273,"Quick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3" s="3" t="n"/>
      <c r="AD273" s="3" t="n"/>
      <c r="AE273" s="3" t="n"/>
    </row>
    <row r="274" ht="25" customHeight="1">
      <c r="A274" s="2" t="n"/>
      <c r="B274" s="2">
        <f>IFERROR(XLOOKUP(A274,'Intake Responses'!$A:$A,'Intake Responses'!$E:$E),"")</f>
        <v/>
      </c>
      <c r="C274" s="2">
        <f>IFERROR(XLOOKUP(A274,'Intake Responses'!$A:$A,'Intake Responses'!$D:$D),"")</f>
        <v/>
      </c>
      <c r="D274" s="2">
        <f>IFERROR(XLOOKUP(A274,'Intake Responses'!$A:$A,'Intake Responses'!$F:$F),"")</f>
        <v/>
      </c>
      <c r="E274" s="2" t="n"/>
      <c r="F274" s="2">
        <f>IFERROR(XLOOKUP(A274,'Intake Responses'!$A:$A,'Intake Responses'!$M:$M),"")</f>
        <v/>
      </c>
      <c r="G274" s="2">
        <f>IFERROR(XLOOKUP(A274,'Intake Responses'!$A:$A,'Intake Responses'!$N:$N),"")</f>
        <v/>
      </c>
      <c r="H274" s="2">
        <f>IFERROR(XLOOKUP(A274,'Intake Responses'!$A:$A,'Intake Responses'!$O:$O),"")</f>
        <v/>
      </c>
      <c r="I274" s="2">
        <f>IFERROR(SWITCH(F274,"Multiple times per day",60,"Daily",20,"Weekly",4,"Monthly",1,"Quarterly",0.33,"Ad hoc",0.5,"Unknown",0),0)</f>
        <v/>
      </c>
      <c r="J274" s="2">
        <f>IFERROR((G274*H274*I274)/60,0)</f>
        <v/>
      </c>
      <c r="K274" s="2">
        <f>IFERROR(J274*12,0)</f>
        <v/>
      </c>
      <c r="L274" s="2">
        <f>IFERROR(XLOOKUP(A274,'Intake Responses'!$A:$A,'Intake Responses'!$T:$T),"")</f>
        <v/>
      </c>
      <c r="M274" s="2">
        <f>IFERROR(XLOOKUP(A274,'Intake Responses'!$A:$A,'Intake Responses'!$U:$U),"")</f>
        <v/>
      </c>
      <c r="N274" s="2">
        <f>IFERROR(XLOOKUP(A274,'Intake Responses'!$A:$A,'Intake Responses'!$V:$V),"")</f>
        <v/>
      </c>
      <c r="O274" s="2">
        <f>IFERROR(XLOOKUP(A274,'Intake Responses'!$A:$A,'Intake Responses'!$W:$W),"")</f>
        <v/>
      </c>
      <c r="P274" s="2">
        <f>IFERROR(XLOOKUP(A274,'Intake Responses'!$A:$A,'Intake Responses'!$X:$X),"")</f>
        <v/>
      </c>
      <c r="Q274" s="2">
        <f>IFERROR(XLOOKUP(A274,'Intake Responses'!$A:$A,'Intake Responses'!$AF:$AF),"")</f>
        <v/>
      </c>
      <c r="R274" s="2">
        <f>IFERROR(XLOOKUP(A274,'Intake Responses'!$A:$A,'Intake Responses'!$S:$S),"")</f>
        <v/>
      </c>
      <c r="S274" s="2" t="n"/>
      <c r="T274" s="2" t="n"/>
      <c r="U274" s="2" t="n"/>
      <c r="V274" s="2">
        <f>IFERROR(MIN(5,ROUND(((M274+O274)/2)+(IF(J274&gt;=20,2,IF(J274&gt;=10,1.5,IF(J274&gt;=5,1,IF(J274&gt;=1,0.5,0))))),1)),0)</f>
        <v/>
      </c>
      <c r="W274" s="2">
        <f>IFERROR(SWITCH(F274,"Multiple times per day",5,"Daily",4,"Weekly",3,"Monthly",2,"Quarterly",1,"Ad hoc",1,"Unknown",0),0)</f>
        <v/>
      </c>
      <c r="X274" s="2">
        <f>IFERROR(ROUND(AVERAGE(L274,N274),1),0)</f>
        <v/>
      </c>
      <c r="Y274" s="2">
        <f>IFERROR(SWITCH(U274,"High",3,"Medium",2,"Low",0,"Unknown",1,1)+IF(Q274="Yes",2,IF(Q274="Unsure",1,0)),0)</f>
        <v/>
      </c>
      <c r="Z274" s="2">
        <f>IFERROR(ROUND((V274*2)+(W274*1)+(X274*2)+(IF(T274="Easy",2,IF(T274="Medium",1,IF(T274="Hard",-1,0))))-(Y274*2),1),0)</f>
        <v/>
      </c>
      <c r="AA274" s="2">
        <f>IFERROR(IF(S274="Not a fit","Not a Fit",IF(Y274&gt;=5,"High Risk / Needs Review",IF(AND(Z274&gt;=18,T274="Easy"),"Quick Win",IF(AND(Z274&gt;=18,T274&lt;&gt;"Easy"),"Strategic Project",IF(Z274&gt;=10,"Discovery Needed","Process Issue"))))),"")</f>
        <v/>
      </c>
      <c r="AB274" s="2">
        <f>IFERROR(SWITCH(AA274,"Quick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4" s="2" t="n"/>
      <c r="AD274" s="2" t="n"/>
      <c r="AE274" s="2" t="n"/>
    </row>
    <row r="275" ht="25" customHeight="1">
      <c r="A275" s="3" t="n"/>
      <c r="B275" s="3">
        <f>IFERROR(XLOOKUP(A275,'Intake Responses'!$A:$A,'Intake Responses'!$E:$E),"")</f>
        <v/>
      </c>
      <c r="C275" s="3">
        <f>IFERROR(XLOOKUP(A275,'Intake Responses'!$A:$A,'Intake Responses'!$D:$D),"")</f>
        <v/>
      </c>
      <c r="D275" s="3">
        <f>IFERROR(XLOOKUP(A275,'Intake Responses'!$A:$A,'Intake Responses'!$F:$F),"")</f>
        <v/>
      </c>
      <c r="E275" s="3" t="n"/>
      <c r="F275" s="3">
        <f>IFERROR(XLOOKUP(A275,'Intake Responses'!$A:$A,'Intake Responses'!$M:$M),"")</f>
        <v/>
      </c>
      <c r="G275" s="3">
        <f>IFERROR(XLOOKUP(A275,'Intake Responses'!$A:$A,'Intake Responses'!$N:$N),"")</f>
        <v/>
      </c>
      <c r="H275" s="3">
        <f>IFERROR(XLOOKUP(A275,'Intake Responses'!$A:$A,'Intake Responses'!$O:$O),"")</f>
        <v/>
      </c>
      <c r="I275" s="3">
        <f>IFERROR(SWITCH(F275,"Multiple times per day",60,"Daily",20,"Weekly",4,"Monthly",1,"Quarterly",0.33,"Ad hoc",0.5,"Unknown",0),0)</f>
        <v/>
      </c>
      <c r="J275" s="3">
        <f>IFERROR((G275*H275*I275)/60,0)</f>
        <v/>
      </c>
      <c r="K275" s="3">
        <f>IFERROR(J275*12,0)</f>
        <v/>
      </c>
      <c r="L275" s="3">
        <f>IFERROR(XLOOKUP(A275,'Intake Responses'!$A:$A,'Intake Responses'!$T:$T),"")</f>
        <v/>
      </c>
      <c r="M275" s="3">
        <f>IFERROR(XLOOKUP(A275,'Intake Responses'!$A:$A,'Intake Responses'!$U:$U),"")</f>
        <v/>
      </c>
      <c r="N275" s="3">
        <f>IFERROR(XLOOKUP(A275,'Intake Responses'!$A:$A,'Intake Responses'!$V:$V),"")</f>
        <v/>
      </c>
      <c r="O275" s="3">
        <f>IFERROR(XLOOKUP(A275,'Intake Responses'!$A:$A,'Intake Responses'!$W:$W),"")</f>
        <v/>
      </c>
      <c r="P275" s="3">
        <f>IFERROR(XLOOKUP(A275,'Intake Responses'!$A:$A,'Intake Responses'!$X:$X),"")</f>
        <v/>
      </c>
      <c r="Q275" s="3">
        <f>IFERROR(XLOOKUP(A275,'Intake Responses'!$A:$A,'Intake Responses'!$AF:$AF),"")</f>
        <v/>
      </c>
      <c r="R275" s="3">
        <f>IFERROR(XLOOKUP(A275,'Intake Responses'!$A:$A,'Intake Responses'!$S:$S),"")</f>
        <v/>
      </c>
      <c r="S275" s="3" t="n"/>
      <c r="T275" s="3" t="n"/>
      <c r="U275" s="3" t="n"/>
      <c r="V275" s="3">
        <f>IFERROR(MIN(5,ROUND(((M275+O275)/2)+(IF(J275&gt;=20,2,IF(J275&gt;=10,1.5,IF(J275&gt;=5,1,IF(J275&gt;=1,0.5,0))))),1)),0)</f>
        <v/>
      </c>
      <c r="W275" s="3">
        <f>IFERROR(SWITCH(F275,"Multiple times per day",5,"Daily",4,"Weekly",3,"Monthly",2,"Quarterly",1,"Ad hoc",1,"Unknown",0),0)</f>
        <v/>
      </c>
      <c r="X275" s="3">
        <f>IFERROR(ROUND(AVERAGE(L275,N275),1),0)</f>
        <v/>
      </c>
      <c r="Y275" s="3">
        <f>IFERROR(SWITCH(U275,"High",3,"Medium",2,"Low",0,"Unknown",1,1)+IF(Q275="Yes",2,IF(Q275="Unsure",1,0)),0)</f>
        <v/>
      </c>
      <c r="Z275" s="3">
        <f>IFERROR(ROUND((V275*2)+(W275*1)+(X275*2)+(IF(T275="Easy",2,IF(T275="Medium",1,IF(T275="Hard",-1,0))))-(Y275*2),1),0)</f>
        <v/>
      </c>
      <c r="AA275" s="3">
        <f>IFERROR(IF(S275="Not a fit","Not a Fit",IF(Y275&gt;=5,"High Risk / Needs Review",IF(AND(Z275&gt;=18,T275="Easy"),"Quick Win",IF(AND(Z275&gt;=18,T275&lt;&gt;"Easy"),"Strategic Project",IF(Z275&gt;=10,"Discovery Needed","Process Issue"))))),"")</f>
        <v/>
      </c>
      <c r="AB275" s="3">
        <f>IFERROR(SWITCH(AA275,"Quick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5" s="3" t="n"/>
      <c r="AD275" s="3" t="n"/>
      <c r="AE275" s="3" t="n"/>
    </row>
    <row r="276" ht="25" customHeight="1">
      <c r="A276" s="2" t="n"/>
      <c r="B276" s="2">
        <f>IFERROR(XLOOKUP(A276,'Intake Responses'!$A:$A,'Intake Responses'!$E:$E),"")</f>
        <v/>
      </c>
      <c r="C276" s="2">
        <f>IFERROR(XLOOKUP(A276,'Intake Responses'!$A:$A,'Intake Responses'!$D:$D),"")</f>
        <v/>
      </c>
      <c r="D276" s="2">
        <f>IFERROR(XLOOKUP(A276,'Intake Responses'!$A:$A,'Intake Responses'!$F:$F),"")</f>
        <v/>
      </c>
      <c r="E276" s="2" t="n"/>
      <c r="F276" s="2">
        <f>IFERROR(XLOOKUP(A276,'Intake Responses'!$A:$A,'Intake Responses'!$M:$M),"")</f>
        <v/>
      </c>
      <c r="G276" s="2">
        <f>IFERROR(XLOOKUP(A276,'Intake Responses'!$A:$A,'Intake Responses'!$N:$N),"")</f>
        <v/>
      </c>
      <c r="H276" s="2">
        <f>IFERROR(XLOOKUP(A276,'Intake Responses'!$A:$A,'Intake Responses'!$O:$O),"")</f>
        <v/>
      </c>
      <c r="I276" s="2">
        <f>IFERROR(SWITCH(F276,"Multiple times per day",60,"Daily",20,"Weekly",4,"Monthly",1,"Quarterly",0.33,"Ad hoc",0.5,"Unknown",0),0)</f>
        <v/>
      </c>
      <c r="J276" s="2">
        <f>IFERROR((G276*H276*I276)/60,0)</f>
        <v/>
      </c>
      <c r="K276" s="2">
        <f>IFERROR(J276*12,0)</f>
        <v/>
      </c>
      <c r="L276" s="2">
        <f>IFERROR(XLOOKUP(A276,'Intake Responses'!$A:$A,'Intake Responses'!$T:$T),"")</f>
        <v/>
      </c>
      <c r="M276" s="2">
        <f>IFERROR(XLOOKUP(A276,'Intake Responses'!$A:$A,'Intake Responses'!$U:$U),"")</f>
        <v/>
      </c>
      <c r="N276" s="2">
        <f>IFERROR(XLOOKUP(A276,'Intake Responses'!$A:$A,'Intake Responses'!$V:$V),"")</f>
        <v/>
      </c>
      <c r="O276" s="2">
        <f>IFERROR(XLOOKUP(A276,'Intake Responses'!$A:$A,'Intake Responses'!$W:$W),"")</f>
        <v/>
      </c>
      <c r="P276" s="2">
        <f>IFERROR(XLOOKUP(A276,'Intake Responses'!$A:$A,'Intake Responses'!$X:$X),"")</f>
        <v/>
      </c>
      <c r="Q276" s="2">
        <f>IFERROR(XLOOKUP(A276,'Intake Responses'!$A:$A,'Intake Responses'!$AF:$AF),"")</f>
        <v/>
      </c>
      <c r="R276" s="2">
        <f>IFERROR(XLOOKUP(A276,'Intake Responses'!$A:$A,'Intake Responses'!$S:$S),"")</f>
        <v/>
      </c>
      <c r="S276" s="2" t="n"/>
      <c r="T276" s="2" t="n"/>
      <c r="U276" s="2" t="n"/>
      <c r="V276" s="2">
        <f>IFERROR(MIN(5,ROUND(((M276+O276)/2)+(IF(J276&gt;=20,2,IF(J276&gt;=10,1.5,IF(J276&gt;=5,1,IF(J276&gt;=1,0.5,0))))),1)),0)</f>
        <v/>
      </c>
      <c r="W276" s="2">
        <f>IFERROR(SWITCH(F276,"Multiple times per day",5,"Daily",4,"Weekly",3,"Monthly",2,"Quarterly",1,"Ad hoc",1,"Unknown",0),0)</f>
        <v/>
      </c>
      <c r="X276" s="2">
        <f>IFERROR(ROUND(AVERAGE(L276,N276),1),0)</f>
        <v/>
      </c>
      <c r="Y276" s="2">
        <f>IFERROR(SWITCH(U276,"High",3,"Medium",2,"Low",0,"Unknown",1,1)+IF(Q276="Yes",2,IF(Q276="Unsure",1,0)),0)</f>
        <v/>
      </c>
      <c r="Z276" s="2">
        <f>IFERROR(ROUND((V276*2)+(W276*1)+(X276*2)+(IF(T276="Easy",2,IF(T276="Medium",1,IF(T276="Hard",-1,0))))-(Y276*2),1),0)</f>
        <v/>
      </c>
      <c r="AA276" s="2">
        <f>IFERROR(IF(S276="Not a fit","Not a Fit",IF(Y276&gt;=5,"High Risk / Needs Review",IF(AND(Z276&gt;=18,T276="Easy"),"Quick Win",IF(AND(Z276&gt;=18,T276&lt;&gt;"Easy"),"Strategic Project",IF(Z276&gt;=10,"Discovery Needed","Process Issue"))))),"")</f>
        <v/>
      </c>
      <c r="AB276" s="2">
        <f>IFERROR(SWITCH(AA276,"Quick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6" s="2" t="n"/>
      <c r="AD276" s="2" t="n"/>
      <c r="AE276" s="2" t="n"/>
    </row>
    <row r="277" ht="25" customHeight="1">
      <c r="A277" s="3" t="n"/>
      <c r="B277" s="3">
        <f>IFERROR(XLOOKUP(A277,'Intake Responses'!$A:$A,'Intake Responses'!$E:$E),"")</f>
        <v/>
      </c>
      <c r="C277" s="3">
        <f>IFERROR(XLOOKUP(A277,'Intake Responses'!$A:$A,'Intake Responses'!$D:$D),"")</f>
        <v/>
      </c>
      <c r="D277" s="3">
        <f>IFERROR(XLOOKUP(A277,'Intake Responses'!$A:$A,'Intake Responses'!$F:$F),"")</f>
        <v/>
      </c>
      <c r="E277" s="3" t="n"/>
      <c r="F277" s="3">
        <f>IFERROR(XLOOKUP(A277,'Intake Responses'!$A:$A,'Intake Responses'!$M:$M),"")</f>
        <v/>
      </c>
      <c r="G277" s="3">
        <f>IFERROR(XLOOKUP(A277,'Intake Responses'!$A:$A,'Intake Responses'!$N:$N),"")</f>
        <v/>
      </c>
      <c r="H277" s="3">
        <f>IFERROR(XLOOKUP(A277,'Intake Responses'!$A:$A,'Intake Responses'!$O:$O),"")</f>
        <v/>
      </c>
      <c r="I277" s="3">
        <f>IFERROR(SWITCH(F277,"Multiple times per day",60,"Daily",20,"Weekly",4,"Monthly",1,"Quarterly",0.33,"Ad hoc",0.5,"Unknown",0),0)</f>
        <v/>
      </c>
      <c r="J277" s="3">
        <f>IFERROR((G277*H277*I277)/60,0)</f>
        <v/>
      </c>
      <c r="K277" s="3">
        <f>IFERROR(J277*12,0)</f>
        <v/>
      </c>
      <c r="L277" s="3">
        <f>IFERROR(XLOOKUP(A277,'Intake Responses'!$A:$A,'Intake Responses'!$T:$T),"")</f>
        <v/>
      </c>
      <c r="M277" s="3">
        <f>IFERROR(XLOOKUP(A277,'Intake Responses'!$A:$A,'Intake Responses'!$U:$U),"")</f>
        <v/>
      </c>
      <c r="N277" s="3">
        <f>IFERROR(XLOOKUP(A277,'Intake Responses'!$A:$A,'Intake Responses'!$V:$V),"")</f>
        <v/>
      </c>
      <c r="O277" s="3">
        <f>IFERROR(XLOOKUP(A277,'Intake Responses'!$A:$A,'Intake Responses'!$W:$W),"")</f>
        <v/>
      </c>
      <c r="P277" s="3">
        <f>IFERROR(XLOOKUP(A277,'Intake Responses'!$A:$A,'Intake Responses'!$X:$X),"")</f>
        <v/>
      </c>
      <c r="Q277" s="3">
        <f>IFERROR(XLOOKUP(A277,'Intake Responses'!$A:$A,'Intake Responses'!$AF:$AF),"")</f>
        <v/>
      </c>
      <c r="R277" s="3">
        <f>IFERROR(XLOOKUP(A277,'Intake Responses'!$A:$A,'Intake Responses'!$S:$S),"")</f>
        <v/>
      </c>
      <c r="S277" s="3" t="n"/>
      <c r="T277" s="3" t="n"/>
      <c r="U277" s="3" t="n"/>
      <c r="V277" s="3">
        <f>IFERROR(MIN(5,ROUND(((M277+O277)/2)+(IF(J277&gt;=20,2,IF(J277&gt;=10,1.5,IF(J277&gt;=5,1,IF(J277&gt;=1,0.5,0))))),1)),0)</f>
        <v/>
      </c>
      <c r="W277" s="3">
        <f>IFERROR(SWITCH(F277,"Multiple times per day",5,"Daily",4,"Weekly",3,"Monthly",2,"Quarterly",1,"Ad hoc",1,"Unknown",0),0)</f>
        <v/>
      </c>
      <c r="X277" s="3">
        <f>IFERROR(ROUND(AVERAGE(L277,N277),1),0)</f>
        <v/>
      </c>
      <c r="Y277" s="3">
        <f>IFERROR(SWITCH(U277,"High",3,"Medium",2,"Low",0,"Unknown",1,1)+IF(Q277="Yes",2,IF(Q277="Unsure",1,0)),0)</f>
        <v/>
      </c>
      <c r="Z277" s="3">
        <f>IFERROR(ROUND((V277*2)+(W277*1)+(X277*2)+(IF(T277="Easy",2,IF(T277="Medium",1,IF(T277="Hard",-1,0))))-(Y277*2),1),0)</f>
        <v/>
      </c>
      <c r="AA277" s="3">
        <f>IFERROR(IF(S277="Not a fit","Not a Fit",IF(Y277&gt;=5,"High Risk / Needs Review",IF(AND(Z277&gt;=18,T277="Easy"),"Quick Win",IF(AND(Z277&gt;=18,T277&lt;&gt;"Easy"),"Strategic Project",IF(Z277&gt;=10,"Discovery Needed","Process Issue"))))),"")</f>
        <v/>
      </c>
      <c r="AB277" s="3">
        <f>IFERROR(SWITCH(AA277,"Quick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7" s="3" t="n"/>
      <c r="AD277" s="3" t="n"/>
      <c r="AE277" s="3" t="n"/>
    </row>
    <row r="278" ht="25" customHeight="1">
      <c r="A278" s="2" t="n"/>
      <c r="B278" s="2">
        <f>IFERROR(XLOOKUP(A278,'Intake Responses'!$A:$A,'Intake Responses'!$E:$E),"")</f>
        <v/>
      </c>
      <c r="C278" s="2">
        <f>IFERROR(XLOOKUP(A278,'Intake Responses'!$A:$A,'Intake Responses'!$D:$D),"")</f>
        <v/>
      </c>
      <c r="D278" s="2">
        <f>IFERROR(XLOOKUP(A278,'Intake Responses'!$A:$A,'Intake Responses'!$F:$F),"")</f>
        <v/>
      </c>
      <c r="E278" s="2" t="n"/>
      <c r="F278" s="2">
        <f>IFERROR(XLOOKUP(A278,'Intake Responses'!$A:$A,'Intake Responses'!$M:$M),"")</f>
        <v/>
      </c>
      <c r="G278" s="2">
        <f>IFERROR(XLOOKUP(A278,'Intake Responses'!$A:$A,'Intake Responses'!$N:$N),"")</f>
        <v/>
      </c>
      <c r="H278" s="2">
        <f>IFERROR(XLOOKUP(A278,'Intake Responses'!$A:$A,'Intake Responses'!$O:$O),"")</f>
        <v/>
      </c>
      <c r="I278" s="2">
        <f>IFERROR(SWITCH(F278,"Multiple times per day",60,"Daily",20,"Weekly",4,"Monthly",1,"Quarterly",0.33,"Ad hoc",0.5,"Unknown",0),0)</f>
        <v/>
      </c>
      <c r="J278" s="2">
        <f>IFERROR((G278*H278*I278)/60,0)</f>
        <v/>
      </c>
      <c r="K278" s="2">
        <f>IFERROR(J278*12,0)</f>
        <v/>
      </c>
      <c r="L278" s="2">
        <f>IFERROR(XLOOKUP(A278,'Intake Responses'!$A:$A,'Intake Responses'!$T:$T),"")</f>
        <v/>
      </c>
      <c r="M278" s="2">
        <f>IFERROR(XLOOKUP(A278,'Intake Responses'!$A:$A,'Intake Responses'!$U:$U),"")</f>
        <v/>
      </c>
      <c r="N278" s="2">
        <f>IFERROR(XLOOKUP(A278,'Intake Responses'!$A:$A,'Intake Responses'!$V:$V),"")</f>
        <v/>
      </c>
      <c r="O278" s="2">
        <f>IFERROR(XLOOKUP(A278,'Intake Responses'!$A:$A,'Intake Responses'!$W:$W),"")</f>
        <v/>
      </c>
      <c r="P278" s="2">
        <f>IFERROR(XLOOKUP(A278,'Intake Responses'!$A:$A,'Intake Responses'!$X:$X),"")</f>
        <v/>
      </c>
      <c r="Q278" s="2">
        <f>IFERROR(XLOOKUP(A278,'Intake Responses'!$A:$A,'Intake Responses'!$AF:$AF),"")</f>
        <v/>
      </c>
      <c r="R278" s="2">
        <f>IFERROR(XLOOKUP(A278,'Intake Responses'!$A:$A,'Intake Responses'!$S:$S),"")</f>
        <v/>
      </c>
      <c r="S278" s="2" t="n"/>
      <c r="T278" s="2" t="n"/>
      <c r="U278" s="2" t="n"/>
      <c r="V278" s="2">
        <f>IFERROR(MIN(5,ROUND(((M278+O278)/2)+(IF(J278&gt;=20,2,IF(J278&gt;=10,1.5,IF(J278&gt;=5,1,IF(J278&gt;=1,0.5,0))))),1)),0)</f>
        <v/>
      </c>
      <c r="W278" s="2">
        <f>IFERROR(SWITCH(F278,"Multiple times per day",5,"Daily",4,"Weekly",3,"Monthly",2,"Quarterly",1,"Ad hoc",1,"Unknown",0),0)</f>
        <v/>
      </c>
      <c r="X278" s="2">
        <f>IFERROR(ROUND(AVERAGE(L278,N278),1),0)</f>
        <v/>
      </c>
      <c r="Y278" s="2">
        <f>IFERROR(SWITCH(U278,"High",3,"Medium",2,"Low",0,"Unknown",1,1)+IF(Q278="Yes",2,IF(Q278="Unsure",1,0)),0)</f>
        <v/>
      </c>
      <c r="Z278" s="2">
        <f>IFERROR(ROUND((V278*2)+(W278*1)+(X278*2)+(IF(T278="Easy",2,IF(T278="Medium",1,IF(T278="Hard",-1,0))))-(Y278*2),1),0)</f>
        <v/>
      </c>
      <c r="AA278" s="2">
        <f>IFERROR(IF(S278="Not a fit","Not a Fit",IF(Y278&gt;=5,"High Risk / Needs Review",IF(AND(Z278&gt;=18,T278="Easy"),"Quick Win",IF(AND(Z278&gt;=18,T278&lt;&gt;"Easy"),"Strategic Project",IF(Z278&gt;=10,"Discovery Needed","Process Issue"))))),"")</f>
        <v/>
      </c>
      <c r="AB278" s="2">
        <f>IFERROR(SWITCH(AA278,"Quick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8" s="2" t="n"/>
      <c r="AD278" s="2" t="n"/>
      <c r="AE278" s="2" t="n"/>
    </row>
    <row r="279" ht="25" customHeight="1">
      <c r="A279" s="3" t="n"/>
      <c r="B279" s="3">
        <f>IFERROR(XLOOKUP(A279,'Intake Responses'!$A:$A,'Intake Responses'!$E:$E),"")</f>
        <v/>
      </c>
      <c r="C279" s="3">
        <f>IFERROR(XLOOKUP(A279,'Intake Responses'!$A:$A,'Intake Responses'!$D:$D),"")</f>
        <v/>
      </c>
      <c r="D279" s="3">
        <f>IFERROR(XLOOKUP(A279,'Intake Responses'!$A:$A,'Intake Responses'!$F:$F),"")</f>
        <v/>
      </c>
      <c r="E279" s="3" t="n"/>
      <c r="F279" s="3">
        <f>IFERROR(XLOOKUP(A279,'Intake Responses'!$A:$A,'Intake Responses'!$M:$M),"")</f>
        <v/>
      </c>
      <c r="G279" s="3">
        <f>IFERROR(XLOOKUP(A279,'Intake Responses'!$A:$A,'Intake Responses'!$N:$N),"")</f>
        <v/>
      </c>
      <c r="H279" s="3">
        <f>IFERROR(XLOOKUP(A279,'Intake Responses'!$A:$A,'Intake Responses'!$O:$O),"")</f>
        <v/>
      </c>
      <c r="I279" s="3">
        <f>IFERROR(SWITCH(F279,"Multiple times per day",60,"Daily",20,"Weekly",4,"Monthly",1,"Quarterly",0.33,"Ad hoc",0.5,"Unknown",0),0)</f>
        <v/>
      </c>
      <c r="J279" s="3">
        <f>IFERROR((G279*H279*I279)/60,0)</f>
        <v/>
      </c>
      <c r="K279" s="3">
        <f>IFERROR(J279*12,0)</f>
        <v/>
      </c>
      <c r="L279" s="3">
        <f>IFERROR(XLOOKUP(A279,'Intake Responses'!$A:$A,'Intake Responses'!$T:$T),"")</f>
        <v/>
      </c>
      <c r="M279" s="3">
        <f>IFERROR(XLOOKUP(A279,'Intake Responses'!$A:$A,'Intake Responses'!$U:$U),"")</f>
        <v/>
      </c>
      <c r="N279" s="3">
        <f>IFERROR(XLOOKUP(A279,'Intake Responses'!$A:$A,'Intake Responses'!$V:$V),"")</f>
        <v/>
      </c>
      <c r="O279" s="3">
        <f>IFERROR(XLOOKUP(A279,'Intake Responses'!$A:$A,'Intake Responses'!$W:$W),"")</f>
        <v/>
      </c>
      <c r="P279" s="3">
        <f>IFERROR(XLOOKUP(A279,'Intake Responses'!$A:$A,'Intake Responses'!$X:$X),"")</f>
        <v/>
      </c>
      <c r="Q279" s="3">
        <f>IFERROR(XLOOKUP(A279,'Intake Responses'!$A:$A,'Intake Responses'!$AF:$AF),"")</f>
        <v/>
      </c>
      <c r="R279" s="3">
        <f>IFERROR(XLOOKUP(A279,'Intake Responses'!$A:$A,'Intake Responses'!$S:$S),"")</f>
        <v/>
      </c>
      <c r="S279" s="3" t="n"/>
      <c r="T279" s="3" t="n"/>
      <c r="U279" s="3" t="n"/>
      <c r="V279" s="3">
        <f>IFERROR(MIN(5,ROUND(((M279+O279)/2)+(IF(J279&gt;=20,2,IF(J279&gt;=10,1.5,IF(J279&gt;=5,1,IF(J279&gt;=1,0.5,0))))),1)),0)</f>
        <v/>
      </c>
      <c r="W279" s="3">
        <f>IFERROR(SWITCH(F279,"Multiple times per day",5,"Daily",4,"Weekly",3,"Monthly",2,"Quarterly",1,"Ad hoc",1,"Unknown",0),0)</f>
        <v/>
      </c>
      <c r="X279" s="3">
        <f>IFERROR(ROUND(AVERAGE(L279,N279),1),0)</f>
        <v/>
      </c>
      <c r="Y279" s="3">
        <f>IFERROR(SWITCH(U279,"High",3,"Medium",2,"Low",0,"Unknown",1,1)+IF(Q279="Yes",2,IF(Q279="Unsure",1,0)),0)</f>
        <v/>
      </c>
      <c r="Z279" s="3">
        <f>IFERROR(ROUND((V279*2)+(W279*1)+(X279*2)+(IF(T279="Easy",2,IF(T279="Medium",1,IF(T279="Hard",-1,0))))-(Y279*2),1),0)</f>
        <v/>
      </c>
      <c r="AA279" s="3">
        <f>IFERROR(IF(S279="Not a fit","Not a Fit",IF(Y279&gt;=5,"High Risk / Needs Review",IF(AND(Z279&gt;=18,T279="Easy"),"Quick Win",IF(AND(Z279&gt;=18,T279&lt;&gt;"Easy"),"Strategic Project",IF(Z279&gt;=10,"Discovery Needed","Process Issue"))))),"")</f>
        <v/>
      </c>
      <c r="AB279" s="3">
        <f>IFERROR(SWITCH(AA279,"Quick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79" s="3" t="n"/>
      <c r="AD279" s="3" t="n"/>
      <c r="AE279" s="3" t="n"/>
    </row>
    <row r="280" ht="25" customHeight="1">
      <c r="A280" s="2" t="n"/>
      <c r="B280" s="2">
        <f>IFERROR(XLOOKUP(A280,'Intake Responses'!$A:$A,'Intake Responses'!$E:$E),"")</f>
        <v/>
      </c>
      <c r="C280" s="2">
        <f>IFERROR(XLOOKUP(A280,'Intake Responses'!$A:$A,'Intake Responses'!$D:$D),"")</f>
        <v/>
      </c>
      <c r="D280" s="2">
        <f>IFERROR(XLOOKUP(A280,'Intake Responses'!$A:$A,'Intake Responses'!$F:$F),"")</f>
        <v/>
      </c>
      <c r="E280" s="2" t="n"/>
      <c r="F280" s="2">
        <f>IFERROR(XLOOKUP(A280,'Intake Responses'!$A:$A,'Intake Responses'!$M:$M),"")</f>
        <v/>
      </c>
      <c r="G280" s="2">
        <f>IFERROR(XLOOKUP(A280,'Intake Responses'!$A:$A,'Intake Responses'!$N:$N),"")</f>
        <v/>
      </c>
      <c r="H280" s="2">
        <f>IFERROR(XLOOKUP(A280,'Intake Responses'!$A:$A,'Intake Responses'!$O:$O),"")</f>
        <v/>
      </c>
      <c r="I280" s="2">
        <f>IFERROR(SWITCH(F280,"Multiple times per day",60,"Daily",20,"Weekly",4,"Monthly",1,"Quarterly",0.33,"Ad hoc",0.5,"Unknown",0),0)</f>
        <v/>
      </c>
      <c r="J280" s="2">
        <f>IFERROR((G280*H280*I280)/60,0)</f>
        <v/>
      </c>
      <c r="K280" s="2">
        <f>IFERROR(J280*12,0)</f>
        <v/>
      </c>
      <c r="L280" s="2">
        <f>IFERROR(XLOOKUP(A280,'Intake Responses'!$A:$A,'Intake Responses'!$T:$T),"")</f>
        <v/>
      </c>
      <c r="M280" s="2">
        <f>IFERROR(XLOOKUP(A280,'Intake Responses'!$A:$A,'Intake Responses'!$U:$U),"")</f>
        <v/>
      </c>
      <c r="N280" s="2">
        <f>IFERROR(XLOOKUP(A280,'Intake Responses'!$A:$A,'Intake Responses'!$V:$V),"")</f>
        <v/>
      </c>
      <c r="O280" s="2">
        <f>IFERROR(XLOOKUP(A280,'Intake Responses'!$A:$A,'Intake Responses'!$W:$W),"")</f>
        <v/>
      </c>
      <c r="P280" s="2">
        <f>IFERROR(XLOOKUP(A280,'Intake Responses'!$A:$A,'Intake Responses'!$X:$X),"")</f>
        <v/>
      </c>
      <c r="Q280" s="2">
        <f>IFERROR(XLOOKUP(A280,'Intake Responses'!$A:$A,'Intake Responses'!$AF:$AF),"")</f>
        <v/>
      </c>
      <c r="R280" s="2">
        <f>IFERROR(XLOOKUP(A280,'Intake Responses'!$A:$A,'Intake Responses'!$S:$S),"")</f>
        <v/>
      </c>
      <c r="S280" s="2" t="n"/>
      <c r="T280" s="2" t="n"/>
      <c r="U280" s="2" t="n"/>
      <c r="V280" s="2">
        <f>IFERROR(MIN(5,ROUND(((M280+O280)/2)+(IF(J280&gt;=20,2,IF(J280&gt;=10,1.5,IF(J280&gt;=5,1,IF(J280&gt;=1,0.5,0))))),1)),0)</f>
        <v/>
      </c>
      <c r="W280" s="2">
        <f>IFERROR(SWITCH(F280,"Multiple times per day",5,"Daily",4,"Weekly",3,"Monthly",2,"Quarterly",1,"Ad hoc",1,"Unknown",0),0)</f>
        <v/>
      </c>
      <c r="X280" s="2">
        <f>IFERROR(ROUND(AVERAGE(L280,N280),1),0)</f>
        <v/>
      </c>
      <c r="Y280" s="2">
        <f>IFERROR(SWITCH(U280,"High",3,"Medium",2,"Low",0,"Unknown",1,1)+IF(Q280="Yes",2,IF(Q280="Unsure",1,0)),0)</f>
        <v/>
      </c>
      <c r="Z280" s="2">
        <f>IFERROR(ROUND((V280*2)+(W280*1)+(X280*2)+(IF(T280="Easy",2,IF(T280="Medium",1,IF(T280="Hard",-1,0))))-(Y280*2),1),0)</f>
        <v/>
      </c>
      <c r="AA280" s="2">
        <f>IFERROR(IF(S280="Not a fit","Not a Fit",IF(Y280&gt;=5,"High Risk / Needs Review",IF(AND(Z280&gt;=18,T280="Easy"),"Quick Win",IF(AND(Z280&gt;=18,T280&lt;&gt;"Easy"),"Strategic Project",IF(Z280&gt;=10,"Discovery Needed","Process Issue"))))),"")</f>
        <v/>
      </c>
      <c r="AB280" s="2">
        <f>IFERROR(SWITCH(AA280,"Quick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0" s="2" t="n"/>
      <c r="AD280" s="2" t="n"/>
      <c r="AE280" s="2" t="n"/>
    </row>
    <row r="281" ht="25" customHeight="1">
      <c r="A281" s="3" t="n"/>
      <c r="B281" s="3">
        <f>IFERROR(XLOOKUP(A281,'Intake Responses'!$A:$A,'Intake Responses'!$E:$E),"")</f>
        <v/>
      </c>
      <c r="C281" s="3">
        <f>IFERROR(XLOOKUP(A281,'Intake Responses'!$A:$A,'Intake Responses'!$D:$D),"")</f>
        <v/>
      </c>
      <c r="D281" s="3">
        <f>IFERROR(XLOOKUP(A281,'Intake Responses'!$A:$A,'Intake Responses'!$F:$F),"")</f>
        <v/>
      </c>
      <c r="E281" s="3" t="n"/>
      <c r="F281" s="3">
        <f>IFERROR(XLOOKUP(A281,'Intake Responses'!$A:$A,'Intake Responses'!$M:$M),"")</f>
        <v/>
      </c>
      <c r="G281" s="3">
        <f>IFERROR(XLOOKUP(A281,'Intake Responses'!$A:$A,'Intake Responses'!$N:$N),"")</f>
        <v/>
      </c>
      <c r="H281" s="3">
        <f>IFERROR(XLOOKUP(A281,'Intake Responses'!$A:$A,'Intake Responses'!$O:$O),"")</f>
        <v/>
      </c>
      <c r="I281" s="3">
        <f>IFERROR(SWITCH(F281,"Multiple times per day",60,"Daily",20,"Weekly",4,"Monthly",1,"Quarterly",0.33,"Ad hoc",0.5,"Unknown",0),0)</f>
        <v/>
      </c>
      <c r="J281" s="3">
        <f>IFERROR((G281*H281*I281)/60,0)</f>
        <v/>
      </c>
      <c r="K281" s="3">
        <f>IFERROR(J281*12,0)</f>
        <v/>
      </c>
      <c r="L281" s="3">
        <f>IFERROR(XLOOKUP(A281,'Intake Responses'!$A:$A,'Intake Responses'!$T:$T),"")</f>
        <v/>
      </c>
      <c r="M281" s="3">
        <f>IFERROR(XLOOKUP(A281,'Intake Responses'!$A:$A,'Intake Responses'!$U:$U),"")</f>
        <v/>
      </c>
      <c r="N281" s="3">
        <f>IFERROR(XLOOKUP(A281,'Intake Responses'!$A:$A,'Intake Responses'!$V:$V),"")</f>
        <v/>
      </c>
      <c r="O281" s="3">
        <f>IFERROR(XLOOKUP(A281,'Intake Responses'!$A:$A,'Intake Responses'!$W:$W),"")</f>
        <v/>
      </c>
      <c r="P281" s="3">
        <f>IFERROR(XLOOKUP(A281,'Intake Responses'!$A:$A,'Intake Responses'!$X:$X),"")</f>
        <v/>
      </c>
      <c r="Q281" s="3">
        <f>IFERROR(XLOOKUP(A281,'Intake Responses'!$A:$A,'Intake Responses'!$AF:$AF),"")</f>
        <v/>
      </c>
      <c r="R281" s="3">
        <f>IFERROR(XLOOKUP(A281,'Intake Responses'!$A:$A,'Intake Responses'!$S:$S),"")</f>
        <v/>
      </c>
      <c r="S281" s="3" t="n"/>
      <c r="T281" s="3" t="n"/>
      <c r="U281" s="3" t="n"/>
      <c r="V281" s="3">
        <f>IFERROR(MIN(5,ROUND(((M281+O281)/2)+(IF(J281&gt;=20,2,IF(J281&gt;=10,1.5,IF(J281&gt;=5,1,IF(J281&gt;=1,0.5,0))))),1)),0)</f>
        <v/>
      </c>
      <c r="W281" s="3">
        <f>IFERROR(SWITCH(F281,"Multiple times per day",5,"Daily",4,"Weekly",3,"Monthly",2,"Quarterly",1,"Ad hoc",1,"Unknown",0),0)</f>
        <v/>
      </c>
      <c r="X281" s="3">
        <f>IFERROR(ROUND(AVERAGE(L281,N281),1),0)</f>
        <v/>
      </c>
      <c r="Y281" s="3">
        <f>IFERROR(SWITCH(U281,"High",3,"Medium",2,"Low",0,"Unknown",1,1)+IF(Q281="Yes",2,IF(Q281="Unsure",1,0)),0)</f>
        <v/>
      </c>
      <c r="Z281" s="3">
        <f>IFERROR(ROUND((V281*2)+(W281*1)+(X281*2)+(IF(T281="Easy",2,IF(T281="Medium",1,IF(T281="Hard",-1,0))))-(Y281*2),1),0)</f>
        <v/>
      </c>
      <c r="AA281" s="3">
        <f>IFERROR(IF(S281="Not a fit","Not a Fit",IF(Y281&gt;=5,"High Risk / Needs Review",IF(AND(Z281&gt;=18,T281="Easy"),"Quick Win",IF(AND(Z281&gt;=18,T281&lt;&gt;"Easy"),"Strategic Project",IF(Z281&gt;=10,"Discovery Needed","Process Issue"))))),"")</f>
        <v/>
      </c>
      <c r="AB281" s="3">
        <f>IFERROR(SWITCH(AA281,"Quick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1" s="3" t="n"/>
      <c r="AD281" s="3" t="n"/>
      <c r="AE281" s="3" t="n"/>
    </row>
    <row r="282" ht="25" customHeight="1">
      <c r="A282" s="2" t="n"/>
      <c r="B282" s="2">
        <f>IFERROR(XLOOKUP(A282,'Intake Responses'!$A:$A,'Intake Responses'!$E:$E),"")</f>
        <v/>
      </c>
      <c r="C282" s="2">
        <f>IFERROR(XLOOKUP(A282,'Intake Responses'!$A:$A,'Intake Responses'!$D:$D),"")</f>
        <v/>
      </c>
      <c r="D282" s="2">
        <f>IFERROR(XLOOKUP(A282,'Intake Responses'!$A:$A,'Intake Responses'!$F:$F),"")</f>
        <v/>
      </c>
      <c r="E282" s="2" t="n"/>
      <c r="F282" s="2">
        <f>IFERROR(XLOOKUP(A282,'Intake Responses'!$A:$A,'Intake Responses'!$M:$M),"")</f>
        <v/>
      </c>
      <c r="G282" s="2">
        <f>IFERROR(XLOOKUP(A282,'Intake Responses'!$A:$A,'Intake Responses'!$N:$N),"")</f>
        <v/>
      </c>
      <c r="H282" s="2">
        <f>IFERROR(XLOOKUP(A282,'Intake Responses'!$A:$A,'Intake Responses'!$O:$O),"")</f>
        <v/>
      </c>
      <c r="I282" s="2">
        <f>IFERROR(SWITCH(F282,"Multiple times per day",60,"Daily",20,"Weekly",4,"Monthly",1,"Quarterly",0.33,"Ad hoc",0.5,"Unknown",0),0)</f>
        <v/>
      </c>
      <c r="J282" s="2">
        <f>IFERROR((G282*H282*I282)/60,0)</f>
        <v/>
      </c>
      <c r="K282" s="2">
        <f>IFERROR(J282*12,0)</f>
        <v/>
      </c>
      <c r="L282" s="2">
        <f>IFERROR(XLOOKUP(A282,'Intake Responses'!$A:$A,'Intake Responses'!$T:$T),"")</f>
        <v/>
      </c>
      <c r="M282" s="2">
        <f>IFERROR(XLOOKUP(A282,'Intake Responses'!$A:$A,'Intake Responses'!$U:$U),"")</f>
        <v/>
      </c>
      <c r="N282" s="2">
        <f>IFERROR(XLOOKUP(A282,'Intake Responses'!$A:$A,'Intake Responses'!$V:$V),"")</f>
        <v/>
      </c>
      <c r="O282" s="2">
        <f>IFERROR(XLOOKUP(A282,'Intake Responses'!$A:$A,'Intake Responses'!$W:$W),"")</f>
        <v/>
      </c>
      <c r="P282" s="2">
        <f>IFERROR(XLOOKUP(A282,'Intake Responses'!$A:$A,'Intake Responses'!$X:$X),"")</f>
        <v/>
      </c>
      <c r="Q282" s="2">
        <f>IFERROR(XLOOKUP(A282,'Intake Responses'!$A:$A,'Intake Responses'!$AF:$AF),"")</f>
        <v/>
      </c>
      <c r="R282" s="2">
        <f>IFERROR(XLOOKUP(A282,'Intake Responses'!$A:$A,'Intake Responses'!$S:$S),"")</f>
        <v/>
      </c>
      <c r="S282" s="2" t="n"/>
      <c r="T282" s="2" t="n"/>
      <c r="U282" s="2" t="n"/>
      <c r="V282" s="2">
        <f>IFERROR(MIN(5,ROUND(((M282+O282)/2)+(IF(J282&gt;=20,2,IF(J282&gt;=10,1.5,IF(J282&gt;=5,1,IF(J282&gt;=1,0.5,0))))),1)),0)</f>
        <v/>
      </c>
      <c r="W282" s="2">
        <f>IFERROR(SWITCH(F282,"Multiple times per day",5,"Daily",4,"Weekly",3,"Monthly",2,"Quarterly",1,"Ad hoc",1,"Unknown",0),0)</f>
        <v/>
      </c>
      <c r="X282" s="2">
        <f>IFERROR(ROUND(AVERAGE(L282,N282),1),0)</f>
        <v/>
      </c>
      <c r="Y282" s="2">
        <f>IFERROR(SWITCH(U282,"High",3,"Medium",2,"Low",0,"Unknown",1,1)+IF(Q282="Yes",2,IF(Q282="Unsure",1,0)),0)</f>
        <v/>
      </c>
      <c r="Z282" s="2">
        <f>IFERROR(ROUND((V282*2)+(W282*1)+(X282*2)+(IF(T282="Easy",2,IF(T282="Medium",1,IF(T282="Hard",-1,0))))-(Y282*2),1),0)</f>
        <v/>
      </c>
      <c r="AA282" s="2">
        <f>IFERROR(IF(S282="Not a fit","Not a Fit",IF(Y282&gt;=5,"High Risk / Needs Review",IF(AND(Z282&gt;=18,T282="Easy"),"Quick Win",IF(AND(Z282&gt;=18,T282&lt;&gt;"Easy"),"Strategic Project",IF(Z282&gt;=10,"Discovery Needed","Process Issue"))))),"")</f>
        <v/>
      </c>
      <c r="AB282" s="2">
        <f>IFERROR(SWITCH(AA282,"Quick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2" s="2" t="n"/>
      <c r="AD282" s="2" t="n"/>
      <c r="AE282" s="2" t="n"/>
    </row>
    <row r="283" ht="25" customHeight="1">
      <c r="A283" s="3" t="n"/>
      <c r="B283" s="3">
        <f>IFERROR(XLOOKUP(A283,'Intake Responses'!$A:$A,'Intake Responses'!$E:$E),"")</f>
        <v/>
      </c>
      <c r="C283" s="3">
        <f>IFERROR(XLOOKUP(A283,'Intake Responses'!$A:$A,'Intake Responses'!$D:$D),"")</f>
        <v/>
      </c>
      <c r="D283" s="3">
        <f>IFERROR(XLOOKUP(A283,'Intake Responses'!$A:$A,'Intake Responses'!$F:$F),"")</f>
        <v/>
      </c>
      <c r="E283" s="3" t="n"/>
      <c r="F283" s="3">
        <f>IFERROR(XLOOKUP(A283,'Intake Responses'!$A:$A,'Intake Responses'!$M:$M),"")</f>
        <v/>
      </c>
      <c r="G283" s="3">
        <f>IFERROR(XLOOKUP(A283,'Intake Responses'!$A:$A,'Intake Responses'!$N:$N),"")</f>
        <v/>
      </c>
      <c r="H283" s="3">
        <f>IFERROR(XLOOKUP(A283,'Intake Responses'!$A:$A,'Intake Responses'!$O:$O),"")</f>
        <v/>
      </c>
      <c r="I283" s="3">
        <f>IFERROR(SWITCH(F283,"Multiple times per day",60,"Daily",20,"Weekly",4,"Monthly",1,"Quarterly",0.33,"Ad hoc",0.5,"Unknown",0),0)</f>
        <v/>
      </c>
      <c r="J283" s="3">
        <f>IFERROR((G283*H283*I283)/60,0)</f>
        <v/>
      </c>
      <c r="K283" s="3">
        <f>IFERROR(J283*12,0)</f>
        <v/>
      </c>
      <c r="L283" s="3">
        <f>IFERROR(XLOOKUP(A283,'Intake Responses'!$A:$A,'Intake Responses'!$T:$T),"")</f>
        <v/>
      </c>
      <c r="M283" s="3">
        <f>IFERROR(XLOOKUP(A283,'Intake Responses'!$A:$A,'Intake Responses'!$U:$U),"")</f>
        <v/>
      </c>
      <c r="N283" s="3">
        <f>IFERROR(XLOOKUP(A283,'Intake Responses'!$A:$A,'Intake Responses'!$V:$V),"")</f>
        <v/>
      </c>
      <c r="O283" s="3">
        <f>IFERROR(XLOOKUP(A283,'Intake Responses'!$A:$A,'Intake Responses'!$W:$W),"")</f>
        <v/>
      </c>
      <c r="P283" s="3">
        <f>IFERROR(XLOOKUP(A283,'Intake Responses'!$A:$A,'Intake Responses'!$X:$X),"")</f>
        <v/>
      </c>
      <c r="Q283" s="3">
        <f>IFERROR(XLOOKUP(A283,'Intake Responses'!$A:$A,'Intake Responses'!$AF:$AF),"")</f>
        <v/>
      </c>
      <c r="R283" s="3">
        <f>IFERROR(XLOOKUP(A283,'Intake Responses'!$A:$A,'Intake Responses'!$S:$S),"")</f>
        <v/>
      </c>
      <c r="S283" s="3" t="n"/>
      <c r="T283" s="3" t="n"/>
      <c r="U283" s="3" t="n"/>
      <c r="V283" s="3">
        <f>IFERROR(MIN(5,ROUND(((M283+O283)/2)+(IF(J283&gt;=20,2,IF(J283&gt;=10,1.5,IF(J283&gt;=5,1,IF(J283&gt;=1,0.5,0))))),1)),0)</f>
        <v/>
      </c>
      <c r="W283" s="3">
        <f>IFERROR(SWITCH(F283,"Multiple times per day",5,"Daily",4,"Weekly",3,"Monthly",2,"Quarterly",1,"Ad hoc",1,"Unknown",0),0)</f>
        <v/>
      </c>
      <c r="X283" s="3">
        <f>IFERROR(ROUND(AVERAGE(L283,N283),1),0)</f>
        <v/>
      </c>
      <c r="Y283" s="3">
        <f>IFERROR(SWITCH(U283,"High",3,"Medium",2,"Low",0,"Unknown",1,1)+IF(Q283="Yes",2,IF(Q283="Unsure",1,0)),0)</f>
        <v/>
      </c>
      <c r="Z283" s="3">
        <f>IFERROR(ROUND((V283*2)+(W283*1)+(X283*2)+(IF(T283="Easy",2,IF(T283="Medium",1,IF(T283="Hard",-1,0))))-(Y283*2),1),0)</f>
        <v/>
      </c>
      <c r="AA283" s="3">
        <f>IFERROR(IF(S283="Not a fit","Not a Fit",IF(Y283&gt;=5,"High Risk / Needs Review",IF(AND(Z283&gt;=18,T283="Easy"),"Quick Win",IF(AND(Z283&gt;=18,T283&lt;&gt;"Easy"),"Strategic Project",IF(Z283&gt;=10,"Discovery Needed","Process Issue"))))),"")</f>
        <v/>
      </c>
      <c r="AB283" s="3">
        <f>IFERROR(SWITCH(AA283,"Quick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3" s="3" t="n"/>
      <c r="AD283" s="3" t="n"/>
      <c r="AE283" s="3" t="n"/>
    </row>
    <row r="284" ht="25" customHeight="1">
      <c r="A284" s="2" t="n"/>
      <c r="B284" s="2">
        <f>IFERROR(XLOOKUP(A284,'Intake Responses'!$A:$A,'Intake Responses'!$E:$E),"")</f>
        <v/>
      </c>
      <c r="C284" s="2">
        <f>IFERROR(XLOOKUP(A284,'Intake Responses'!$A:$A,'Intake Responses'!$D:$D),"")</f>
        <v/>
      </c>
      <c r="D284" s="2">
        <f>IFERROR(XLOOKUP(A284,'Intake Responses'!$A:$A,'Intake Responses'!$F:$F),"")</f>
        <v/>
      </c>
      <c r="E284" s="2" t="n"/>
      <c r="F284" s="2">
        <f>IFERROR(XLOOKUP(A284,'Intake Responses'!$A:$A,'Intake Responses'!$M:$M),"")</f>
        <v/>
      </c>
      <c r="G284" s="2">
        <f>IFERROR(XLOOKUP(A284,'Intake Responses'!$A:$A,'Intake Responses'!$N:$N),"")</f>
        <v/>
      </c>
      <c r="H284" s="2">
        <f>IFERROR(XLOOKUP(A284,'Intake Responses'!$A:$A,'Intake Responses'!$O:$O),"")</f>
        <v/>
      </c>
      <c r="I284" s="2">
        <f>IFERROR(SWITCH(F284,"Multiple times per day",60,"Daily",20,"Weekly",4,"Monthly",1,"Quarterly",0.33,"Ad hoc",0.5,"Unknown",0),0)</f>
        <v/>
      </c>
      <c r="J284" s="2">
        <f>IFERROR((G284*H284*I284)/60,0)</f>
        <v/>
      </c>
      <c r="K284" s="2">
        <f>IFERROR(J284*12,0)</f>
        <v/>
      </c>
      <c r="L284" s="2">
        <f>IFERROR(XLOOKUP(A284,'Intake Responses'!$A:$A,'Intake Responses'!$T:$T),"")</f>
        <v/>
      </c>
      <c r="M284" s="2">
        <f>IFERROR(XLOOKUP(A284,'Intake Responses'!$A:$A,'Intake Responses'!$U:$U),"")</f>
        <v/>
      </c>
      <c r="N284" s="2">
        <f>IFERROR(XLOOKUP(A284,'Intake Responses'!$A:$A,'Intake Responses'!$V:$V),"")</f>
        <v/>
      </c>
      <c r="O284" s="2">
        <f>IFERROR(XLOOKUP(A284,'Intake Responses'!$A:$A,'Intake Responses'!$W:$W),"")</f>
        <v/>
      </c>
      <c r="P284" s="2">
        <f>IFERROR(XLOOKUP(A284,'Intake Responses'!$A:$A,'Intake Responses'!$X:$X),"")</f>
        <v/>
      </c>
      <c r="Q284" s="2">
        <f>IFERROR(XLOOKUP(A284,'Intake Responses'!$A:$A,'Intake Responses'!$AF:$AF),"")</f>
        <v/>
      </c>
      <c r="R284" s="2">
        <f>IFERROR(XLOOKUP(A284,'Intake Responses'!$A:$A,'Intake Responses'!$S:$S),"")</f>
        <v/>
      </c>
      <c r="S284" s="2" t="n"/>
      <c r="T284" s="2" t="n"/>
      <c r="U284" s="2" t="n"/>
      <c r="V284" s="2">
        <f>IFERROR(MIN(5,ROUND(((M284+O284)/2)+(IF(J284&gt;=20,2,IF(J284&gt;=10,1.5,IF(J284&gt;=5,1,IF(J284&gt;=1,0.5,0))))),1)),0)</f>
        <v/>
      </c>
      <c r="W284" s="2">
        <f>IFERROR(SWITCH(F284,"Multiple times per day",5,"Daily",4,"Weekly",3,"Monthly",2,"Quarterly",1,"Ad hoc",1,"Unknown",0),0)</f>
        <v/>
      </c>
      <c r="X284" s="2">
        <f>IFERROR(ROUND(AVERAGE(L284,N284),1),0)</f>
        <v/>
      </c>
      <c r="Y284" s="2">
        <f>IFERROR(SWITCH(U284,"High",3,"Medium",2,"Low",0,"Unknown",1,1)+IF(Q284="Yes",2,IF(Q284="Unsure",1,0)),0)</f>
        <v/>
      </c>
      <c r="Z284" s="2">
        <f>IFERROR(ROUND((V284*2)+(W284*1)+(X284*2)+(IF(T284="Easy",2,IF(T284="Medium",1,IF(T284="Hard",-1,0))))-(Y284*2),1),0)</f>
        <v/>
      </c>
      <c r="AA284" s="2">
        <f>IFERROR(IF(S284="Not a fit","Not a Fit",IF(Y284&gt;=5,"High Risk / Needs Review",IF(AND(Z284&gt;=18,T284="Easy"),"Quick Win",IF(AND(Z284&gt;=18,T284&lt;&gt;"Easy"),"Strategic Project",IF(Z284&gt;=10,"Discovery Needed","Process Issue"))))),"")</f>
        <v/>
      </c>
      <c r="AB284" s="2">
        <f>IFERROR(SWITCH(AA284,"Quick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4" s="2" t="n"/>
      <c r="AD284" s="2" t="n"/>
      <c r="AE284" s="2" t="n"/>
    </row>
    <row r="285" ht="25" customHeight="1">
      <c r="A285" s="3" t="n"/>
      <c r="B285" s="3">
        <f>IFERROR(XLOOKUP(A285,'Intake Responses'!$A:$A,'Intake Responses'!$E:$E),"")</f>
        <v/>
      </c>
      <c r="C285" s="3">
        <f>IFERROR(XLOOKUP(A285,'Intake Responses'!$A:$A,'Intake Responses'!$D:$D),"")</f>
        <v/>
      </c>
      <c r="D285" s="3">
        <f>IFERROR(XLOOKUP(A285,'Intake Responses'!$A:$A,'Intake Responses'!$F:$F),"")</f>
        <v/>
      </c>
      <c r="E285" s="3" t="n"/>
      <c r="F285" s="3">
        <f>IFERROR(XLOOKUP(A285,'Intake Responses'!$A:$A,'Intake Responses'!$M:$M),"")</f>
        <v/>
      </c>
      <c r="G285" s="3">
        <f>IFERROR(XLOOKUP(A285,'Intake Responses'!$A:$A,'Intake Responses'!$N:$N),"")</f>
        <v/>
      </c>
      <c r="H285" s="3">
        <f>IFERROR(XLOOKUP(A285,'Intake Responses'!$A:$A,'Intake Responses'!$O:$O),"")</f>
        <v/>
      </c>
      <c r="I285" s="3">
        <f>IFERROR(SWITCH(F285,"Multiple times per day",60,"Daily",20,"Weekly",4,"Monthly",1,"Quarterly",0.33,"Ad hoc",0.5,"Unknown",0),0)</f>
        <v/>
      </c>
      <c r="J285" s="3">
        <f>IFERROR((G285*H285*I285)/60,0)</f>
        <v/>
      </c>
      <c r="K285" s="3">
        <f>IFERROR(J285*12,0)</f>
        <v/>
      </c>
      <c r="L285" s="3">
        <f>IFERROR(XLOOKUP(A285,'Intake Responses'!$A:$A,'Intake Responses'!$T:$T),"")</f>
        <v/>
      </c>
      <c r="M285" s="3">
        <f>IFERROR(XLOOKUP(A285,'Intake Responses'!$A:$A,'Intake Responses'!$U:$U),"")</f>
        <v/>
      </c>
      <c r="N285" s="3">
        <f>IFERROR(XLOOKUP(A285,'Intake Responses'!$A:$A,'Intake Responses'!$V:$V),"")</f>
        <v/>
      </c>
      <c r="O285" s="3">
        <f>IFERROR(XLOOKUP(A285,'Intake Responses'!$A:$A,'Intake Responses'!$W:$W),"")</f>
        <v/>
      </c>
      <c r="P285" s="3">
        <f>IFERROR(XLOOKUP(A285,'Intake Responses'!$A:$A,'Intake Responses'!$X:$X),"")</f>
        <v/>
      </c>
      <c r="Q285" s="3">
        <f>IFERROR(XLOOKUP(A285,'Intake Responses'!$A:$A,'Intake Responses'!$AF:$AF),"")</f>
        <v/>
      </c>
      <c r="R285" s="3">
        <f>IFERROR(XLOOKUP(A285,'Intake Responses'!$A:$A,'Intake Responses'!$S:$S),"")</f>
        <v/>
      </c>
      <c r="S285" s="3" t="n"/>
      <c r="T285" s="3" t="n"/>
      <c r="U285" s="3" t="n"/>
      <c r="V285" s="3">
        <f>IFERROR(MIN(5,ROUND(((M285+O285)/2)+(IF(J285&gt;=20,2,IF(J285&gt;=10,1.5,IF(J285&gt;=5,1,IF(J285&gt;=1,0.5,0))))),1)),0)</f>
        <v/>
      </c>
      <c r="W285" s="3">
        <f>IFERROR(SWITCH(F285,"Multiple times per day",5,"Daily",4,"Weekly",3,"Monthly",2,"Quarterly",1,"Ad hoc",1,"Unknown",0),0)</f>
        <v/>
      </c>
      <c r="X285" s="3">
        <f>IFERROR(ROUND(AVERAGE(L285,N285),1),0)</f>
        <v/>
      </c>
      <c r="Y285" s="3">
        <f>IFERROR(SWITCH(U285,"High",3,"Medium",2,"Low",0,"Unknown",1,1)+IF(Q285="Yes",2,IF(Q285="Unsure",1,0)),0)</f>
        <v/>
      </c>
      <c r="Z285" s="3">
        <f>IFERROR(ROUND((V285*2)+(W285*1)+(X285*2)+(IF(T285="Easy",2,IF(T285="Medium",1,IF(T285="Hard",-1,0))))-(Y285*2),1),0)</f>
        <v/>
      </c>
      <c r="AA285" s="3">
        <f>IFERROR(IF(S285="Not a fit","Not a Fit",IF(Y285&gt;=5,"High Risk / Needs Review",IF(AND(Z285&gt;=18,T285="Easy"),"Quick Win",IF(AND(Z285&gt;=18,T285&lt;&gt;"Easy"),"Strategic Project",IF(Z285&gt;=10,"Discovery Needed","Process Issue"))))),"")</f>
        <v/>
      </c>
      <c r="AB285" s="3">
        <f>IFERROR(SWITCH(AA285,"Quick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5" s="3" t="n"/>
      <c r="AD285" s="3" t="n"/>
      <c r="AE285" s="3" t="n"/>
    </row>
    <row r="286" ht="25" customHeight="1">
      <c r="A286" s="2" t="n"/>
      <c r="B286" s="2">
        <f>IFERROR(XLOOKUP(A286,'Intake Responses'!$A:$A,'Intake Responses'!$E:$E),"")</f>
        <v/>
      </c>
      <c r="C286" s="2">
        <f>IFERROR(XLOOKUP(A286,'Intake Responses'!$A:$A,'Intake Responses'!$D:$D),"")</f>
        <v/>
      </c>
      <c r="D286" s="2">
        <f>IFERROR(XLOOKUP(A286,'Intake Responses'!$A:$A,'Intake Responses'!$F:$F),"")</f>
        <v/>
      </c>
      <c r="E286" s="2" t="n"/>
      <c r="F286" s="2">
        <f>IFERROR(XLOOKUP(A286,'Intake Responses'!$A:$A,'Intake Responses'!$M:$M),"")</f>
        <v/>
      </c>
      <c r="G286" s="2">
        <f>IFERROR(XLOOKUP(A286,'Intake Responses'!$A:$A,'Intake Responses'!$N:$N),"")</f>
        <v/>
      </c>
      <c r="H286" s="2">
        <f>IFERROR(XLOOKUP(A286,'Intake Responses'!$A:$A,'Intake Responses'!$O:$O),"")</f>
        <v/>
      </c>
      <c r="I286" s="2">
        <f>IFERROR(SWITCH(F286,"Multiple times per day",60,"Daily",20,"Weekly",4,"Monthly",1,"Quarterly",0.33,"Ad hoc",0.5,"Unknown",0),0)</f>
        <v/>
      </c>
      <c r="J286" s="2">
        <f>IFERROR((G286*H286*I286)/60,0)</f>
        <v/>
      </c>
      <c r="K286" s="2">
        <f>IFERROR(J286*12,0)</f>
        <v/>
      </c>
      <c r="L286" s="2">
        <f>IFERROR(XLOOKUP(A286,'Intake Responses'!$A:$A,'Intake Responses'!$T:$T),"")</f>
        <v/>
      </c>
      <c r="M286" s="2">
        <f>IFERROR(XLOOKUP(A286,'Intake Responses'!$A:$A,'Intake Responses'!$U:$U),"")</f>
        <v/>
      </c>
      <c r="N286" s="2">
        <f>IFERROR(XLOOKUP(A286,'Intake Responses'!$A:$A,'Intake Responses'!$V:$V),"")</f>
        <v/>
      </c>
      <c r="O286" s="2">
        <f>IFERROR(XLOOKUP(A286,'Intake Responses'!$A:$A,'Intake Responses'!$W:$W),"")</f>
        <v/>
      </c>
      <c r="P286" s="2">
        <f>IFERROR(XLOOKUP(A286,'Intake Responses'!$A:$A,'Intake Responses'!$X:$X),"")</f>
        <v/>
      </c>
      <c r="Q286" s="2">
        <f>IFERROR(XLOOKUP(A286,'Intake Responses'!$A:$A,'Intake Responses'!$AF:$AF),"")</f>
        <v/>
      </c>
      <c r="R286" s="2">
        <f>IFERROR(XLOOKUP(A286,'Intake Responses'!$A:$A,'Intake Responses'!$S:$S),"")</f>
        <v/>
      </c>
      <c r="S286" s="2" t="n"/>
      <c r="T286" s="2" t="n"/>
      <c r="U286" s="2" t="n"/>
      <c r="V286" s="2">
        <f>IFERROR(MIN(5,ROUND(((M286+O286)/2)+(IF(J286&gt;=20,2,IF(J286&gt;=10,1.5,IF(J286&gt;=5,1,IF(J286&gt;=1,0.5,0))))),1)),0)</f>
        <v/>
      </c>
      <c r="W286" s="2">
        <f>IFERROR(SWITCH(F286,"Multiple times per day",5,"Daily",4,"Weekly",3,"Monthly",2,"Quarterly",1,"Ad hoc",1,"Unknown",0),0)</f>
        <v/>
      </c>
      <c r="X286" s="2">
        <f>IFERROR(ROUND(AVERAGE(L286,N286),1),0)</f>
        <v/>
      </c>
      <c r="Y286" s="2">
        <f>IFERROR(SWITCH(U286,"High",3,"Medium",2,"Low",0,"Unknown",1,1)+IF(Q286="Yes",2,IF(Q286="Unsure",1,0)),0)</f>
        <v/>
      </c>
      <c r="Z286" s="2">
        <f>IFERROR(ROUND((V286*2)+(W286*1)+(X286*2)+(IF(T286="Easy",2,IF(T286="Medium",1,IF(T286="Hard",-1,0))))-(Y286*2),1),0)</f>
        <v/>
      </c>
      <c r="AA286" s="2">
        <f>IFERROR(IF(S286="Not a fit","Not a Fit",IF(Y286&gt;=5,"High Risk / Needs Review",IF(AND(Z286&gt;=18,T286="Easy"),"Quick Win",IF(AND(Z286&gt;=18,T286&lt;&gt;"Easy"),"Strategic Project",IF(Z286&gt;=10,"Discovery Needed","Process Issue"))))),"")</f>
        <v/>
      </c>
      <c r="AB286" s="2">
        <f>IFERROR(SWITCH(AA286,"Quick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6" s="2" t="n"/>
      <c r="AD286" s="2" t="n"/>
      <c r="AE286" s="2" t="n"/>
    </row>
    <row r="287" ht="25" customHeight="1">
      <c r="A287" s="3" t="n"/>
      <c r="B287" s="3">
        <f>IFERROR(XLOOKUP(A287,'Intake Responses'!$A:$A,'Intake Responses'!$E:$E),"")</f>
        <v/>
      </c>
      <c r="C287" s="3">
        <f>IFERROR(XLOOKUP(A287,'Intake Responses'!$A:$A,'Intake Responses'!$D:$D),"")</f>
        <v/>
      </c>
      <c r="D287" s="3">
        <f>IFERROR(XLOOKUP(A287,'Intake Responses'!$A:$A,'Intake Responses'!$F:$F),"")</f>
        <v/>
      </c>
      <c r="E287" s="3" t="n"/>
      <c r="F287" s="3">
        <f>IFERROR(XLOOKUP(A287,'Intake Responses'!$A:$A,'Intake Responses'!$M:$M),"")</f>
        <v/>
      </c>
      <c r="G287" s="3">
        <f>IFERROR(XLOOKUP(A287,'Intake Responses'!$A:$A,'Intake Responses'!$N:$N),"")</f>
        <v/>
      </c>
      <c r="H287" s="3">
        <f>IFERROR(XLOOKUP(A287,'Intake Responses'!$A:$A,'Intake Responses'!$O:$O),"")</f>
        <v/>
      </c>
      <c r="I287" s="3">
        <f>IFERROR(SWITCH(F287,"Multiple times per day",60,"Daily",20,"Weekly",4,"Monthly",1,"Quarterly",0.33,"Ad hoc",0.5,"Unknown",0),0)</f>
        <v/>
      </c>
      <c r="J287" s="3">
        <f>IFERROR((G287*H287*I287)/60,0)</f>
        <v/>
      </c>
      <c r="K287" s="3">
        <f>IFERROR(J287*12,0)</f>
        <v/>
      </c>
      <c r="L287" s="3">
        <f>IFERROR(XLOOKUP(A287,'Intake Responses'!$A:$A,'Intake Responses'!$T:$T),"")</f>
        <v/>
      </c>
      <c r="M287" s="3">
        <f>IFERROR(XLOOKUP(A287,'Intake Responses'!$A:$A,'Intake Responses'!$U:$U),"")</f>
        <v/>
      </c>
      <c r="N287" s="3">
        <f>IFERROR(XLOOKUP(A287,'Intake Responses'!$A:$A,'Intake Responses'!$V:$V),"")</f>
        <v/>
      </c>
      <c r="O287" s="3">
        <f>IFERROR(XLOOKUP(A287,'Intake Responses'!$A:$A,'Intake Responses'!$W:$W),"")</f>
        <v/>
      </c>
      <c r="P287" s="3">
        <f>IFERROR(XLOOKUP(A287,'Intake Responses'!$A:$A,'Intake Responses'!$X:$X),"")</f>
        <v/>
      </c>
      <c r="Q287" s="3">
        <f>IFERROR(XLOOKUP(A287,'Intake Responses'!$A:$A,'Intake Responses'!$AF:$AF),"")</f>
        <v/>
      </c>
      <c r="R287" s="3">
        <f>IFERROR(XLOOKUP(A287,'Intake Responses'!$A:$A,'Intake Responses'!$S:$S),"")</f>
        <v/>
      </c>
      <c r="S287" s="3" t="n"/>
      <c r="T287" s="3" t="n"/>
      <c r="U287" s="3" t="n"/>
      <c r="V287" s="3">
        <f>IFERROR(MIN(5,ROUND(((M287+O287)/2)+(IF(J287&gt;=20,2,IF(J287&gt;=10,1.5,IF(J287&gt;=5,1,IF(J287&gt;=1,0.5,0))))),1)),0)</f>
        <v/>
      </c>
      <c r="W287" s="3">
        <f>IFERROR(SWITCH(F287,"Multiple times per day",5,"Daily",4,"Weekly",3,"Monthly",2,"Quarterly",1,"Ad hoc",1,"Unknown",0),0)</f>
        <v/>
      </c>
      <c r="X287" s="3">
        <f>IFERROR(ROUND(AVERAGE(L287,N287),1),0)</f>
        <v/>
      </c>
      <c r="Y287" s="3">
        <f>IFERROR(SWITCH(U287,"High",3,"Medium",2,"Low",0,"Unknown",1,1)+IF(Q287="Yes",2,IF(Q287="Unsure",1,0)),0)</f>
        <v/>
      </c>
      <c r="Z287" s="3">
        <f>IFERROR(ROUND((V287*2)+(W287*1)+(X287*2)+(IF(T287="Easy",2,IF(T287="Medium",1,IF(T287="Hard",-1,0))))-(Y287*2),1),0)</f>
        <v/>
      </c>
      <c r="AA287" s="3">
        <f>IFERROR(IF(S287="Not a fit","Not a Fit",IF(Y287&gt;=5,"High Risk / Needs Review",IF(AND(Z287&gt;=18,T287="Easy"),"Quick Win",IF(AND(Z287&gt;=18,T287&lt;&gt;"Easy"),"Strategic Project",IF(Z287&gt;=10,"Discovery Needed","Process Issue"))))),"")</f>
        <v/>
      </c>
      <c r="AB287" s="3">
        <f>IFERROR(SWITCH(AA287,"Quick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7" s="3" t="n"/>
      <c r="AD287" s="3" t="n"/>
      <c r="AE287" s="3" t="n"/>
    </row>
    <row r="288" ht="25" customHeight="1">
      <c r="A288" s="2" t="n"/>
      <c r="B288" s="2">
        <f>IFERROR(XLOOKUP(A288,'Intake Responses'!$A:$A,'Intake Responses'!$E:$E),"")</f>
        <v/>
      </c>
      <c r="C288" s="2">
        <f>IFERROR(XLOOKUP(A288,'Intake Responses'!$A:$A,'Intake Responses'!$D:$D),"")</f>
        <v/>
      </c>
      <c r="D288" s="2">
        <f>IFERROR(XLOOKUP(A288,'Intake Responses'!$A:$A,'Intake Responses'!$F:$F),"")</f>
        <v/>
      </c>
      <c r="E288" s="2" t="n"/>
      <c r="F288" s="2">
        <f>IFERROR(XLOOKUP(A288,'Intake Responses'!$A:$A,'Intake Responses'!$M:$M),"")</f>
        <v/>
      </c>
      <c r="G288" s="2">
        <f>IFERROR(XLOOKUP(A288,'Intake Responses'!$A:$A,'Intake Responses'!$N:$N),"")</f>
        <v/>
      </c>
      <c r="H288" s="2">
        <f>IFERROR(XLOOKUP(A288,'Intake Responses'!$A:$A,'Intake Responses'!$O:$O),"")</f>
        <v/>
      </c>
      <c r="I288" s="2">
        <f>IFERROR(SWITCH(F288,"Multiple times per day",60,"Daily",20,"Weekly",4,"Monthly",1,"Quarterly",0.33,"Ad hoc",0.5,"Unknown",0),0)</f>
        <v/>
      </c>
      <c r="J288" s="2">
        <f>IFERROR((G288*H288*I288)/60,0)</f>
        <v/>
      </c>
      <c r="K288" s="2">
        <f>IFERROR(J288*12,0)</f>
        <v/>
      </c>
      <c r="L288" s="2">
        <f>IFERROR(XLOOKUP(A288,'Intake Responses'!$A:$A,'Intake Responses'!$T:$T),"")</f>
        <v/>
      </c>
      <c r="M288" s="2">
        <f>IFERROR(XLOOKUP(A288,'Intake Responses'!$A:$A,'Intake Responses'!$U:$U),"")</f>
        <v/>
      </c>
      <c r="N288" s="2">
        <f>IFERROR(XLOOKUP(A288,'Intake Responses'!$A:$A,'Intake Responses'!$V:$V),"")</f>
        <v/>
      </c>
      <c r="O288" s="2">
        <f>IFERROR(XLOOKUP(A288,'Intake Responses'!$A:$A,'Intake Responses'!$W:$W),"")</f>
        <v/>
      </c>
      <c r="P288" s="2">
        <f>IFERROR(XLOOKUP(A288,'Intake Responses'!$A:$A,'Intake Responses'!$X:$X),"")</f>
        <v/>
      </c>
      <c r="Q288" s="2">
        <f>IFERROR(XLOOKUP(A288,'Intake Responses'!$A:$A,'Intake Responses'!$AF:$AF),"")</f>
        <v/>
      </c>
      <c r="R288" s="2">
        <f>IFERROR(XLOOKUP(A288,'Intake Responses'!$A:$A,'Intake Responses'!$S:$S),"")</f>
        <v/>
      </c>
      <c r="S288" s="2" t="n"/>
      <c r="T288" s="2" t="n"/>
      <c r="U288" s="2" t="n"/>
      <c r="V288" s="2">
        <f>IFERROR(MIN(5,ROUND(((M288+O288)/2)+(IF(J288&gt;=20,2,IF(J288&gt;=10,1.5,IF(J288&gt;=5,1,IF(J288&gt;=1,0.5,0))))),1)),0)</f>
        <v/>
      </c>
      <c r="W288" s="2">
        <f>IFERROR(SWITCH(F288,"Multiple times per day",5,"Daily",4,"Weekly",3,"Monthly",2,"Quarterly",1,"Ad hoc",1,"Unknown",0),0)</f>
        <v/>
      </c>
      <c r="X288" s="2">
        <f>IFERROR(ROUND(AVERAGE(L288,N288),1),0)</f>
        <v/>
      </c>
      <c r="Y288" s="2">
        <f>IFERROR(SWITCH(U288,"High",3,"Medium",2,"Low",0,"Unknown",1,1)+IF(Q288="Yes",2,IF(Q288="Unsure",1,0)),0)</f>
        <v/>
      </c>
      <c r="Z288" s="2">
        <f>IFERROR(ROUND((V288*2)+(W288*1)+(X288*2)+(IF(T288="Easy",2,IF(T288="Medium",1,IF(T288="Hard",-1,0))))-(Y288*2),1),0)</f>
        <v/>
      </c>
      <c r="AA288" s="2">
        <f>IFERROR(IF(S288="Not a fit","Not a Fit",IF(Y288&gt;=5,"High Risk / Needs Review",IF(AND(Z288&gt;=18,T288="Easy"),"Quick Win",IF(AND(Z288&gt;=18,T288&lt;&gt;"Easy"),"Strategic Project",IF(Z288&gt;=10,"Discovery Needed","Process Issue"))))),"")</f>
        <v/>
      </c>
      <c r="AB288" s="2">
        <f>IFERROR(SWITCH(AA288,"Quick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8" s="2" t="n"/>
      <c r="AD288" s="2" t="n"/>
      <c r="AE288" s="2" t="n"/>
    </row>
    <row r="289" ht="25" customHeight="1">
      <c r="A289" s="3" t="n"/>
      <c r="B289" s="3">
        <f>IFERROR(XLOOKUP(A289,'Intake Responses'!$A:$A,'Intake Responses'!$E:$E),"")</f>
        <v/>
      </c>
      <c r="C289" s="3">
        <f>IFERROR(XLOOKUP(A289,'Intake Responses'!$A:$A,'Intake Responses'!$D:$D),"")</f>
        <v/>
      </c>
      <c r="D289" s="3">
        <f>IFERROR(XLOOKUP(A289,'Intake Responses'!$A:$A,'Intake Responses'!$F:$F),"")</f>
        <v/>
      </c>
      <c r="E289" s="3" t="n"/>
      <c r="F289" s="3">
        <f>IFERROR(XLOOKUP(A289,'Intake Responses'!$A:$A,'Intake Responses'!$M:$M),"")</f>
        <v/>
      </c>
      <c r="G289" s="3">
        <f>IFERROR(XLOOKUP(A289,'Intake Responses'!$A:$A,'Intake Responses'!$N:$N),"")</f>
        <v/>
      </c>
      <c r="H289" s="3">
        <f>IFERROR(XLOOKUP(A289,'Intake Responses'!$A:$A,'Intake Responses'!$O:$O),"")</f>
        <v/>
      </c>
      <c r="I289" s="3">
        <f>IFERROR(SWITCH(F289,"Multiple times per day",60,"Daily",20,"Weekly",4,"Monthly",1,"Quarterly",0.33,"Ad hoc",0.5,"Unknown",0),0)</f>
        <v/>
      </c>
      <c r="J289" s="3">
        <f>IFERROR((G289*H289*I289)/60,0)</f>
        <v/>
      </c>
      <c r="K289" s="3">
        <f>IFERROR(J289*12,0)</f>
        <v/>
      </c>
      <c r="L289" s="3">
        <f>IFERROR(XLOOKUP(A289,'Intake Responses'!$A:$A,'Intake Responses'!$T:$T),"")</f>
        <v/>
      </c>
      <c r="M289" s="3">
        <f>IFERROR(XLOOKUP(A289,'Intake Responses'!$A:$A,'Intake Responses'!$U:$U),"")</f>
        <v/>
      </c>
      <c r="N289" s="3">
        <f>IFERROR(XLOOKUP(A289,'Intake Responses'!$A:$A,'Intake Responses'!$V:$V),"")</f>
        <v/>
      </c>
      <c r="O289" s="3">
        <f>IFERROR(XLOOKUP(A289,'Intake Responses'!$A:$A,'Intake Responses'!$W:$W),"")</f>
        <v/>
      </c>
      <c r="P289" s="3">
        <f>IFERROR(XLOOKUP(A289,'Intake Responses'!$A:$A,'Intake Responses'!$X:$X),"")</f>
        <v/>
      </c>
      <c r="Q289" s="3">
        <f>IFERROR(XLOOKUP(A289,'Intake Responses'!$A:$A,'Intake Responses'!$AF:$AF),"")</f>
        <v/>
      </c>
      <c r="R289" s="3">
        <f>IFERROR(XLOOKUP(A289,'Intake Responses'!$A:$A,'Intake Responses'!$S:$S),"")</f>
        <v/>
      </c>
      <c r="S289" s="3" t="n"/>
      <c r="T289" s="3" t="n"/>
      <c r="U289" s="3" t="n"/>
      <c r="V289" s="3">
        <f>IFERROR(MIN(5,ROUND(((M289+O289)/2)+(IF(J289&gt;=20,2,IF(J289&gt;=10,1.5,IF(J289&gt;=5,1,IF(J289&gt;=1,0.5,0))))),1)),0)</f>
        <v/>
      </c>
      <c r="W289" s="3">
        <f>IFERROR(SWITCH(F289,"Multiple times per day",5,"Daily",4,"Weekly",3,"Monthly",2,"Quarterly",1,"Ad hoc",1,"Unknown",0),0)</f>
        <v/>
      </c>
      <c r="X289" s="3">
        <f>IFERROR(ROUND(AVERAGE(L289,N289),1),0)</f>
        <v/>
      </c>
      <c r="Y289" s="3">
        <f>IFERROR(SWITCH(U289,"High",3,"Medium",2,"Low",0,"Unknown",1,1)+IF(Q289="Yes",2,IF(Q289="Unsure",1,0)),0)</f>
        <v/>
      </c>
      <c r="Z289" s="3">
        <f>IFERROR(ROUND((V289*2)+(W289*1)+(X289*2)+(IF(T289="Easy",2,IF(T289="Medium",1,IF(T289="Hard",-1,0))))-(Y289*2),1),0)</f>
        <v/>
      </c>
      <c r="AA289" s="3">
        <f>IFERROR(IF(S289="Not a fit","Not a Fit",IF(Y289&gt;=5,"High Risk / Needs Review",IF(AND(Z289&gt;=18,T289="Easy"),"Quick Win",IF(AND(Z289&gt;=18,T289&lt;&gt;"Easy"),"Strategic Project",IF(Z289&gt;=10,"Discovery Needed","Process Issue"))))),"")</f>
        <v/>
      </c>
      <c r="AB289" s="3">
        <f>IFERROR(SWITCH(AA289,"Quick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89" s="3" t="n"/>
      <c r="AD289" s="3" t="n"/>
      <c r="AE289" s="3" t="n"/>
    </row>
    <row r="290" ht="25" customHeight="1">
      <c r="A290" s="2" t="n"/>
      <c r="B290" s="2">
        <f>IFERROR(XLOOKUP(A290,'Intake Responses'!$A:$A,'Intake Responses'!$E:$E),"")</f>
        <v/>
      </c>
      <c r="C290" s="2">
        <f>IFERROR(XLOOKUP(A290,'Intake Responses'!$A:$A,'Intake Responses'!$D:$D),"")</f>
        <v/>
      </c>
      <c r="D290" s="2">
        <f>IFERROR(XLOOKUP(A290,'Intake Responses'!$A:$A,'Intake Responses'!$F:$F),"")</f>
        <v/>
      </c>
      <c r="E290" s="2" t="n"/>
      <c r="F290" s="2">
        <f>IFERROR(XLOOKUP(A290,'Intake Responses'!$A:$A,'Intake Responses'!$M:$M),"")</f>
        <v/>
      </c>
      <c r="G290" s="2">
        <f>IFERROR(XLOOKUP(A290,'Intake Responses'!$A:$A,'Intake Responses'!$N:$N),"")</f>
        <v/>
      </c>
      <c r="H290" s="2">
        <f>IFERROR(XLOOKUP(A290,'Intake Responses'!$A:$A,'Intake Responses'!$O:$O),"")</f>
        <v/>
      </c>
      <c r="I290" s="2">
        <f>IFERROR(SWITCH(F290,"Multiple times per day",60,"Daily",20,"Weekly",4,"Monthly",1,"Quarterly",0.33,"Ad hoc",0.5,"Unknown",0),0)</f>
        <v/>
      </c>
      <c r="J290" s="2">
        <f>IFERROR((G290*H290*I290)/60,0)</f>
        <v/>
      </c>
      <c r="K290" s="2">
        <f>IFERROR(J290*12,0)</f>
        <v/>
      </c>
      <c r="L290" s="2">
        <f>IFERROR(XLOOKUP(A290,'Intake Responses'!$A:$A,'Intake Responses'!$T:$T),"")</f>
        <v/>
      </c>
      <c r="M290" s="2">
        <f>IFERROR(XLOOKUP(A290,'Intake Responses'!$A:$A,'Intake Responses'!$U:$U),"")</f>
        <v/>
      </c>
      <c r="N290" s="2">
        <f>IFERROR(XLOOKUP(A290,'Intake Responses'!$A:$A,'Intake Responses'!$V:$V),"")</f>
        <v/>
      </c>
      <c r="O290" s="2">
        <f>IFERROR(XLOOKUP(A290,'Intake Responses'!$A:$A,'Intake Responses'!$W:$W),"")</f>
        <v/>
      </c>
      <c r="P290" s="2">
        <f>IFERROR(XLOOKUP(A290,'Intake Responses'!$A:$A,'Intake Responses'!$X:$X),"")</f>
        <v/>
      </c>
      <c r="Q290" s="2">
        <f>IFERROR(XLOOKUP(A290,'Intake Responses'!$A:$A,'Intake Responses'!$AF:$AF),"")</f>
        <v/>
      </c>
      <c r="R290" s="2">
        <f>IFERROR(XLOOKUP(A290,'Intake Responses'!$A:$A,'Intake Responses'!$S:$S),"")</f>
        <v/>
      </c>
      <c r="S290" s="2" t="n"/>
      <c r="T290" s="2" t="n"/>
      <c r="U290" s="2" t="n"/>
      <c r="V290" s="2">
        <f>IFERROR(MIN(5,ROUND(((M290+O290)/2)+(IF(J290&gt;=20,2,IF(J290&gt;=10,1.5,IF(J290&gt;=5,1,IF(J290&gt;=1,0.5,0))))),1)),0)</f>
        <v/>
      </c>
      <c r="W290" s="2">
        <f>IFERROR(SWITCH(F290,"Multiple times per day",5,"Daily",4,"Weekly",3,"Monthly",2,"Quarterly",1,"Ad hoc",1,"Unknown",0),0)</f>
        <v/>
      </c>
      <c r="X290" s="2">
        <f>IFERROR(ROUND(AVERAGE(L290,N290),1),0)</f>
        <v/>
      </c>
      <c r="Y290" s="2">
        <f>IFERROR(SWITCH(U290,"High",3,"Medium",2,"Low",0,"Unknown",1,1)+IF(Q290="Yes",2,IF(Q290="Unsure",1,0)),0)</f>
        <v/>
      </c>
      <c r="Z290" s="2">
        <f>IFERROR(ROUND((V290*2)+(W290*1)+(X290*2)+(IF(T290="Easy",2,IF(T290="Medium",1,IF(T290="Hard",-1,0))))-(Y290*2),1),0)</f>
        <v/>
      </c>
      <c r="AA290" s="2">
        <f>IFERROR(IF(S290="Not a fit","Not a Fit",IF(Y290&gt;=5,"High Risk / Needs Review",IF(AND(Z290&gt;=18,T290="Easy"),"Quick Win",IF(AND(Z290&gt;=18,T290&lt;&gt;"Easy"),"Strategic Project",IF(Z290&gt;=10,"Discovery Needed","Process Issue"))))),"")</f>
        <v/>
      </c>
      <c r="AB290" s="2">
        <f>IFERROR(SWITCH(AA290,"Quick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0" s="2" t="n"/>
      <c r="AD290" s="2" t="n"/>
      <c r="AE290" s="2" t="n"/>
    </row>
    <row r="291" ht="25" customHeight="1">
      <c r="A291" s="3" t="n"/>
      <c r="B291" s="3">
        <f>IFERROR(XLOOKUP(A291,'Intake Responses'!$A:$A,'Intake Responses'!$E:$E),"")</f>
        <v/>
      </c>
      <c r="C291" s="3">
        <f>IFERROR(XLOOKUP(A291,'Intake Responses'!$A:$A,'Intake Responses'!$D:$D),"")</f>
        <v/>
      </c>
      <c r="D291" s="3">
        <f>IFERROR(XLOOKUP(A291,'Intake Responses'!$A:$A,'Intake Responses'!$F:$F),"")</f>
        <v/>
      </c>
      <c r="E291" s="3" t="n"/>
      <c r="F291" s="3">
        <f>IFERROR(XLOOKUP(A291,'Intake Responses'!$A:$A,'Intake Responses'!$M:$M),"")</f>
        <v/>
      </c>
      <c r="G291" s="3">
        <f>IFERROR(XLOOKUP(A291,'Intake Responses'!$A:$A,'Intake Responses'!$N:$N),"")</f>
        <v/>
      </c>
      <c r="H291" s="3">
        <f>IFERROR(XLOOKUP(A291,'Intake Responses'!$A:$A,'Intake Responses'!$O:$O),"")</f>
        <v/>
      </c>
      <c r="I291" s="3">
        <f>IFERROR(SWITCH(F291,"Multiple times per day",60,"Daily",20,"Weekly",4,"Monthly",1,"Quarterly",0.33,"Ad hoc",0.5,"Unknown",0),0)</f>
        <v/>
      </c>
      <c r="J291" s="3">
        <f>IFERROR((G291*H291*I291)/60,0)</f>
        <v/>
      </c>
      <c r="K291" s="3">
        <f>IFERROR(J291*12,0)</f>
        <v/>
      </c>
      <c r="L291" s="3">
        <f>IFERROR(XLOOKUP(A291,'Intake Responses'!$A:$A,'Intake Responses'!$T:$T),"")</f>
        <v/>
      </c>
      <c r="M291" s="3">
        <f>IFERROR(XLOOKUP(A291,'Intake Responses'!$A:$A,'Intake Responses'!$U:$U),"")</f>
        <v/>
      </c>
      <c r="N291" s="3">
        <f>IFERROR(XLOOKUP(A291,'Intake Responses'!$A:$A,'Intake Responses'!$V:$V),"")</f>
        <v/>
      </c>
      <c r="O291" s="3">
        <f>IFERROR(XLOOKUP(A291,'Intake Responses'!$A:$A,'Intake Responses'!$W:$W),"")</f>
        <v/>
      </c>
      <c r="P291" s="3">
        <f>IFERROR(XLOOKUP(A291,'Intake Responses'!$A:$A,'Intake Responses'!$X:$X),"")</f>
        <v/>
      </c>
      <c r="Q291" s="3">
        <f>IFERROR(XLOOKUP(A291,'Intake Responses'!$A:$A,'Intake Responses'!$AF:$AF),"")</f>
        <v/>
      </c>
      <c r="R291" s="3">
        <f>IFERROR(XLOOKUP(A291,'Intake Responses'!$A:$A,'Intake Responses'!$S:$S),"")</f>
        <v/>
      </c>
      <c r="S291" s="3" t="n"/>
      <c r="T291" s="3" t="n"/>
      <c r="U291" s="3" t="n"/>
      <c r="V291" s="3">
        <f>IFERROR(MIN(5,ROUND(((M291+O291)/2)+(IF(J291&gt;=20,2,IF(J291&gt;=10,1.5,IF(J291&gt;=5,1,IF(J291&gt;=1,0.5,0))))),1)),0)</f>
        <v/>
      </c>
      <c r="W291" s="3">
        <f>IFERROR(SWITCH(F291,"Multiple times per day",5,"Daily",4,"Weekly",3,"Monthly",2,"Quarterly",1,"Ad hoc",1,"Unknown",0),0)</f>
        <v/>
      </c>
      <c r="X291" s="3">
        <f>IFERROR(ROUND(AVERAGE(L291,N291),1),0)</f>
        <v/>
      </c>
      <c r="Y291" s="3">
        <f>IFERROR(SWITCH(U291,"High",3,"Medium",2,"Low",0,"Unknown",1,1)+IF(Q291="Yes",2,IF(Q291="Unsure",1,0)),0)</f>
        <v/>
      </c>
      <c r="Z291" s="3">
        <f>IFERROR(ROUND((V291*2)+(W291*1)+(X291*2)+(IF(T291="Easy",2,IF(T291="Medium",1,IF(T291="Hard",-1,0))))-(Y291*2),1),0)</f>
        <v/>
      </c>
      <c r="AA291" s="3">
        <f>IFERROR(IF(S291="Not a fit","Not a Fit",IF(Y291&gt;=5,"High Risk / Needs Review",IF(AND(Z291&gt;=18,T291="Easy"),"Quick Win",IF(AND(Z291&gt;=18,T291&lt;&gt;"Easy"),"Strategic Project",IF(Z291&gt;=10,"Discovery Needed","Process Issue"))))),"")</f>
        <v/>
      </c>
      <c r="AB291" s="3">
        <f>IFERROR(SWITCH(AA291,"Quick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1" s="3" t="n"/>
      <c r="AD291" s="3" t="n"/>
      <c r="AE291" s="3" t="n"/>
    </row>
    <row r="292" ht="25" customHeight="1">
      <c r="A292" s="2" t="n"/>
      <c r="B292" s="2">
        <f>IFERROR(XLOOKUP(A292,'Intake Responses'!$A:$A,'Intake Responses'!$E:$E),"")</f>
        <v/>
      </c>
      <c r="C292" s="2">
        <f>IFERROR(XLOOKUP(A292,'Intake Responses'!$A:$A,'Intake Responses'!$D:$D),"")</f>
        <v/>
      </c>
      <c r="D292" s="2">
        <f>IFERROR(XLOOKUP(A292,'Intake Responses'!$A:$A,'Intake Responses'!$F:$F),"")</f>
        <v/>
      </c>
      <c r="E292" s="2" t="n"/>
      <c r="F292" s="2">
        <f>IFERROR(XLOOKUP(A292,'Intake Responses'!$A:$A,'Intake Responses'!$M:$M),"")</f>
        <v/>
      </c>
      <c r="G292" s="2">
        <f>IFERROR(XLOOKUP(A292,'Intake Responses'!$A:$A,'Intake Responses'!$N:$N),"")</f>
        <v/>
      </c>
      <c r="H292" s="2">
        <f>IFERROR(XLOOKUP(A292,'Intake Responses'!$A:$A,'Intake Responses'!$O:$O),"")</f>
        <v/>
      </c>
      <c r="I292" s="2">
        <f>IFERROR(SWITCH(F292,"Multiple times per day",60,"Daily",20,"Weekly",4,"Monthly",1,"Quarterly",0.33,"Ad hoc",0.5,"Unknown",0),0)</f>
        <v/>
      </c>
      <c r="J292" s="2">
        <f>IFERROR((G292*H292*I292)/60,0)</f>
        <v/>
      </c>
      <c r="K292" s="2">
        <f>IFERROR(J292*12,0)</f>
        <v/>
      </c>
      <c r="L292" s="2">
        <f>IFERROR(XLOOKUP(A292,'Intake Responses'!$A:$A,'Intake Responses'!$T:$T),"")</f>
        <v/>
      </c>
      <c r="M292" s="2">
        <f>IFERROR(XLOOKUP(A292,'Intake Responses'!$A:$A,'Intake Responses'!$U:$U),"")</f>
        <v/>
      </c>
      <c r="N292" s="2">
        <f>IFERROR(XLOOKUP(A292,'Intake Responses'!$A:$A,'Intake Responses'!$V:$V),"")</f>
        <v/>
      </c>
      <c r="O292" s="2">
        <f>IFERROR(XLOOKUP(A292,'Intake Responses'!$A:$A,'Intake Responses'!$W:$W),"")</f>
        <v/>
      </c>
      <c r="P292" s="2">
        <f>IFERROR(XLOOKUP(A292,'Intake Responses'!$A:$A,'Intake Responses'!$X:$X),"")</f>
        <v/>
      </c>
      <c r="Q292" s="2">
        <f>IFERROR(XLOOKUP(A292,'Intake Responses'!$A:$A,'Intake Responses'!$AF:$AF),"")</f>
        <v/>
      </c>
      <c r="R292" s="2">
        <f>IFERROR(XLOOKUP(A292,'Intake Responses'!$A:$A,'Intake Responses'!$S:$S),"")</f>
        <v/>
      </c>
      <c r="S292" s="2" t="n"/>
      <c r="T292" s="2" t="n"/>
      <c r="U292" s="2" t="n"/>
      <c r="V292" s="2">
        <f>IFERROR(MIN(5,ROUND(((M292+O292)/2)+(IF(J292&gt;=20,2,IF(J292&gt;=10,1.5,IF(J292&gt;=5,1,IF(J292&gt;=1,0.5,0))))),1)),0)</f>
        <v/>
      </c>
      <c r="W292" s="2">
        <f>IFERROR(SWITCH(F292,"Multiple times per day",5,"Daily",4,"Weekly",3,"Monthly",2,"Quarterly",1,"Ad hoc",1,"Unknown",0),0)</f>
        <v/>
      </c>
      <c r="X292" s="2">
        <f>IFERROR(ROUND(AVERAGE(L292,N292),1),0)</f>
        <v/>
      </c>
      <c r="Y292" s="2">
        <f>IFERROR(SWITCH(U292,"High",3,"Medium",2,"Low",0,"Unknown",1,1)+IF(Q292="Yes",2,IF(Q292="Unsure",1,0)),0)</f>
        <v/>
      </c>
      <c r="Z292" s="2">
        <f>IFERROR(ROUND((V292*2)+(W292*1)+(X292*2)+(IF(T292="Easy",2,IF(T292="Medium",1,IF(T292="Hard",-1,0))))-(Y292*2),1),0)</f>
        <v/>
      </c>
      <c r="AA292" s="2">
        <f>IFERROR(IF(S292="Not a fit","Not a Fit",IF(Y292&gt;=5,"High Risk / Needs Review",IF(AND(Z292&gt;=18,T292="Easy"),"Quick Win",IF(AND(Z292&gt;=18,T292&lt;&gt;"Easy"),"Strategic Project",IF(Z292&gt;=10,"Discovery Needed","Process Issue"))))),"")</f>
        <v/>
      </c>
      <c r="AB292" s="2">
        <f>IFERROR(SWITCH(AA292,"Quick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2" s="2" t="n"/>
      <c r="AD292" s="2" t="n"/>
      <c r="AE292" s="2" t="n"/>
    </row>
    <row r="293" ht="25" customHeight="1">
      <c r="A293" s="3" t="n"/>
      <c r="B293" s="3">
        <f>IFERROR(XLOOKUP(A293,'Intake Responses'!$A:$A,'Intake Responses'!$E:$E),"")</f>
        <v/>
      </c>
      <c r="C293" s="3">
        <f>IFERROR(XLOOKUP(A293,'Intake Responses'!$A:$A,'Intake Responses'!$D:$D),"")</f>
        <v/>
      </c>
      <c r="D293" s="3">
        <f>IFERROR(XLOOKUP(A293,'Intake Responses'!$A:$A,'Intake Responses'!$F:$F),"")</f>
        <v/>
      </c>
      <c r="E293" s="3" t="n"/>
      <c r="F293" s="3">
        <f>IFERROR(XLOOKUP(A293,'Intake Responses'!$A:$A,'Intake Responses'!$M:$M),"")</f>
        <v/>
      </c>
      <c r="G293" s="3">
        <f>IFERROR(XLOOKUP(A293,'Intake Responses'!$A:$A,'Intake Responses'!$N:$N),"")</f>
        <v/>
      </c>
      <c r="H293" s="3">
        <f>IFERROR(XLOOKUP(A293,'Intake Responses'!$A:$A,'Intake Responses'!$O:$O),"")</f>
        <v/>
      </c>
      <c r="I293" s="3">
        <f>IFERROR(SWITCH(F293,"Multiple times per day",60,"Daily",20,"Weekly",4,"Monthly",1,"Quarterly",0.33,"Ad hoc",0.5,"Unknown",0),0)</f>
        <v/>
      </c>
      <c r="J293" s="3">
        <f>IFERROR((G293*H293*I293)/60,0)</f>
        <v/>
      </c>
      <c r="K293" s="3">
        <f>IFERROR(J293*12,0)</f>
        <v/>
      </c>
      <c r="L293" s="3">
        <f>IFERROR(XLOOKUP(A293,'Intake Responses'!$A:$A,'Intake Responses'!$T:$T),"")</f>
        <v/>
      </c>
      <c r="M293" s="3">
        <f>IFERROR(XLOOKUP(A293,'Intake Responses'!$A:$A,'Intake Responses'!$U:$U),"")</f>
        <v/>
      </c>
      <c r="N293" s="3">
        <f>IFERROR(XLOOKUP(A293,'Intake Responses'!$A:$A,'Intake Responses'!$V:$V),"")</f>
        <v/>
      </c>
      <c r="O293" s="3">
        <f>IFERROR(XLOOKUP(A293,'Intake Responses'!$A:$A,'Intake Responses'!$W:$W),"")</f>
        <v/>
      </c>
      <c r="P293" s="3">
        <f>IFERROR(XLOOKUP(A293,'Intake Responses'!$A:$A,'Intake Responses'!$X:$X),"")</f>
        <v/>
      </c>
      <c r="Q293" s="3">
        <f>IFERROR(XLOOKUP(A293,'Intake Responses'!$A:$A,'Intake Responses'!$AF:$AF),"")</f>
        <v/>
      </c>
      <c r="R293" s="3">
        <f>IFERROR(XLOOKUP(A293,'Intake Responses'!$A:$A,'Intake Responses'!$S:$S),"")</f>
        <v/>
      </c>
      <c r="S293" s="3" t="n"/>
      <c r="T293" s="3" t="n"/>
      <c r="U293" s="3" t="n"/>
      <c r="V293" s="3">
        <f>IFERROR(MIN(5,ROUND(((M293+O293)/2)+(IF(J293&gt;=20,2,IF(J293&gt;=10,1.5,IF(J293&gt;=5,1,IF(J293&gt;=1,0.5,0))))),1)),0)</f>
        <v/>
      </c>
      <c r="W293" s="3">
        <f>IFERROR(SWITCH(F293,"Multiple times per day",5,"Daily",4,"Weekly",3,"Monthly",2,"Quarterly",1,"Ad hoc",1,"Unknown",0),0)</f>
        <v/>
      </c>
      <c r="X293" s="3">
        <f>IFERROR(ROUND(AVERAGE(L293,N293),1),0)</f>
        <v/>
      </c>
      <c r="Y293" s="3">
        <f>IFERROR(SWITCH(U293,"High",3,"Medium",2,"Low",0,"Unknown",1,1)+IF(Q293="Yes",2,IF(Q293="Unsure",1,0)),0)</f>
        <v/>
      </c>
      <c r="Z293" s="3">
        <f>IFERROR(ROUND((V293*2)+(W293*1)+(X293*2)+(IF(T293="Easy",2,IF(T293="Medium",1,IF(T293="Hard",-1,0))))-(Y293*2),1),0)</f>
        <v/>
      </c>
      <c r="AA293" s="3">
        <f>IFERROR(IF(S293="Not a fit","Not a Fit",IF(Y293&gt;=5,"High Risk / Needs Review",IF(AND(Z293&gt;=18,T293="Easy"),"Quick Win",IF(AND(Z293&gt;=18,T293&lt;&gt;"Easy"),"Strategic Project",IF(Z293&gt;=10,"Discovery Needed","Process Issue"))))),"")</f>
        <v/>
      </c>
      <c r="AB293" s="3">
        <f>IFERROR(SWITCH(AA293,"Quick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3" s="3" t="n"/>
      <c r="AD293" s="3" t="n"/>
      <c r="AE293" s="3" t="n"/>
    </row>
    <row r="294" ht="25" customHeight="1">
      <c r="A294" s="2" t="n"/>
      <c r="B294" s="2">
        <f>IFERROR(XLOOKUP(A294,'Intake Responses'!$A:$A,'Intake Responses'!$E:$E),"")</f>
        <v/>
      </c>
      <c r="C294" s="2">
        <f>IFERROR(XLOOKUP(A294,'Intake Responses'!$A:$A,'Intake Responses'!$D:$D),"")</f>
        <v/>
      </c>
      <c r="D294" s="2">
        <f>IFERROR(XLOOKUP(A294,'Intake Responses'!$A:$A,'Intake Responses'!$F:$F),"")</f>
        <v/>
      </c>
      <c r="E294" s="2" t="n"/>
      <c r="F294" s="2">
        <f>IFERROR(XLOOKUP(A294,'Intake Responses'!$A:$A,'Intake Responses'!$M:$M),"")</f>
        <v/>
      </c>
      <c r="G294" s="2">
        <f>IFERROR(XLOOKUP(A294,'Intake Responses'!$A:$A,'Intake Responses'!$N:$N),"")</f>
        <v/>
      </c>
      <c r="H294" s="2">
        <f>IFERROR(XLOOKUP(A294,'Intake Responses'!$A:$A,'Intake Responses'!$O:$O),"")</f>
        <v/>
      </c>
      <c r="I294" s="2">
        <f>IFERROR(SWITCH(F294,"Multiple times per day",60,"Daily",20,"Weekly",4,"Monthly",1,"Quarterly",0.33,"Ad hoc",0.5,"Unknown",0),0)</f>
        <v/>
      </c>
      <c r="J294" s="2">
        <f>IFERROR((G294*H294*I294)/60,0)</f>
        <v/>
      </c>
      <c r="K294" s="2">
        <f>IFERROR(J294*12,0)</f>
        <v/>
      </c>
      <c r="L294" s="2">
        <f>IFERROR(XLOOKUP(A294,'Intake Responses'!$A:$A,'Intake Responses'!$T:$T),"")</f>
        <v/>
      </c>
      <c r="M294" s="2">
        <f>IFERROR(XLOOKUP(A294,'Intake Responses'!$A:$A,'Intake Responses'!$U:$U),"")</f>
        <v/>
      </c>
      <c r="N294" s="2">
        <f>IFERROR(XLOOKUP(A294,'Intake Responses'!$A:$A,'Intake Responses'!$V:$V),"")</f>
        <v/>
      </c>
      <c r="O294" s="2">
        <f>IFERROR(XLOOKUP(A294,'Intake Responses'!$A:$A,'Intake Responses'!$W:$W),"")</f>
        <v/>
      </c>
      <c r="P294" s="2">
        <f>IFERROR(XLOOKUP(A294,'Intake Responses'!$A:$A,'Intake Responses'!$X:$X),"")</f>
        <v/>
      </c>
      <c r="Q294" s="2">
        <f>IFERROR(XLOOKUP(A294,'Intake Responses'!$A:$A,'Intake Responses'!$AF:$AF),"")</f>
        <v/>
      </c>
      <c r="R294" s="2">
        <f>IFERROR(XLOOKUP(A294,'Intake Responses'!$A:$A,'Intake Responses'!$S:$S),"")</f>
        <v/>
      </c>
      <c r="S294" s="2" t="n"/>
      <c r="T294" s="2" t="n"/>
      <c r="U294" s="2" t="n"/>
      <c r="V294" s="2">
        <f>IFERROR(MIN(5,ROUND(((M294+O294)/2)+(IF(J294&gt;=20,2,IF(J294&gt;=10,1.5,IF(J294&gt;=5,1,IF(J294&gt;=1,0.5,0))))),1)),0)</f>
        <v/>
      </c>
      <c r="W294" s="2">
        <f>IFERROR(SWITCH(F294,"Multiple times per day",5,"Daily",4,"Weekly",3,"Monthly",2,"Quarterly",1,"Ad hoc",1,"Unknown",0),0)</f>
        <v/>
      </c>
      <c r="X294" s="2">
        <f>IFERROR(ROUND(AVERAGE(L294,N294),1),0)</f>
        <v/>
      </c>
      <c r="Y294" s="2">
        <f>IFERROR(SWITCH(U294,"High",3,"Medium",2,"Low",0,"Unknown",1,1)+IF(Q294="Yes",2,IF(Q294="Unsure",1,0)),0)</f>
        <v/>
      </c>
      <c r="Z294" s="2">
        <f>IFERROR(ROUND((V294*2)+(W294*1)+(X294*2)+(IF(T294="Easy",2,IF(T294="Medium",1,IF(T294="Hard",-1,0))))-(Y294*2),1),0)</f>
        <v/>
      </c>
      <c r="AA294" s="2">
        <f>IFERROR(IF(S294="Not a fit","Not a Fit",IF(Y294&gt;=5,"High Risk / Needs Review",IF(AND(Z294&gt;=18,T294="Easy"),"Quick Win",IF(AND(Z294&gt;=18,T294&lt;&gt;"Easy"),"Strategic Project",IF(Z294&gt;=10,"Discovery Needed","Process Issue"))))),"")</f>
        <v/>
      </c>
      <c r="AB294" s="2">
        <f>IFERROR(SWITCH(AA294,"Quick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4" s="2" t="n"/>
      <c r="AD294" s="2" t="n"/>
      <c r="AE294" s="2" t="n"/>
    </row>
    <row r="295" ht="25" customHeight="1">
      <c r="A295" s="3" t="n"/>
      <c r="B295" s="3">
        <f>IFERROR(XLOOKUP(A295,'Intake Responses'!$A:$A,'Intake Responses'!$E:$E),"")</f>
        <v/>
      </c>
      <c r="C295" s="3">
        <f>IFERROR(XLOOKUP(A295,'Intake Responses'!$A:$A,'Intake Responses'!$D:$D),"")</f>
        <v/>
      </c>
      <c r="D295" s="3">
        <f>IFERROR(XLOOKUP(A295,'Intake Responses'!$A:$A,'Intake Responses'!$F:$F),"")</f>
        <v/>
      </c>
      <c r="E295" s="3" t="n"/>
      <c r="F295" s="3">
        <f>IFERROR(XLOOKUP(A295,'Intake Responses'!$A:$A,'Intake Responses'!$M:$M),"")</f>
        <v/>
      </c>
      <c r="G295" s="3">
        <f>IFERROR(XLOOKUP(A295,'Intake Responses'!$A:$A,'Intake Responses'!$N:$N),"")</f>
        <v/>
      </c>
      <c r="H295" s="3">
        <f>IFERROR(XLOOKUP(A295,'Intake Responses'!$A:$A,'Intake Responses'!$O:$O),"")</f>
        <v/>
      </c>
      <c r="I295" s="3">
        <f>IFERROR(SWITCH(F295,"Multiple times per day",60,"Daily",20,"Weekly",4,"Monthly",1,"Quarterly",0.33,"Ad hoc",0.5,"Unknown",0),0)</f>
        <v/>
      </c>
      <c r="J295" s="3">
        <f>IFERROR((G295*H295*I295)/60,0)</f>
        <v/>
      </c>
      <c r="K295" s="3">
        <f>IFERROR(J295*12,0)</f>
        <v/>
      </c>
      <c r="L295" s="3">
        <f>IFERROR(XLOOKUP(A295,'Intake Responses'!$A:$A,'Intake Responses'!$T:$T),"")</f>
        <v/>
      </c>
      <c r="M295" s="3">
        <f>IFERROR(XLOOKUP(A295,'Intake Responses'!$A:$A,'Intake Responses'!$U:$U),"")</f>
        <v/>
      </c>
      <c r="N295" s="3">
        <f>IFERROR(XLOOKUP(A295,'Intake Responses'!$A:$A,'Intake Responses'!$V:$V),"")</f>
        <v/>
      </c>
      <c r="O295" s="3">
        <f>IFERROR(XLOOKUP(A295,'Intake Responses'!$A:$A,'Intake Responses'!$W:$W),"")</f>
        <v/>
      </c>
      <c r="P295" s="3">
        <f>IFERROR(XLOOKUP(A295,'Intake Responses'!$A:$A,'Intake Responses'!$X:$X),"")</f>
        <v/>
      </c>
      <c r="Q295" s="3">
        <f>IFERROR(XLOOKUP(A295,'Intake Responses'!$A:$A,'Intake Responses'!$AF:$AF),"")</f>
        <v/>
      </c>
      <c r="R295" s="3">
        <f>IFERROR(XLOOKUP(A295,'Intake Responses'!$A:$A,'Intake Responses'!$S:$S),"")</f>
        <v/>
      </c>
      <c r="S295" s="3" t="n"/>
      <c r="T295" s="3" t="n"/>
      <c r="U295" s="3" t="n"/>
      <c r="V295" s="3">
        <f>IFERROR(MIN(5,ROUND(((M295+O295)/2)+(IF(J295&gt;=20,2,IF(J295&gt;=10,1.5,IF(J295&gt;=5,1,IF(J295&gt;=1,0.5,0))))),1)),0)</f>
        <v/>
      </c>
      <c r="W295" s="3">
        <f>IFERROR(SWITCH(F295,"Multiple times per day",5,"Daily",4,"Weekly",3,"Monthly",2,"Quarterly",1,"Ad hoc",1,"Unknown",0),0)</f>
        <v/>
      </c>
      <c r="X295" s="3">
        <f>IFERROR(ROUND(AVERAGE(L295,N295),1),0)</f>
        <v/>
      </c>
      <c r="Y295" s="3">
        <f>IFERROR(SWITCH(U295,"High",3,"Medium",2,"Low",0,"Unknown",1,1)+IF(Q295="Yes",2,IF(Q295="Unsure",1,0)),0)</f>
        <v/>
      </c>
      <c r="Z295" s="3">
        <f>IFERROR(ROUND((V295*2)+(W295*1)+(X295*2)+(IF(T295="Easy",2,IF(T295="Medium",1,IF(T295="Hard",-1,0))))-(Y295*2),1),0)</f>
        <v/>
      </c>
      <c r="AA295" s="3">
        <f>IFERROR(IF(S295="Not a fit","Not a Fit",IF(Y295&gt;=5,"High Risk / Needs Review",IF(AND(Z295&gt;=18,T295="Easy"),"Quick Win",IF(AND(Z295&gt;=18,T295&lt;&gt;"Easy"),"Strategic Project",IF(Z295&gt;=10,"Discovery Needed","Process Issue"))))),"")</f>
        <v/>
      </c>
      <c r="AB295" s="3">
        <f>IFERROR(SWITCH(AA295,"Quick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5" s="3" t="n"/>
      <c r="AD295" s="3" t="n"/>
      <c r="AE295" s="3" t="n"/>
    </row>
    <row r="296" ht="25" customHeight="1">
      <c r="A296" s="2" t="n"/>
      <c r="B296" s="2">
        <f>IFERROR(XLOOKUP(A296,'Intake Responses'!$A:$A,'Intake Responses'!$E:$E),"")</f>
        <v/>
      </c>
      <c r="C296" s="2">
        <f>IFERROR(XLOOKUP(A296,'Intake Responses'!$A:$A,'Intake Responses'!$D:$D),"")</f>
        <v/>
      </c>
      <c r="D296" s="2">
        <f>IFERROR(XLOOKUP(A296,'Intake Responses'!$A:$A,'Intake Responses'!$F:$F),"")</f>
        <v/>
      </c>
      <c r="E296" s="2" t="n"/>
      <c r="F296" s="2">
        <f>IFERROR(XLOOKUP(A296,'Intake Responses'!$A:$A,'Intake Responses'!$M:$M),"")</f>
        <v/>
      </c>
      <c r="G296" s="2">
        <f>IFERROR(XLOOKUP(A296,'Intake Responses'!$A:$A,'Intake Responses'!$N:$N),"")</f>
        <v/>
      </c>
      <c r="H296" s="2">
        <f>IFERROR(XLOOKUP(A296,'Intake Responses'!$A:$A,'Intake Responses'!$O:$O),"")</f>
        <v/>
      </c>
      <c r="I296" s="2">
        <f>IFERROR(SWITCH(F296,"Multiple times per day",60,"Daily",20,"Weekly",4,"Monthly",1,"Quarterly",0.33,"Ad hoc",0.5,"Unknown",0),0)</f>
        <v/>
      </c>
      <c r="J296" s="2">
        <f>IFERROR((G296*H296*I296)/60,0)</f>
        <v/>
      </c>
      <c r="K296" s="2">
        <f>IFERROR(J296*12,0)</f>
        <v/>
      </c>
      <c r="L296" s="2">
        <f>IFERROR(XLOOKUP(A296,'Intake Responses'!$A:$A,'Intake Responses'!$T:$T),"")</f>
        <v/>
      </c>
      <c r="M296" s="2">
        <f>IFERROR(XLOOKUP(A296,'Intake Responses'!$A:$A,'Intake Responses'!$U:$U),"")</f>
        <v/>
      </c>
      <c r="N296" s="2">
        <f>IFERROR(XLOOKUP(A296,'Intake Responses'!$A:$A,'Intake Responses'!$V:$V),"")</f>
        <v/>
      </c>
      <c r="O296" s="2">
        <f>IFERROR(XLOOKUP(A296,'Intake Responses'!$A:$A,'Intake Responses'!$W:$W),"")</f>
        <v/>
      </c>
      <c r="P296" s="2">
        <f>IFERROR(XLOOKUP(A296,'Intake Responses'!$A:$A,'Intake Responses'!$X:$X),"")</f>
        <v/>
      </c>
      <c r="Q296" s="2">
        <f>IFERROR(XLOOKUP(A296,'Intake Responses'!$A:$A,'Intake Responses'!$AF:$AF),"")</f>
        <v/>
      </c>
      <c r="R296" s="2">
        <f>IFERROR(XLOOKUP(A296,'Intake Responses'!$A:$A,'Intake Responses'!$S:$S),"")</f>
        <v/>
      </c>
      <c r="S296" s="2" t="n"/>
      <c r="T296" s="2" t="n"/>
      <c r="U296" s="2" t="n"/>
      <c r="V296" s="2">
        <f>IFERROR(MIN(5,ROUND(((M296+O296)/2)+(IF(J296&gt;=20,2,IF(J296&gt;=10,1.5,IF(J296&gt;=5,1,IF(J296&gt;=1,0.5,0))))),1)),0)</f>
        <v/>
      </c>
      <c r="W296" s="2">
        <f>IFERROR(SWITCH(F296,"Multiple times per day",5,"Daily",4,"Weekly",3,"Monthly",2,"Quarterly",1,"Ad hoc",1,"Unknown",0),0)</f>
        <v/>
      </c>
      <c r="X296" s="2">
        <f>IFERROR(ROUND(AVERAGE(L296,N296),1),0)</f>
        <v/>
      </c>
      <c r="Y296" s="2">
        <f>IFERROR(SWITCH(U296,"High",3,"Medium",2,"Low",0,"Unknown",1,1)+IF(Q296="Yes",2,IF(Q296="Unsure",1,0)),0)</f>
        <v/>
      </c>
      <c r="Z296" s="2">
        <f>IFERROR(ROUND((V296*2)+(W296*1)+(X296*2)+(IF(T296="Easy",2,IF(T296="Medium",1,IF(T296="Hard",-1,0))))-(Y296*2),1),0)</f>
        <v/>
      </c>
      <c r="AA296" s="2">
        <f>IFERROR(IF(S296="Not a fit","Not a Fit",IF(Y296&gt;=5,"High Risk / Needs Review",IF(AND(Z296&gt;=18,T296="Easy"),"Quick Win",IF(AND(Z296&gt;=18,T296&lt;&gt;"Easy"),"Strategic Project",IF(Z296&gt;=10,"Discovery Needed","Process Issue"))))),"")</f>
        <v/>
      </c>
      <c r="AB296" s="2">
        <f>IFERROR(SWITCH(AA296,"Quick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6" s="2" t="n"/>
      <c r="AD296" s="2" t="n"/>
      <c r="AE296" s="2" t="n"/>
    </row>
    <row r="297" ht="25" customHeight="1">
      <c r="A297" s="3" t="n"/>
      <c r="B297" s="3">
        <f>IFERROR(XLOOKUP(A297,'Intake Responses'!$A:$A,'Intake Responses'!$E:$E),"")</f>
        <v/>
      </c>
      <c r="C297" s="3">
        <f>IFERROR(XLOOKUP(A297,'Intake Responses'!$A:$A,'Intake Responses'!$D:$D),"")</f>
        <v/>
      </c>
      <c r="D297" s="3">
        <f>IFERROR(XLOOKUP(A297,'Intake Responses'!$A:$A,'Intake Responses'!$F:$F),"")</f>
        <v/>
      </c>
      <c r="E297" s="3" t="n"/>
      <c r="F297" s="3">
        <f>IFERROR(XLOOKUP(A297,'Intake Responses'!$A:$A,'Intake Responses'!$M:$M),"")</f>
        <v/>
      </c>
      <c r="G297" s="3">
        <f>IFERROR(XLOOKUP(A297,'Intake Responses'!$A:$A,'Intake Responses'!$N:$N),"")</f>
        <v/>
      </c>
      <c r="H297" s="3">
        <f>IFERROR(XLOOKUP(A297,'Intake Responses'!$A:$A,'Intake Responses'!$O:$O),"")</f>
        <v/>
      </c>
      <c r="I297" s="3">
        <f>IFERROR(SWITCH(F297,"Multiple times per day",60,"Daily",20,"Weekly",4,"Monthly",1,"Quarterly",0.33,"Ad hoc",0.5,"Unknown",0),0)</f>
        <v/>
      </c>
      <c r="J297" s="3">
        <f>IFERROR((G297*H297*I297)/60,0)</f>
        <v/>
      </c>
      <c r="K297" s="3">
        <f>IFERROR(J297*12,0)</f>
        <v/>
      </c>
      <c r="L297" s="3">
        <f>IFERROR(XLOOKUP(A297,'Intake Responses'!$A:$A,'Intake Responses'!$T:$T),"")</f>
        <v/>
      </c>
      <c r="M297" s="3">
        <f>IFERROR(XLOOKUP(A297,'Intake Responses'!$A:$A,'Intake Responses'!$U:$U),"")</f>
        <v/>
      </c>
      <c r="N297" s="3">
        <f>IFERROR(XLOOKUP(A297,'Intake Responses'!$A:$A,'Intake Responses'!$V:$V),"")</f>
        <v/>
      </c>
      <c r="O297" s="3">
        <f>IFERROR(XLOOKUP(A297,'Intake Responses'!$A:$A,'Intake Responses'!$W:$W),"")</f>
        <v/>
      </c>
      <c r="P297" s="3">
        <f>IFERROR(XLOOKUP(A297,'Intake Responses'!$A:$A,'Intake Responses'!$X:$X),"")</f>
        <v/>
      </c>
      <c r="Q297" s="3">
        <f>IFERROR(XLOOKUP(A297,'Intake Responses'!$A:$A,'Intake Responses'!$AF:$AF),"")</f>
        <v/>
      </c>
      <c r="R297" s="3">
        <f>IFERROR(XLOOKUP(A297,'Intake Responses'!$A:$A,'Intake Responses'!$S:$S),"")</f>
        <v/>
      </c>
      <c r="S297" s="3" t="n"/>
      <c r="T297" s="3" t="n"/>
      <c r="U297" s="3" t="n"/>
      <c r="V297" s="3">
        <f>IFERROR(MIN(5,ROUND(((M297+O297)/2)+(IF(J297&gt;=20,2,IF(J297&gt;=10,1.5,IF(J297&gt;=5,1,IF(J297&gt;=1,0.5,0))))),1)),0)</f>
        <v/>
      </c>
      <c r="W297" s="3">
        <f>IFERROR(SWITCH(F297,"Multiple times per day",5,"Daily",4,"Weekly",3,"Monthly",2,"Quarterly",1,"Ad hoc",1,"Unknown",0),0)</f>
        <v/>
      </c>
      <c r="X297" s="3">
        <f>IFERROR(ROUND(AVERAGE(L297,N297),1),0)</f>
        <v/>
      </c>
      <c r="Y297" s="3">
        <f>IFERROR(SWITCH(U297,"High",3,"Medium",2,"Low",0,"Unknown",1,1)+IF(Q297="Yes",2,IF(Q297="Unsure",1,0)),0)</f>
        <v/>
      </c>
      <c r="Z297" s="3">
        <f>IFERROR(ROUND((V297*2)+(W297*1)+(X297*2)+(IF(T297="Easy",2,IF(T297="Medium",1,IF(T297="Hard",-1,0))))-(Y297*2),1),0)</f>
        <v/>
      </c>
      <c r="AA297" s="3">
        <f>IFERROR(IF(S297="Not a fit","Not a Fit",IF(Y297&gt;=5,"High Risk / Needs Review",IF(AND(Z297&gt;=18,T297="Easy"),"Quick Win",IF(AND(Z297&gt;=18,T297&lt;&gt;"Easy"),"Strategic Project",IF(Z297&gt;=10,"Discovery Needed","Process Issue"))))),"")</f>
        <v/>
      </c>
      <c r="AB297" s="3">
        <f>IFERROR(SWITCH(AA297,"Quick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7" s="3" t="n"/>
      <c r="AD297" s="3" t="n"/>
      <c r="AE297" s="3" t="n"/>
    </row>
    <row r="298" ht="25" customHeight="1">
      <c r="A298" s="2" t="n"/>
      <c r="B298" s="2">
        <f>IFERROR(XLOOKUP(A298,'Intake Responses'!$A:$A,'Intake Responses'!$E:$E),"")</f>
        <v/>
      </c>
      <c r="C298" s="2">
        <f>IFERROR(XLOOKUP(A298,'Intake Responses'!$A:$A,'Intake Responses'!$D:$D),"")</f>
        <v/>
      </c>
      <c r="D298" s="2">
        <f>IFERROR(XLOOKUP(A298,'Intake Responses'!$A:$A,'Intake Responses'!$F:$F),"")</f>
        <v/>
      </c>
      <c r="E298" s="2" t="n"/>
      <c r="F298" s="2">
        <f>IFERROR(XLOOKUP(A298,'Intake Responses'!$A:$A,'Intake Responses'!$M:$M),"")</f>
        <v/>
      </c>
      <c r="G298" s="2">
        <f>IFERROR(XLOOKUP(A298,'Intake Responses'!$A:$A,'Intake Responses'!$N:$N),"")</f>
        <v/>
      </c>
      <c r="H298" s="2">
        <f>IFERROR(XLOOKUP(A298,'Intake Responses'!$A:$A,'Intake Responses'!$O:$O),"")</f>
        <v/>
      </c>
      <c r="I298" s="2">
        <f>IFERROR(SWITCH(F298,"Multiple times per day",60,"Daily",20,"Weekly",4,"Monthly",1,"Quarterly",0.33,"Ad hoc",0.5,"Unknown",0),0)</f>
        <v/>
      </c>
      <c r="J298" s="2">
        <f>IFERROR((G298*H298*I298)/60,0)</f>
        <v/>
      </c>
      <c r="K298" s="2">
        <f>IFERROR(J298*12,0)</f>
        <v/>
      </c>
      <c r="L298" s="2">
        <f>IFERROR(XLOOKUP(A298,'Intake Responses'!$A:$A,'Intake Responses'!$T:$T),"")</f>
        <v/>
      </c>
      <c r="M298" s="2">
        <f>IFERROR(XLOOKUP(A298,'Intake Responses'!$A:$A,'Intake Responses'!$U:$U),"")</f>
        <v/>
      </c>
      <c r="N298" s="2">
        <f>IFERROR(XLOOKUP(A298,'Intake Responses'!$A:$A,'Intake Responses'!$V:$V),"")</f>
        <v/>
      </c>
      <c r="O298" s="2">
        <f>IFERROR(XLOOKUP(A298,'Intake Responses'!$A:$A,'Intake Responses'!$W:$W),"")</f>
        <v/>
      </c>
      <c r="P298" s="2">
        <f>IFERROR(XLOOKUP(A298,'Intake Responses'!$A:$A,'Intake Responses'!$X:$X),"")</f>
        <v/>
      </c>
      <c r="Q298" s="2">
        <f>IFERROR(XLOOKUP(A298,'Intake Responses'!$A:$A,'Intake Responses'!$AF:$AF),"")</f>
        <v/>
      </c>
      <c r="R298" s="2">
        <f>IFERROR(XLOOKUP(A298,'Intake Responses'!$A:$A,'Intake Responses'!$S:$S),"")</f>
        <v/>
      </c>
      <c r="S298" s="2" t="n"/>
      <c r="T298" s="2" t="n"/>
      <c r="U298" s="2" t="n"/>
      <c r="V298" s="2">
        <f>IFERROR(MIN(5,ROUND(((M298+O298)/2)+(IF(J298&gt;=20,2,IF(J298&gt;=10,1.5,IF(J298&gt;=5,1,IF(J298&gt;=1,0.5,0))))),1)),0)</f>
        <v/>
      </c>
      <c r="W298" s="2">
        <f>IFERROR(SWITCH(F298,"Multiple times per day",5,"Daily",4,"Weekly",3,"Monthly",2,"Quarterly",1,"Ad hoc",1,"Unknown",0),0)</f>
        <v/>
      </c>
      <c r="X298" s="2">
        <f>IFERROR(ROUND(AVERAGE(L298,N298),1),0)</f>
        <v/>
      </c>
      <c r="Y298" s="2">
        <f>IFERROR(SWITCH(U298,"High",3,"Medium",2,"Low",0,"Unknown",1,1)+IF(Q298="Yes",2,IF(Q298="Unsure",1,0)),0)</f>
        <v/>
      </c>
      <c r="Z298" s="2">
        <f>IFERROR(ROUND((V298*2)+(W298*1)+(X298*2)+(IF(T298="Easy",2,IF(T298="Medium",1,IF(T298="Hard",-1,0))))-(Y298*2),1),0)</f>
        <v/>
      </c>
      <c r="AA298" s="2">
        <f>IFERROR(IF(S298="Not a fit","Not a Fit",IF(Y298&gt;=5,"High Risk / Needs Review",IF(AND(Z298&gt;=18,T298="Easy"),"Quick Win",IF(AND(Z298&gt;=18,T298&lt;&gt;"Easy"),"Strategic Project",IF(Z298&gt;=10,"Discovery Needed","Process Issue"))))),"")</f>
        <v/>
      </c>
      <c r="AB298" s="2">
        <f>IFERROR(SWITCH(AA298,"Quick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8" s="2" t="n"/>
      <c r="AD298" s="2" t="n"/>
      <c r="AE298" s="2" t="n"/>
    </row>
    <row r="299" ht="25" customHeight="1">
      <c r="A299" s="3" t="n"/>
      <c r="B299" s="3">
        <f>IFERROR(XLOOKUP(A299,'Intake Responses'!$A:$A,'Intake Responses'!$E:$E),"")</f>
        <v/>
      </c>
      <c r="C299" s="3">
        <f>IFERROR(XLOOKUP(A299,'Intake Responses'!$A:$A,'Intake Responses'!$D:$D),"")</f>
        <v/>
      </c>
      <c r="D299" s="3">
        <f>IFERROR(XLOOKUP(A299,'Intake Responses'!$A:$A,'Intake Responses'!$F:$F),"")</f>
        <v/>
      </c>
      <c r="E299" s="3" t="n"/>
      <c r="F299" s="3">
        <f>IFERROR(XLOOKUP(A299,'Intake Responses'!$A:$A,'Intake Responses'!$M:$M),"")</f>
        <v/>
      </c>
      <c r="G299" s="3">
        <f>IFERROR(XLOOKUP(A299,'Intake Responses'!$A:$A,'Intake Responses'!$N:$N),"")</f>
        <v/>
      </c>
      <c r="H299" s="3">
        <f>IFERROR(XLOOKUP(A299,'Intake Responses'!$A:$A,'Intake Responses'!$O:$O),"")</f>
        <v/>
      </c>
      <c r="I299" s="3">
        <f>IFERROR(SWITCH(F299,"Multiple times per day",60,"Daily",20,"Weekly",4,"Monthly",1,"Quarterly",0.33,"Ad hoc",0.5,"Unknown",0),0)</f>
        <v/>
      </c>
      <c r="J299" s="3">
        <f>IFERROR((G299*H299*I299)/60,0)</f>
        <v/>
      </c>
      <c r="K299" s="3">
        <f>IFERROR(J299*12,0)</f>
        <v/>
      </c>
      <c r="L299" s="3">
        <f>IFERROR(XLOOKUP(A299,'Intake Responses'!$A:$A,'Intake Responses'!$T:$T),"")</f>
        <v/>
      </c>
      <c r="M299" s="3">
        <f>IFERROR(XLOOKUP(A299,'Intake Responses'!$A:$A,'Intake Responses'!$U:$U),"")</f>
        <v/>
      </c>
      <c r="N299" s="3">
        <f>IFERROR(XLOOKUP(A299,'Intake Responses'!$A:$A,'Intake Responses'!$V:$V),"")</f>
        <v/>
      </c>
      <c r="O299" s="3">
        <f>IFERROR(XLOOKUP(A299,'Intake Responses'!$A:$A,'Intake Responses'!$W:$W),"")</f>
        <v/>
      </c>
      <c r="P299" s="3">
        <f>IFERROR(XLOOKUP(A299,'Intake Responses'!$A:$A,'Intake Responses'!$X:$X),"")</f>
        <v/>
      </c>
      <c r="Q299" s="3">
        <f>IFERROR(XLOOKUP(A299,'Intake Responses'!$A:$A,'Intake Responses'!$AF:$AF),"")</f>
        <v/>
      </c>
      <c r="R299" s="3">
        <f>IFERROR(XLOOKUP(A299,'Intake Responses'!$A:$A,'Intake Responses'!$S:$S),"")</f>
        <v/>
      </c>
      <c r="S299" s="3" t="n"/>
      <c r="T299" s="3" t="n"/>
      <c r="U299" s="3" t="n"/>
      <c r="V299" s="3">
        <f>IFERROR(MIN(5,ROUND(((M299+O299)/2)+(IF(J299&gt;=20,2,IF(J299&gt;=10,1.5,IF(J299&gt;=5,1,IF(J299&gt;=1,0.5,0))))),1)),0)</f>
        <v/>
      </c>
      <c r="W299" s="3">
        <f>IFERROR(SWITCH(F299,"Multiple times per day",5,"Daily",4,"Weekly",3,"Monthly",2,"Quarterly",1,"Ad hoc",1,"Unknown",0),0)</f>
        <v/>
      </c>
      <c r="X299" s="3">
        <f>IFERROR(ROUND(AVERAGE(L299,N299),1),0)</f>
        <v/>
      </c>
      <c r="Y299" s="3">
        <f>IFERROR(SWITCH(U299,"High",3,"Medium",2,"Low",0,"Unknown",1,1)+IF(Q299="Yes",2,IF(Q299="Unsure",1,0)),0)</f>
        <v/>
      </c>
      <c r="Z299" s="3">
        <f>IFERROR(ROUND((V299*2)+(W299*1)+(X299*2)+(IF(T299="Easy",2,IF(T299="Medium",1,IF(T299="Hard",-1,0))))-(Y299*2),1),0)</f>
        <v/>
      </c>
      <c r="AA299" s="3">
        <f>IFERROR(IF(S299="Not a fit","Not a Fit",IF(Y299&gt;=5,"High Risk / Needs Review",IF(AND(Z299&gt;=18,T299="Easy"),"Quick Win",IF(AND(Z299&gt;=18,T299&lt;&gt;"Easy"),"Strategic Project",IF(Z299&gt;=10,"Discovery Needed","Process Issue"))))),"")</f>
        <v/>
      </c>
      <c r="AB299" s="3">
        <f>IFERROR(SWITCH(AA299,"Quick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299" s="3" t="n"/>
      <c r="AD299" s="3" t="n"/>
      <c r="AE299" s="3" t="n"/>
    </row>
    <row r="300" ht="25" customHeight="1">
      <c r="A300" s="2" t="n"/>
      <c r="B300" s="2">
        <f>IFERROR(XLOOKUP(A300,'Intake Responses'!$A:$A,'Intake Responses'!$E:$E),"")</f>
        <v/>
      </c>
      <c r="C300" s="2">
        <f>IFERROR(XLOOKUP(A300,'Intake Responses'!$A:$A,'Intake Responses'!$D:$D),"")</f>
        <v/>
      </c>
      <c r="D300" s="2">
        <f>IFERROR(XLOOKUP(A300,'Intake Responses'!$A:$A,'Intake Responses'!$F:$F),"")</f>
        <v/>
      </c>
      <c r="E300" s="2" t="n"/>
      <c r="F300" s="2">
        <f>IFERROR(XLOOKUP(A300,'Intake Responses'!$A:$A,'Intake Responses'!$M:$M),"")</f>
        <v/>
      </c>
      <c r="G300" s="2">
        <f>IFERROR(XLOOKUP(A300,'Intake Responses'!$A:$A,'Intake Responses'!$N:$N),"")</f>
        <v/>
      </c>
      <c r="H300" s="2">
        <f>IFERROR(XLOOKUP(A300,'Intake Responses'!$A:$A,'Intake Responses'!$O:$O),"")</f>
        <v/>
      </c>
      <c r="I300" s="2">
        <f>IFERROR(SWITCH(F300,"Multiple times per day",60,"Daily",20,"Weekly",4,"Monthly",1,"Quarterly",0.33,"Ad hoc",0.5,"Unknown",0),0)</f>
        <v/>
      </c>
      <c r="J300" s="2">
        <f>IFERROR((G300*H300*I300)/60,0)</f>
        <v/>
      </c>
      <c r="K300" s="2">
        <f>IFERROR(J300*12,0)</f>
        <v/>
      </c>
      <c r="L300" s="2">
        <f>IFERROR(XLOOKUP(A300,'Intake Responses'!$A:$A,'Intake Responses'!$T:$T),"")</f>
        <v/>
      </c>
      <c r="M300" s="2">
        <f>IFERROR(XLOOKUP(A300,'Intake Responses'!$A:$A,'Intake Responses'!$U:$U),"")</f>
        <v/>
      </c>
      <c r="N300" s="2">
        <f>IFERROR(XLOOKUP(A300,'Intake Responses'!$A:$A,'Intake Responses'!$V:$V),"")</f>
        <v/>
      </c>
      <c r="O300" s="2">
        <f>IFERROR(XLOOKUP(A300,'Intake Responses'!$A:$A,'Intake Responses'!$W:$W),"")</f>
        <v/>
      </c>
      <c r="P300" s="2">
        <f>IFERROR(XLOOKUP(A300,'Intake Responses'!$A:$A,'Intake Responses'!$X:$X),"")</f>
        <v/>
      </c>
      <c r="Q300" s="2">
        <f>IFERROR(XLOOKUP(A300,'Intake Responses'!$A:$A,'Intake Responses'!$AF:$AF),"")</f>
        <v/>
      </c>
      <c r="R300" s="2">
        <f>IFERROR(XLOOKUP(A300,'Intake Responses'!$A:$A,'Intake Responses'!$S:$S),"")</f>
        <v/>
      </c>
      <c r="S300" s="2" t="n"/>
      <c r="T300" s="2" t="n"/>
      <c r="U300" s="2" t="n"/>
      <c r="V300" s="2">
        <f>IFERROR(MIN(5,ROUND(((M300+O300)/2)+(IF(J300&gt;=20,2,IF(J300&gt;=10,1.5,IF(J300&gt;=5,1,IF(J300&gt;=1,0.5,0))))),1)),0)</f>
        <v/>
      </c>
      <c r="W300" s="2">
        <f>IFERROR(SWITCH(F300,"Multiple times per day",5,"Daily",4,"Weekly",3,"Monthly",2,"Quarterly",1,"Ad hoc",1,"Unknown",0),0)</f>
        <v/>
      </c>
      <c r="X300" s="2">
        <f>IFERROR(ROUND(AVERAGE(L300,N300),1),0)</f>
        <v/>
      </c>
      <c r="Y300" s="2">
        <f>IFERROR(SWITCH(U300,"High",3,"Medium",2,"Low",0,"Unknown",1,1)+IF(Q300="Yes",2,IF(Q300="Unsure",1,0)),0)</f>
        <v/>
      </c>
      <c r="Z300" s="2">
        <f>IFERROR(ROUND((V300*2)+(W300*1)+(X300*2)+(IF(T300="Easy",2,IF(T300="Medium",1,IF(T300="Hard",-1,0))))-(Y300*2),1),0)</f>
        <v/>
      </c>
      <c r="AA300" s="2">
        <f>IFERROR(IF(S300="Not a fit","Not a Fit",IF(Y300&gt;=5,"High Risk / Needs Review",IF(AND(Z300&gt;=18,T300="Easy"),"Quick Win",IF(AND(Z300&gt;=18,T300&lt;&gt;"Easy"),"Strategic Project",IF(Z300&gt;=10,"Discovery Needed","Process Issue"))))),"")</f>
        <v/>
      </c>
      <c r="AB300" s="2">
        <f>IFERROR(SWITCH(AA300,"Quick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0" s="2" t="n"/>
      <c r="AD300" s="2" t="n"/>
      <c r="AE300" s="2" t="n"/>
    </row>
    <row r="301" ht="25" customHeight="1">
      <c r="A301" s="3" t="n"/>
      <c r="B301" s="3">
        <f>IFERROR(XLOOKUP(A301,'Intake Responses'!$A:$A,'Intake Responses'!$E:$E),"")</f>
        <v/>
      </c>
      <c r="C301" s="3">
        <f>IFERROR(XLOOKUP(A301,'Intake Responses'!$A:$A,'Intake Responses'!$D:$D),"")</f>
        <v/>
      </c>
      <c r="D301" s="3">
        <f>IFERROR(XLOOKUP(A301,'Intake Responses'!$A:$A,'Intake Responses'!$F:$F),"")</f>
        <v/>
      </c>
      <c r="E301" s="3" t="n"/>
      <c r="F301" s="3">
        <f>IFERROR(XLOOKUP(A301,'Intake Responses'!$A:$A,'Intake Responses'!$M:$M),"")</f>
        <v/>
      </c>
      <c r="G301" s="3">
        <f>IFERROR(XLOOKUP(A301,'Intake Responses'!$A:$A,'Intake Responses'!$N:$N),"")</f>
        <v/>
      </c>
      <c r="H301" s="3">
        <f>IFERROR(XLOOKUP(A301,'Intake Responses'!$A:$A,'Intake Responses'!$O:$O),"")</f>
        <v/>
      </c>
      <c r="I301" s="3">
        <f>IFERROR(SWITCH(F301,"Multiple times per day",60,"Daily",20,"Weekly",4,"Monthly",1,"Quarterly",0.33,"Ad hoc",0.5,"Unknown",0),0)</f>
        <v/>
      </c>
      <c r="J301" s="3">
        <f>IFERROR((G301*H301*I301)/60,0)</f>
        <v/>
      </c>
      <c r="K301" s="3">
        <f>IFERROR(J301*12,0)</f>
        <v/>
      </c>
      <c r="L301" s="3">
        <f>IFERROR(XLOOKUP(A301,'Intake Responses'!$A:$A,'Intake Responses'!$T:$T),"")</f>
        <v/>
      </c>
      <c r="M301" s="3">
        <f>IFERROR(XLOOKUP(A301,'Intake Responses'!$A:$A,'Intake Responses'!$U:$U),"")</f>
        <v/>
      </c>
      <c r="N301" s="3">
        <f>IFERROR(XLOOKUP(A301,'Intake Responses'!$A:$A,'Intake Responses'!$V:$V),"")</f>
        <v/>
      </c>
      <c r="O301" s="3">
        <f>IFERROR(XLOOKUP(A301,'Intake Responses'!$A:$A,'Intake Responses'!$W:$W),"")</f>
        <v/>
      </c>
      <c r="P301" s="3">
        <f>IFERROR(XLOOKUP(A301,'Intake Responses'!$A:$A,'Intake Responses'!$X:$X),"")</f>
        <v/>
      </c>
      <c r="Q301" s="3">
        <f>IFERROR(XLOOKUP(A301,'Intake Responses'!$A:$A,'Intake Responses'!$AF:$AF),"")</f>
        <v/>
      </c>
      <c r="R301" s="3">
        <f>IFERROR(XLOOKUP(A301,'Intake Responses'!$A:$A,'Intake Responses'!$S:$S),"")</f>
        <v/>
      </c>
      <c r="S301" s="3" t="n"/>
      <c r="T301" s="3" t="n"/>
      <c r="U301" s="3" t="n"/>
      <c r="V301" s="3">
        <f>IFERROR(MIN(5,ROUND(((M301+O301)/2)+(IF(J301&gt;=20,2,IF(J301&gt;=10,1.5,IF(J301&gt;=5,1,IF(J301&gt;=1,0.5,0))))),1)),0)</f>
        <v/>
      </c>
      <c r="W301" s="3">
        <f>IFERROR(SWITCH(F301,"Multiple times per day",5,"Daily",4,"Weekly",3,"Monthly",2,"Quarterly",1,"Ad hoc",1,"Unknown",0),0)</f>
        <v/>
      </c>
      <c r="X301" s="3">
        <f>IFERROR(ROUND(AVERAGE(L301,N301),1),0)</f>
        <v/>
      </c>
      <c r="Y301" s="3">
        <f>IFERROR(SWITCH(U301,"High",3,"Medium",2,"Low",0,"Unknown",1,1)+IF(Q301="Yes",2,IF(Q301="Unsure",1,0)),0)</f>
        <v/>
      </c>
      <c r="Z301" s="3">
        <f>IFERROR(ROUND((V301*2)+(W301*1)+(X301*2)+(IF(T301="Easy",2,IF(T301="Medium",1,IF(T301="Hard",-1,0))))-(Y301*2),1),0)</f>
        <v/>
      </c>
      <c r="AA301" s="3">
        <f>IFERROR(IF(S301="Not a fit","Not a Fit",IF(Y301&gt;=5,"High Risk / Needs Review",IF(AND(Z301&gt;=18,T301="Easy"),"Quick Win",IF(AND(Z301&gt;=18,T301&lt;&gt;"Easy"),"Strategic Project",IF(Z301&gt;=10,"Discovery Needed","Process Issue"))))),"")</f>
        <v/>
      </c>
      <c r="AB301" s="3">
        <f>IFERROR(SWITCH(AA301,"Quick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1" s="3" t="n"/>
      <c r="AD301" s="3" t="n"/>
      <c r="AE301" s="3" t="n"/>
    </row>
    <row r="302" ht="25" customHeight="1">
      <c r="A302" s="2" t="n"/>
      <c r="B302" s="2">
        <f>IFERROR(XLOOKUP(A302,'Intake Responses'!$A:$A,'Intake Responses'!$E:$E),"")</f>
        <v/>
      </c>
      <c r="C302" s="2">
        <f>IFERROR(XLOOKUP(A302,'Intake Responses'!$A:$A,'Intake Responses'!$D:$D),"")</f>
        <v/>
      </c>
      <c r="D302" s="2">
        <f>IFERROR(XLOOKUP(A302,'Intake Responses'!$A:$A,'Intake Responses'!$F:$F),"")</f>
        <v/>
      </c>
      <c r="E302" s="2" t="n"/>
      <c r="F302" s="2">
        <f>IFERROR(XLOOKUP(A302,'Intake Responses'!$A:$A,'Intake Responses'!$M:$M),"")</f>
        <v/>
      </c>
      <c r="G302" s="2">
        <f>IFERROR(XLOOKUP(A302,'Intake Responses'!$A:$A,'Intake Responses'!$N:$N),"")</f>
        <v/>
      </c>
      <c r="H302" s="2">
        <f>IFERROR(XLOOKUP(A302,'Intake Responses'!$A:$A,'Intake Responses'!$O:$O),"")</f>
        <v/>
      </c>
      <c r="I302" s="2">
        <f>IFERROR(SWITCH(F302,"Multiple times per day",60,"Daily",20,"Weekly",4,"Monthly",1,"Quarterly",0.33,"Ad hoc",0.5,"Unknown",0),0)</f>
        <v/>
      </c>
      <c r="J302" s="2">
        <f>IFERROR((G302*H302*I302)/60,0)</f>
        <v/>
      </c>
      <c r="K302" s="2">
        <f>IFERROR(J302*12,0)</f>
        <v/>
      </c>
      <c r="L302" s="2">
        <f>IFERROR(XLOOKUP(A302,'Intake Responses'!$A:$A,'Intake Responses'!$T:$T),"")</f>
        <v/>
      </c>
      <c r="M302" s="2">
        <f>IFERROR(XLOOKUP(A302,'Intake Responses'!$A:$A,'Intake Responses'!$U:$U),"")</f>
        <v/>
      </c>
      <c r="N302" s="2">
        <f>IFERROR(XLOOKUP(A302,'Intake Responses'!$A:$A,'Intake Responses'!$V:$V),"")</f>
        <v/>
      </c>
      <c r="O302" s="2">
        <f>IFERROR(XLOOKUP(A302,'Intake Responses'!$A:$A,'Intake Responses'!$W:$W),"")</f>
        <v/>
      </c>
      <c r="P302" s="2">
        <f>IFERROR(XLOOKUP(A302,'Intake Responses'!$A:$A,'Intake Responses'!$X:$X),"")</f>
        <v/>
      </c>
      <c r="Q302" s="2">
        <f>IFERROR(XLOOKUP(A302,'Intake Responses'!$A:$A,'Intake Responses'!$AF:$AF),"")</f>
        <v/>
      </c>
      <c r="R302" s="2">
        <f>IFERROR(XLOOKUP(A302,'Intake Responses'!$A:$A,'Intake Responses'!$S:$S),"")</f>
        <v/>
      </c>
      <c r="S302" s="2" t="n"/>
      <c r="T302" s="2" t="n"/>
      <c r="U302" s="2" t="n"/>
      <c r="V302" s="2">
        <f>IFERROR(MIN(5,ROUND(((M302+O302)/2)+(IF(J302&gt;=20,2,IF(J302&gt;=10,1.5,IF(J302&gt;=5,1,IF(J302&gt;=1,0.5,0))))),1)),0)</f>
        <v/>
      </c>
      <c r="W302" s="2">
        <f>IFERROR(SWITCH(F302,"Multiple times per day",5,"Daily",4,"Weekly",3,"Monthly",2,"Quarterly",1,"Ad hoc",1,"Unknown",0),0)</f>
        <v/>
      </c>
      <c r="X302" s="2">
        <f>IFERROR(ROUND(AVERAGE(L302,N302),1),0)</f>
        <v/>
      </c>
      <c r="Y302" s="2">
        <f>IFERROR(SWITCH(U302,"High",3,"Medium",2,"Low",0,"Unknown",1,1)+IF(Q302="Yes",2,IF(Q302="Unsure",1,0)),0)</f>
        <v/>
      </c>
      <c r="Z302" s="2">
        <f>IFERROR(ROUND((V302*2)+(W302*1)+(X302*2)+(IF(T302="Easy",2,IF(T302="Medium",1,IF(T302="Hard",-1,0))))-(Y302*2),1),0)</f>
        <v/>
      </c>
      <c r="AA302" s="2">
        <f>IFERROR(IF(S302="Not a fit","Not a Fit",IF(Y302&gt;=5,"High Risk / Needs Review",IF(AND(Z302&gt;=18,T302="Easy"),"Quick Win",IF(AND(Z302&gt;=18,T302&lt;&gt;"Easy"),"Strategic Project",IF(Z302&gt;=10,"Discovery Needed","Process Issue"))))),"")</f>
        <v/>
      </c>
      <c r="AB302" s="2">
        <f>IFERROR(SWITCH(AA302,"Quick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2" s="2" t="n"/>
      <c r="AD302" s="2" t="n"/>
      <c r="AE302" s="2" t="n"/>
    </row>
    <row r="303" ht="25" customHeight="1">
      <c r="A303" s="3" t="n"/>
      <c r="B303" s="3">
        <f>IFERROR(XLOOKUP(A303,'Intake Responses'!$A:$A,'Intake Responses'!$E:$E),"")</f>
        <v/>
      </c>
      <c r="C303" s="3">
        <f>IFERROR(XLOOKUP(A303,'Intake Responses'!$A:$A,'Intake Responses'!$D:$D),"")</f>
        <v/>
      </c>
      <c r="D303" s="3">
        <f>IFERROR(XLOOKUP(A303,'Intake Responses'!$A:$A,'Intake Responses'!$F:$F),"")</f>
        <v/>
      </c>
      <c r="E303" s="3" t="n"/>
      <c r="F303" s="3">
        <f>IFERROR(XLOOKUP(A303,'Intake Responses'!$A:$A,'Intake Responses'!$M:$M),"")</f>
        <v/>
      </c>
      <c r="G303" s="3">
        <f>IFERROR(XLOOKUP(A303,'Intake Responses'!$A:$A,'Intake Responses'!$N:$N),"")</f>
        <v/>
      </c>
      <c r="H303" s="3">
        <f>IFERROR(XLOOKUP(A303,'Intake Responses'!$A:$A,'Intake Responses'!$O:$O),"")</f>
        <v/>
      </c>
      <c r="I303" s="3">
        <f>IFERROR(SWITCH(F303,"Multiple times per day",60,"Daily",20,"Weekly",4,"Monthly",1,"Quarterly",0.33,"Ad hoc",0.5,"Unknown",0),0)</f>
        <v/>
      </c>
      <c r="J303" s="3">
        <f>IFERROR((G303*H303*I303)/60,0)</f>
        <v/>
      </c>
      <c r="K303" s="3">
        <f>IFERROR(J303*12,0)</f>
        <v/>
      </c>
      <c r="L303" s="3">
        <f>IFERROR(XLOOKUP(A303,'Intake Responses'!$A:$A,'Intake Responses'!$T:$T),"")</f>
        <v/>
      </c>
      <c r="M303" s="3">
        <f>IFERROR(XLOOKUP(A303,'Intake Responses'!$A:$A,'Intake Responses'!$U:$U),"")</f>
        <v/>
      </c>
      <c r="N303" s="3">
        <f>IFERROR(XLOOKUP(A303,'Intake Responses'!$A:$A,'Intake Responses'!$V:$V),"")</f>
        <v/>
      </c>
      <c r="O303" s="3">
        <f>IFERROR(XLOOKUP(A303,'Intake Responses'!$A:$A,'Intake Responses'!$W:$W),"")</f>
        <v/>
      </c>
      <c r="P303" s="3">
        <f>IFERROR(XLOOKUP(A303,'Intake Responses'!$A:$A,'Intake Responses'!$X:$X),"")</f>
        <v/>
      </c>
      <c r="Q303" s="3">
        <f>IFERROR(XLOOKUP(A303,'Intake Responses'!$A:$A,'Intake Responses'!$AF:$AF),"")</f>
        <v/>
      </c>
      <c r="R303" s="3">
        <f>IFERROR(XLOOKUP(A303,'Intake Responses'!$A:$A,'Intake Responses'!$S:$S),"")</f>
        <v/>
      </c>
      <c r="S303" s="3" t="n"/>
      <c r="T303" s="3" t="n"/>
      <c r="U303" s="3" t="n"/>
      <c r="V303" s="3">
        <f>IFERROR(MIN(5,ROUND(((M303+O303)/2)+(IF(J303&gt;=20,2,IF(J303&gt;=10,1.5,IF(J303&gt;=5,1,IF(J303&gt;=1,0.5,0))))),1)),0)</f>
        <v/>
      </c>
      <c r="W303" s="3">
        <f>IFERROR(SWITCH(F303,"Multiple times per day",5,"Daily",4,"Weekly",3,"Monthly",2,"Quarterly",1,"Ad hoc",1,"Unknown",0),0)</f>
        <v/>
      </c>
      <c r="X303" s="3">
        <f>IFERROR(ROUND(AVERAGE(L303,N303),1),0)</f>
        <v/>
      </c>
      <c r="Y303" s="3">
        <f>IFERROR(SWITCH(U303,"High",3,"Medium",2,"Low",0,"Unknown",1,1)+IF(Q303="Yes",2,IF(Q303="Unsure",1,0)),0)</f>
        <v/>
      </c>
      <c r="Z303" s="3">
        <f>IFERROR(ROUND((V303*2)+(W303*1)+(X303*2)+(IF(T303="Easy",2,IF(T303="Medium",1,IF(T303="Hard",-1,0))))-(Y303*2),1),0)</f>
        <v/>
      </c>
      <c r="AA303" s="3">
        <f>IFERROR(IF(S303="Not a fit","Not a Fit",IF(Y303&gt;=5,"High Risk / Needs Review",IF(AND(Z303&gt;=18,T303="Easy"),"Quick Win",IF(AND(Z303&gt;=18,T303&lt;&gt;"Easy"),"Strategic Project",IF(Z303&gt;=10,"Discovery Needed","Process Issue"))))),"")</f>
        <v/>
      </c>
      <c r="AB303" s="3">
        <f>IFERROR(SWITCH(AA303,"Quick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3" s="3" t="n"/>
      <c r="AD303" s="3" t="n"/>
      <c r="AE303" s="3" t="n"/>
    </row>
    <row r="304" ht="25" customHeight="1">
      <c r="A304" s="2" t="n"/>
      <c r="B304" s="2">
        <f>IFERROR(XLOOKUP(A304,'Intake Responses'!$A:$A,'Intake Responses'!$E:$E),"")</f>
        <v/>
      </c>
      <c r="C304" s="2">
        <f>IFERROR(XLOOKUP(A304,'Intake Responses'!$A:$A,'Intake Responses'!$D:$D),"")</f>
        <v/>
      </c>
      <c r="D304" s="2">
        <f>IFERROR(XLOOKUP(A304,'Intake Responses'!$A:$A,'Intake Responses'!$F:$F),"")</f>
        <v/>
      </c>
      <c r="E304" s="2" t="n"/>
      <c r="F304" s="2">
        <f>IFERROR(XLOOKUP(A304,'Intake Responses'!$A:$A,'Intake Responses'!$M:$M),"")</f>
        <v/>
      </c>
      <c r="G304" s="2">
        <f>IFERROR(XLOOKUP(A304,'Intake Responses'!$A:$A,'Intake Responses'!$N:$N),"")</f>
        <v/>
      </c>
      <c r="H304" s="2">
        <f>IFERROR(XLOOKUP(A304,'Intake Responses'!$A:$A,'Intake Responses'!$O:$O),"")</f>
        <v/>
      </c>
      <c r="I304" s="2">
        <f>IFERROR(SWITCH(F304,"Multiple times per day",60,"Daily",20,"Weekly",4,"Monthly",1,"Quarterly",0.33,"Ad hoc",0.5,"Unknown",0),0)</f>
        <v/>
      </c>
      <c r="J304" s="2">
        <f>IFERROR((G304*H304*I304)/60,0)</f>
        <v/>
      </c>
      <c r="K304" s="2">
        <f>IFERROR(J304*12,0)</f>
        <v/>
      </c>
      <c r="L304" s="2">
        <f>IFERROR(XLOOKUP(A304,'Intake Responses'!$A:$A,'Intake Responses'!$T:$T),"")</f>
        <v/>
      </c>
      <c r="M304" s="2">
        <f>IFERROR(XLOOKUP(A304,'Intake Responses'!$A:$A,'Intake Responses'!$U:$U),"")</f>
        <v/>
      </c>
      <c r="N304" s="2">
        <f>IFERROR(XLOOKUP(A304,'Intake Responses'!$A:$A,'Intake Responses'!$V:$V),"")</f>
        <v/>
      </c>
      <c r="O304" s="2">
        <f>IFERROR(XLOOKUP(A304,'Intake Responses'!$A:$A,'Intake Responses'!$W:$W),"")</f>
        <v/>
      </c>
      <c r="P304" s="2">
        <f>IFERROR(XLOOKUP(A304,'Intake Responses'!$A:$A,'Intake Responses'!$X:$X),"")</f>
        <v/>
      </c>
      <c r="Q304" s="2">
        <f>IFERROR(XLOOKUP(A304,'Intake Responses'!$A:$A,'Intake Responses'!$AF:$AF),"")</f>
        <v/>
      </c>
      <c r="R304" s="2">
        <f>IFERROR(XLOOKUP(A304,'Intake Responses'!$A:$A,'Intake Responses'!$S:$S),"")</f>
        <v/>
      </c>
      <c r="S304" s="2" t="n"/>
      <c r="T304" s="2" t="n"/>
      <c r="U304" s="2" t="n"/>
      <c r="V304" s="2">
        <f>IFERROR(MIN(5,ROUND(((M304+O304)/2)+(IF(J304&gt;=20,2,IF(J304&gt;=10,1.5,IF(J304&gt;=5,1,IF(J304&gt;=1,0.5,0))))),1)),0)</f>
        <v/>
      </c>
      <c r="W304" s="2">
        <f>IFERROR(SWITCH(F304,"Multiple times per day",5,"Daily",4,"Weekly",3,"Monthly",2,"Quarterly",1,"Ad hoc",1,"Unknown",0),0)</f>
        <v/>
      </c>
      <c r="X304" s="2">
        <f>IFERROR(ROUND(AVERAGE(L304,N304),1),0)</f>
        <v/>
      </c>
      <c r="Y304" s="2">
        <f>IFERROR(SWITCH(U304,"High",3,"Medium",2,"Low",0,"Unknown",1,1)+IF(Q304="Yes",2,IF(Q304="Unsure",1,0)),0)</f>
        <v/>
      </c>
      <c r="Z304" s="2">
        <f>IFERROR(ROUND((V304*2)+(W304*1)+(X304*2)+(IF(T304="Easy",2,IF(T304="Medium",1,IF(T304="Hard",-1,0))))-(Y304*2),1),0)</f>
        <v/>
      </c>
      <c r="AA304" s="2">
        <f>IFERROR(IF(S304="Not a fit","Not a Fit",IF(Y304&gt;=5,"High Risk / Needs Review",IF(AND(Z304&gt;=18,T304="Easy"),"Quick Win",IF(AND(Z304&gt;=18,T304&lt;&gt;"Easy"),"Strategic Project",IF(Z304&gt;=10,"Discovery Needed","Process Issue"))))),"")</f>
        <v/>
      </c>
      <c r="AB304" s="2">
        <f>IFERROR(SWITCH(AA304,"Quick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4" s="2" t="n"/>
      <c r="AD304" s="2" t="n"/>
      <c r="AE304" s="2" t="n"/>
    </row>
    <row r="305" ht="25" customHeight="1">
      <c r="A305" s="3" t="n"/>
      <c r="B305" s="3">
        <f>IFERROR(XLOOKUP(A305,'Intake Responses'!$A:$A,'Intake Responses'!$E:$E),"")</f>
        <v/>
      </c>
      <c r="C305" s="3">
        <f>IFERROR(XLOOKUP(A305,'Intake Responses'!$A:$A,'Intake Responses'!$D:$D),"")</f>
        <v/>
      </c>
      <c r="D305" s="3">
        <f>IFERROR(XLOOKUP(A305,'Intake Responses'!$A:$A,'Intake Responses'!$F:$F),"")</f>
        <v/>
      </c>
      <c r="E305" s="3" t="n"/>
      <c r="F305" s="3">
        <f>IFERROR(XLOOKUP(A305,'Intake Responses'!$A:$A,'Intake Responses'!$M:$M),"")</f>
        <v/>
      </c>
      <c r="G305" s="3">
        <f>IFERROR(XLOOKUP(A305,'Intake Responses'!$A:$A,'Intake Responses'!$N:$N),"")</f>
        <v/>
      </c>
      <c r="H305" s="3">
        <f>IFERROR(XLOOKUP(A305,'Intake Responses'!$A:$A,'Intake Responses'!$O:$O),"")</f>
        <v/>
      </c>
      <c r="I305" s="3">
        <f>IFERROR(SWITCH(F305,"Multiple times per day",60,"Daily",20,"Weekly",4,"Monthly",1,"Quarterly",0.33,"Ad hoc",0.5,"Unknown",0),0)</f>
        <v/>
      </c>
      <c r="J305" s="3">
        <f>IFERROR((G305*H305*I305)/60,0)</f>
        <v/>
      </c>
      <c r="K305" s="3">
        <f>IFERROR(J305*12,0)</f>
        <v/>
      </c>
      <c r="L305" s="3">
        <f>IFERROR(XLOOKUP(A305,'Intake Responses'!$A:$A,'Intake Responses'!$T:$T),"")</f>
        <v/>
      </c>
      <c r="M305" s="3">
        <f>IFERROR(XLOOKUP(A305,'Intake Responses'!$A:$A,'Intake Responses'!$U:$U),"")</f>
        <v/>
      </c>
      <c r="N305" s="3">
        <f>IFERROR(XLOOKUP(A305,'Intake Responses'!$A:$A,'Intake Responses'!$V:$V),"")</f>
        <v/>
      </c>
      <c r="O305" s="3">
        <f>IFERROR(XLOOKUP(A305,'Intake Responses'!$A:$A,'Intake Responses'!$W:$W),"")</f>
        <v/>
      </c>
      <c r="P305" s="3">
        <f>IFERROR(XLOOKUP(A305,'Intake Responses'!$A:$A,'Intake Responses'!$X:$X),"")</f>
        <v/>
      </c>
      <c r="Q305" s="3">
        <f>IFERROR(XLOOKUP(A305,'Intake Responses'!$A:$A,'Intake Responses'!$AF:$AF),"")</f>
        <v/>
      </c>
      <c r="R305" s="3">
        <f>IFERROR(XLOOKUP(A305,'Intake Responses'!$A:$A,'Intake Responses'!$S:$S),"")</f>
        <v/>
      </c>
      <c r="S305" s="3" t="n"/>
      <c r="T305" s="3" t="n"/>
      <c r="U305" s="3" t="n"/>
      <c r="V305" s="3">
        <f>IFERROR(MIN(5,ROUND(((M305+O305)/2)+(IF(J305&gt;=20,2,IF(J305&gt;=10,1.5,IF(J305&gt;=5,1,IF(J305&gt;=1,0.5,0))))),1)),0)</f>
        <v/>
      </c>
      <c r="W305" s="3">
        <f>IFERROR(SWITCH(F305,"Multiple times per day",5,"Daily",4,"Weekly",3,"Monthly",2,"Quarterly",1,"Ad hoc",1,"Unknown",0),0)</f>
        <v/>
      </c>
      <c r="X305" s="3">
        <f>IFERROR(ROUND(AVERAGE(L305,N305),1),0)</f>
        <v/>
      </c>
      <c r="Y305" s="3">
        <f>IFERROR(SWITCH(U305,"High",3,"Medium",2,"Low",0,"Unknown",1,1)+IF(Q305="Yes",2,IF(Q305="Unsure",1,0)),0)</f>
        <v/>
      </c>
      <c r="Z305" s="3">
        <f>IFERROR(ROUND((V305*2)+(W305*1)+(X305*2)+(IF(T305="Easy",2,IF(T305="Medium",1,IF(T305="Hard",-1,0))))-(Y305*2),1),0)</f>
        <v/>
      </c>
      <c r="AA305" s="3">
        <f>IFERROR(IF(S305="Not a fit","Not a Fit",IF(Y305&gt;=5,"High Risk / Needs Review",IF(AND(Z305&gt;=18,T305="Easy"),"Quick Win",IF(AND(Z305&gt;=18,T305&lt;&gt;"Easy"),"Strategic Project",IF(Z305&gt;=10,"Discovery Needed","Process Issue"))))),"")</f>
        <v/>
      </c>
      <c r="AB305" s="3">
        <f>IFERROR(SWITCH(AA305,"Quick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5" s="3" t="n"/>
      <c r="AD305" s="3" t="n"/>
      <c r="AE305" s="3" t="n"/>
    </row>
    <row r="306" ht="25" customHeight="1">
      <c r="A306" s="2" t="n"/>
      <c r="B306" s="2">
        <f>IFERROR(XLOOKUP(A306,'Intake Responses'!$A:$A,'Intake Responses'!$E:$E),"")</f>
        <v/>
      </c>
      <c r="C306" s="2">
        <f>IFERROR(XLOOKUP(A306,'Intake Responses'!$A:$A,'Intake Responses'!$D:$D),"")</f>
        <v/>
      </c>
      <c r="D306" s="2">
        <f>IFERROR(XLOOKUP(A306,'Intake Responses'!$A:$A,'Intake Responses'!$F:$F),"")</f>
        <v/>
      </c>
      <c r="E306" s="2" t="n"/>
      <c r="F306" s="2">
        <f>IFERROR(XLOOKUP(A306,'Intake Responses'!$A:$A,'Intake Responses'!$M:$M),"")</f>
        <v/>
      </c>
      <c r="G306" s="2">
        <f>IFERROR(XLOOKUP(A306,'Intake Responses'!$A:$A,'Intake Responses'!$N:$N),"")</f>
        <v/>
      </c>
      <c r="H306" s="2">
        <f>IFERROR(XLOOKUP(A306,'Intake Responses'!$A:$A,'Intake Responses'!$O:$O),"")</f>
        <v/>
      </c>
      <c r="I306" s="2">
        <f>IFERROR(SWITCH(F306,"Multiple times per day",60,"Daily",20,"Weekly",4,"Monthly",1,"Quarterly",0.33,"Ad hoc",0.5,"Unknown",0),0)</f>
        <v/>
      </c>
      <c r="J306" s="2">
        <f>IFERROR((G306*H306*I306)/60,0)</f>
        <v/>
      </c>
      <c r="K306" s="2">
        <f>IFERROR(J306*12,0)</f>
        <v/>
      </c>
      <c r="L306" s="2">
        <f>IFERROR(XLOOKUP(A306,'Intake Responses'!$A:$A,'Intake Responses'!$T:$T),"")</f>
        <v/>
      </c>
      <c r="M306" s="2">
        <f>IFERROR(XLOOKUP(A306,'Intake Responses'!$A:$A,'Intake Responses'!$U:$U),"")</f>
        <v/>
      </c>
      <c r="N306" s="2">
        <f>IFERROR(XLOOKUP(A306,'Intake Responses'!$A:$A,'Intake Responses'!$V:$V),"")</f>
        <v/>
      </c>
      <c r="O306" s="2">
        <f>IFERROR(XLOOKUP(A306,'Intake Responses'!$A:$A,'Intake Responses'!$W:$W),"")</f>
        <v/>
      </c>
      <c r="P306" s="2">
        <f>IFERROR(XLOOKUP(A306,'Intake Responses'!$A:$A,'Intake Responses'!$X:$X),"")</f>
        <v/>
      </c>
      <c r="Q306" s="2">
        <f>IFERROR(XLOOKUP(A306,'Intake Responses'!$A:$A,'Intake Responses'!$AF:$AF),"")</f>
        <v/>
      </c>
      <c r="R306" s="2">
        <f>IFERROR(XLOOKUP(A306,'Intake Responses'!$A:$A,'Intake Responses'!$S:$S),"")</f>
        <v/>
      </c>
      <c r="S306" s="2" t="n"/>
      <c r="T306" s="2" t="n"/>
      <c r="U306" s="2" t="n"/>
      <c r="V306" s="2">
        <f>IFERROR(MIN(5,ROUND(((M306+O306)/2)+(IF(J306&gt;=20,2,IF(J306&gt;=10,1.5,IF(J306&gt;=5,1,IF(J306&gt;=1,0.5,0))))),1)),0)</f>
        <v/>
      </c>
      <c r="W306" s="2">
        <f>IFERROR(SWITCH(F306,"Multiple times per day",5,"Daily",4,"Weekly",3,"Monthly",2,"Quarterly",1,"Ad hoc",1,"Unknown",0),0)</f>
        <v/>
      </c>
      <c r="X306" s="2">
        <f>IFERROR(ROUND(AVERAGE(L306,N306),1),0)</f>
        <v/>
      </c>
      <c r="Y306" s="2">
        <f>IFERROR(SWITCH(U306,"High",3,"Medium",2,"Low",0,"Unknown",1,1)+IF(Q306="Yes",2,IF(Q306="Unsure",1,0)),0)</f>
        <v/>
      </c>
      <c r="Z306" s="2">
        <f>IFERROR(ROUND((V306*2)+(W306*1)+(X306*2)+(IF(T306="Easy",2,IF(T306="Medium",1,IF(T306="Hard",-1,0))))-(Y306*2),1),0)</f>
        <v/>
      </c>
      <c r="AA306" s="2">
        <f>IFERROR(IF(S306="Not a fit","Not a Fit",IF(Y306&gt;=5,"High Risk / Needs Review",IF(AND(Z306&gt;=18,T306="Easy"),"Quick Win",IF(AND(Z306&gt;=18,T306&lt;&gt;"Easy"),"Strategic Project",IF(Z306&gt;=10,"Discovery Needed","Process Issue"))))),"")</f>
        <v/>
      </c>
      <c r="AB306" s="2">
        <f>IFERROR(SWITCH(AA306,"Quick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6" s="2" t="n"/>
      <c r="AD306" s="2" t="n"/>
      <c r="AE306" s="2" t="n"/>
    </row>
    <row r="307" ht="25" customHeight="1">
      <c r="A307" s="3" t="n"/>
      <c r="B307" s="3">
        <f>IFERROR(XLOOKUP(A307,'Intake Responses'!$A:$A,'Intake Responses'!$E:$E),"")</f>
        <v/>
      </c>
      <c r="C307" s="3">
        <f>IFERROR(XLOOKUP(A307,'Intake Responses'!$A:$A,'Intake Responses'!$D:$D),"")</f>
        <v/>
      </c>
      <c r="D307" s="3">
        <f>IFERROR(XLOOKUP(A307,'Intake Responses'!$A:$A,'Intake Responses'!$F:$F),"")</f>
        <v/>
      </c>
      <c r="E307" s="3" t="n"/>
      <c r="F307" s="3">
        <f>IFERROR(XLOOKUP(A307,'Intake Responses'!$A:$A,'Intake Responses'!$M:$M),"")</f>
        <v/>
      </c>
      <c r="G307" s="3">
        <f>IFERROR(XLOOKUP(A307,'Intake Responses'!$A:$A,'Intake Responses'!$N:$N),"")</f>
        <v/>
      </c>
      <c r="H307" s="3">
        <f>IFERROR(XLOOKUP(A307,'Intake Responses'!$A:$A,'Intake Responses'!$O:$O),"")</f>
        <v/>
      </c>
      <c r="I307" s="3">
        <f>IFERROR(SWITCH(F307,"Multiple times per day",60,"Daily",20,"Weekly",4,"Monthly",1,"Quarterly",0.33,"Ad hoc",0.5,"Unknown",0),0)</f>
        <v/>
      </c>
      <c r="J307" s="3">
        <f>IFERROR((G307*H307*I307)/60,0)</f>
        <v/>
      </c>
      <c r="K307" s="3">
        <f>IFERROR(J307*12,0)</f>
        <v/>
      </c>
      <c r="L307" s="3">
        <f>IFERROR(XLOOKUP(A307,'Intake Responses'!$A:$A,'Intake Responses'!$T:$T),"")</f>
        <v/>
      </c>
      <c r="M307" s="3">
        <f>IFERROR(XLOOKUP(A307,'Intake Responses'!$A:$A,'Intake Responses'!$U:$U),"")</f>
        <v/>
      </c>
      <c r="N307" s="3">
        <f>IFERROR(XLOOKUP(A307,'Intake Responses'!$A:$A,'Intake Responses'!$V:$V),"")</f>
        <v/>
      </c>
      <c r="O307" s="3">
        <f>IFERROR(XLOOKUP(A307,'Intake Responses'!$A:$A,'Intake Responses'!$W:$W),"")</f>
        <v/>
      </c>
      <c r="P307" s="3">
        <f>IFERROR(XLOOKUP(A307,'Intake Responses'!$A:$A,'Intake Responses'!$X:$X),"")</f>
        <v/>
      </c>
      <c r="Q307" s="3">
        <f>IFERROR(XLOOKUP(A307,'Intake Responses'!$A:$A,'Intake Responses'!$AF:$AF),"")</f>
        <v/>
      </c>
      <c r="R307" s="3">
        <f>IFERROR(XLOOKUP(A307,'Intake Responses'!$A:$A,'Intake Responses'!$S:$S),"")</f>
        <v/>
      </c>
      <c r="S307" s="3" t="n"/>
      <c r="T307" s="3" t="n"/>
      <c r="U307" s="3" t="n"/>
      <c r="V307" s="3">
        <f>IFERROR(MIN(5,ROUND(((M307+O307)/2)+(IF(J307&gt;=20,2,IF(J307&gt;=10,1.5,IF(J307&gt;=5,1,IF(J307&gt;=1,0.5,0))))),1)),0)</f>
        <v/>
      </c>
      <c r="W307" s="3">
        <f>IFERROR(SWITCH(F307,"Multiple times per day",5,"Daily",4,"Weekly",3,"Monthly",2,"Quarterly",1,"Ad hoc",1,"Unknown",0),0)</f>
        <v/>
      </c>
      <c r="X307" s="3">
        <f>IFERROR(ROUND(AVERAGE(L307,N307),1),0)</f>
        <v/>
      </c>
      <c r="Y307" s="3">
        <f>IFERROR(SWITCH(U307,"High",3,"Medium",2,"Low",0,"Unknown",1,1)+IF(Q307="Yes",2,IF(Q307="Unsure",1,0)),0)</f>
        <v/>
      </c>
      <c r="Z307" s="3">
        <f>IFERROR(ROUND((V307*2)+(W307*1)+(X307*2)+(IF(T307="Easy",2,IF(T307="Medium",1,IF(T307="Hard",-1,0))))-(Y307*2),1),0)</f>
        <v/>
      </c>
      <c r="AA307" s="3">
        <f>IFERROR(IF(S307="Not a fit","Not a Fit",IF(Y307&gt;=5,"High Risk / Needs Review",IF(AND(Z307&gt;=18,T307="Easy"),"Quick Win",IF(AND(Z307&gt;=18,T307&lt;&gt;"Easy"),"Strategic Project",IF(Z307&gt;=10,"Discovery Needed","Process Issue"))))),"")</f>
        <v/>
      </c>
      <c r="AB307" s="3">
        <f>IFERROR(SWITCH(AA307,"Quick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7" s="3" t="n"/>
      <c r="AD307" s="3" t="n"/>
      <c r="AE307" s="3" t="n"/>
    </row>
    <row r="308" ht="25" customHeight="1">
      <c r="A308" s="2" t="n"/>
      <c r="B308" s="2">
        <f>IFERROR(XLOOKUP(A308,'Intake Responses'!$A:$A,'Intake Responses'!$E:$E),"")</f>
        <v/>
      </c>
      <c r="C308" s="2">
        <f>IFERROR(XLOOKUP(A308,'Intake Responses'!$A:$A,'Intake Responses'!$D:$D),"")</f>
        <v/>
      </c>
      <c r="D308" s="2">
        <f>IFERROR(XLOOKUP(A308,'Intake Responses'!$A:$A,'Intake Responses'!$F:$F),"")</f>
        <v/>
      </c>
      <c r="E308" s="2" t="n"/>
      <c r="F308" s="2">
        <f>IFERROR(XLOOKUP(A308,'Intake Responses'!$A:$A,'Intake Responses'!$M:$M),"")</f>
        <v/>
      </c>
      <c r="G308" s="2">
        <f>IFERROR(XLOOKUP(A308,'Intake Responses'!$A:$A,'Intake Responses'!$N:$N),"")</f>
        <v/>
      </c>
      <c r="H308" s="2">
        <f>IFERROR(XLOOKUP(A308,'Intake Responses'!$A:$A,'Intake Responses'!$O:$O),"")</f>
        <v/>
      </c>
      <c r="I308" s="2">
        <f>IFERROR(SWITCH(F308,"Multiple times per day",60,"Daily",20,"Weekly",4,"Monthly",1,"Quarterly",0.33,"Ad hoc",0.5,"Unknown",0),0)</f>
        <v/>
      </c>
      <c r="J308" s="2">
        <f>IFERROR((G308*H308*I308)/60,0)</f>
        <v/>
      </c>
      <c r="K308" s="2">
        <f>IFERROR(J308*12,0)</f>
        <v/>
      </c>
      <c r="L308" s="2">
        <f>IFERROR(XLOOKUP(A308,'Intake Responses'!$A:$A,'Intake Responses'!$T:$T),"")</f>
        <v/>
      </c>
      <c r="M308" s="2">
        <f>IFERROR(XLOOKUP(A308,'Intake Responses'!$A:$A,'Intake Responses'!$U:$U),"")</f>
        <v/>
      </c>
      <c r="N308" s="2">
        <f>IFERROR(XLOOKUP(A308,'Intake Responses'!$A:$A,'Intake Responses'!$V:$V),"")</f>
        <v/>
      </c>
      <c r="O308" s="2">
        <f>IFERROR(XLOOKUP(A308,'Intake Responses'!$A:$A,'Intake Responses'!$W:$W),"")</f>
        <v/>
      </c>
      <c r="P308" s="2">
        <f>IFERROR(XLOOKUP(A308,'Intake Responses'!$A:$A,'Intake Responses'!$X:$X),"")</f>
        <v/>
      </c>
      <c r="Q308" s="2">
        <f>IFERROR(XLOOKUP(A308,'Intake Responses'!$A:$A,'Intake Responses'!$AF:$AF),"")</f>
        <v/>
      </c>
      <c r="R308" s="2">
        <f>IFERROR(XLOOKUP(A308,'Intake Responses'!$A:$A,'Intake Responses'!$S:$S),"")</f>
        <v/>
      </c>
      <c r="S308" s="2" t="n"/>
      <c r="T308" s="2" t="n"/>
      <c r="U308" s="2" t="n"/>
      <c r="V308" s="2">
        <f>IFERROR(MIN(5,ROUND(((M308+O308)/2)+(IF(J308&gt;=20,2,IF(J308&gt;=10,1.5,IF(J308&gt;=5,1,IF(J308&gt;=1,0.5,0))))),1)),0)</f>
        <v/>
      </c>
      <c r="W308" s="2">
        <f>IFERROR(SWITCH(F308,"Multiple times per day",5,"Daily",4,"Weekly",3,"Monthly",2,"Quarterly",1,"Ad hoc",1,"Unknown",0),0)</f>
        <v/>
      </c>
      <c r="X308" s="2">
        <f>IFERROR(ROUND(AVERAGE(L308,N308),1),0)</f>
        <v/>
      </c>
      <c r="Y308" s="2">
        <f>IFERROR(SWITCH(U308,"High",3,"Medium",2,"Low",0,"Unknown",1,1)+IF(Q308="Yes",2,IF(Q308="Unsure",1,0)),0)</f>
        <v/>
      </c>
      <c r="Z308" s="2">
        <f>IFERROR(ROUND((V308*2)+(W308*1)+(X308*2)+(IF(T308="Easy",2,IF(T308="Medium",1,IF(T308="Hard",-1,0))))-(Y308*2),1),0)</f>
        <v/>
      </c>
      <c r="AA308" s="2">
        <f>IFERROR(IF(S308="Not a fit","Not a Fit",IF(Y308&gt;=5,"High Risk / Needs Review",IF(AND(Z308&gt;=18,T308="Easy"),"Quick Win",IF(AND(Z308&gt;=18,T308&lt;&gt;"Easy"),"Strategic Project",IF(Z308&gt;=10,"Discovery Needed","Process Issue"))))),"")</f>
        <v/>
      </c>
      <c r="AB308" s="2">
        <f>IFERROR(SWITCH(AA308,"Quick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8" s="2" t="n"/>
      <c r="AD308" s="2" t="n"/>
      <c r="AE308" s="2" t="n"/>
    </row>
    <row r="309" ht="25" customHeight="1">
      <c r="A309" s="3" t="n"/>
      <c r="B309" s="3">
        <f>IFERROR(XLOOKUP(A309,'Intake Responses'!$A:$A,'Intake Responses'!$E:$E),"")</f>
        <v/>
      </c>
      <c r="C309" s="3">
        <f>IFERROR(XLOOKUP(A309,'Intake Responses'!$A:$A,'Intake Responses'!$D:$D),"")</f>
        <v/>
      </c>
      <c r="D309" s="3">
        <f>IFERROR(XLOOKUP(A309,'Intake Responses'!$A:$A,'Intake Responses'!$F:$F),"")</f>
        <v/>
      </c>
      <c r="E309" s="3" t="n"/>
      <c r="F309" s="3">
        <f>IFERROR(XLOOKUP(A309,'Intake Responses'!$A:$A,'Intake Responses'!$M:$M),"")</f>
        <v/>
      </c>
      <c r="G309" s="3">
        <f>IFERROR(XLOOKUP(A309,'Intake Responses'!$A:$A,'Intake Responses'!$N:$N),"")</f>
        <v/>
      </c>
      <c r="H309" s="3">
        <f>IFERROR(XLOOKUP(A309,'Intake Responses'!$A:$A,'Intake Responses'!$O:$O),"")</f>
        <v/>
      </c>
      <c r="I309" s="3">
        <f>IFERROR(SWITCH(F309,"Multiple times per day",60,"Daily",20,"Weekly",4,"Monthly",1,"Quarterly",0.33,"Ad hoc",0.5,"Unknown",0),0)</f>
        <v/>
      </c>
      <c r="J309" s="3">
        <f>IFERROR((G309*H309*I309)/60,0)</f>
        <v/>
      </c>
      <c r="K309" s="3">
        <f>IFERROR(J309*12,0)</f>
        <v/>
      </c>
      <c r="L309" s="3">
        <f>IFERROR(XLOOKUP(A309,'Intake Responses'!$A:$A,'Intake Responses'!$T:$T),"")</f>
        <v/>
      </c>
      <c r="M309" s="3">
        <f>IFERROR(XLOOKUP(A309,'Intake Responses'!$A:$A,'Intake Responses'!$U:$U),"")</f>
        <v/>
      </c>
      <c r="N309" s="3">
        <f>IFERROR(XLOOKUP(A309,'Intake Responses'!$A:$A,'Intake Responses'!$V:$V),"")</f>
        <v/>
      </c>
      <c r="O309" s="3">
        <f>IFERROR(XLOOKUP(A309,'Intake Responses'!$A:$A,'Intake Responses'!$W:$W),"")</f>
        <v/>
      </c>
      <c r="P309" s="3">
        <f>IFERROR(XLOOKUP(A309,'Intake Responses'!$A:$A,'Intake Responses'!$X:$X),"")</f>
        <v/>
      </c>
      <c r="Q309" s="3">
        <f>IFERROR(XLOOKUP(A309,'Intake Responses'!$A:$A,'Intake Responses'!$AF:$AF),"")</f>
        <v/>
      </c>
      <c r="R309" s="3">
        <f>IFERROR(XLOOKUP(A309,'Intake Responses'!$A:$A,'Intake Responses'!$S:$S),"")</f>
        <v/>
      </c>
      <c r="S309" s="3" t="n"/>
      <c r="T309" s="3" t="n"/>
      <c r="U309" s="3" t="n"/>
      <c r="V309" s="3">
        <f>IFERROR(MIN(5,ROUND(((M309+O309)/2)+(IF(J309&gt;=20,2,IF(J309&gt;=10,1.5,IF(J309&gt;=5,1,IF(J309&gt;=1,0.5,0))))),1)),0)</f>
        <v/>
      </c>
      <c r="W309" s="3">
        <f>IFERROR(SWITCH(F309,"Multiple times per day",5,"Daily",4,"Weekly",3,"Monthly",2,"Quarterly",1,"Ad hoc",1,"Unknown",0),0)</f>
        <v/>
      </c>
      <c r="X309" s="3">
        <f>IFERROR(ROUND(AVERAGE(L309,N309),1),0)</f>
        <v/>
      </c>
      <c r="Y309" s="3">
        <f>IFERROR(SWITCH(U309,"High",3,"Medium",2,"Low",0,"Unknown",1,1)+IF(Q309="Yes",2,IF(Q309="Unsure",1,0)),0)</f>
        <v/>
      </c>
      <c r="Z309" s="3">
        <f>IFERROR(ROUND((V309*2)+(W309*1)+(X309*2)+(IF(T309="Easy",2,IF(T309="Medium",1,IF(T309="Hard",-1,0))))-(Y309*2),1),0)</f>
        <v/>
      </c>
      <c r="AA309" s="3">
        <f>IFERROR(IF(S309="Not a fit","Not a Fit",IF(Y309&gt;=5,"High Risk / Needs Review",IF(AND(Z309&gt;=18,T309="Easy"),"Quick Win",IF(AND(Z309&gt;=18,T309&lt;&gt;"Easy"),"Strategic Project",IF(Z309&gt;=10,"Discovery Needed","Process Issue"))))),"")</f>
        <v/>
      </c>
      <c r="AB309" s="3">
        <f>IFERROR(SWITCH(AA309,"Quick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09" s="3" t="n"/>
      <c r="AD309" s="3" t="n"/>
      <c r="AE309" s="3" t="n"/>
    </row>
    <row r="310" ht="25" customHeight="1">
      <c r="A310" s="2" t="n"/>
      <c r="B310" s="2">
        <f>IFERROR(XLOOKUP(A310,'Intake Responses'!$A:$A,'Intake Responses'!$E:$E),"")</f>
        <v/>
      </c>
      <c r="C310" s="2">
        <f>IFERROR(XLOOKUP(A310,'Intake Responses'!$A:$A,'Intake Responses'!$D:$D),"")</f>
        <v/>
      </c>
      <c r="D310" s="2">
        <f>IFERROR(XLOOKUP(A310,'Intake Responses'!$A:$A,'Intake Responses'!$F:$F),"")</f>
        <v/>
      </c>
      <c r="E310" s="2" t="n"/>
      <c r="F310" s="2">
        <f>IFERROR(XLOOKUP(A310,'Intake Responses'!$A:$A,'Intake Responses'!$M:$M),"")</f>
        <v/>
      </c>
      <c r="G310" s="2">
        <f>IFERROR(XLOOKUP(A310,'Intake Responses'!$A:$A,'Intake Responses'!$N:$N),"")</f>
        <v/>
      </c>
      <c r="H310" s="2">
        <f>IFERROR(XLOOKUP(A310,'Intake Responses'!$A:$A,'Intake Responses'!$O:$O),"")</f>
        <v/>
      </c>
      <c r="I310" s="2">
        <f>IFERROR(SWITCH(F310,"Multiple times per day",60,"Daily",20,"Weekly",4,"Monthly",1,"Quarterly",0.33,"Ad hoc",0.5,"Unknown",0),0)</f>
        <v/>
      </c>
      <c r="J310" s="2">
        <f>IFERROR((G310*H310*I310)/60,0)</f>
        <v/>
      </c>
      <c r="K310" s="2">
        <f>IFERROR(J310*12,0)</f>
        <v/>
      </c>
      <c r="L310" s="2">
        <f>IFERROR(XLOOKUP(A310,'Intake Responses'!$A:$A,'Intake Responses'!$T:$T),"")</f>
        <v/>
      </c>
      <c r="M310" s="2">
        <f>IFERROR(XLOOKUP(A310,'Intake Responses'!$A:$A,'Intake Responses'!$U:$U),"")</f>
        <v/>
      </c>
      <c r="N310" s="2">
        <f>IFERROR(XLOOKUP(A310,'Intake Responses'!$A:$A,'Intake Responses'!$V:$V),"")</f>
        <v/>
      </c>
      <c r="O310" s="2">
        <f>IFERROR(XLOOKUP(A310,'Intake Responses'!$A:$A,'Intake Responses'!$W:$W),"")</f>
        <v/>
      </c>
      <c r="P310" s="2">
        <f>IFERROR(XLOOKUP(A310,'Intake Responses'!$A:$A,'Intake Responses'!$X:$X),"")</f>
        <v/>
      </c>
      <c r="Q310" s="2">
        <f>IFERROR(XLOOKUP(A310,'Intake Responses'!$A:$A,'Intake Responses'!$AF:$AF),"")</f>
        <v/>
      </c>
      <c r="R310" s="2">
        <f>IFERROR(XLOOKUP(A310,'Intake Responses'!$A:$A,'Intake Responses'!$S:$S),"")</f>
        <v/>
      </c>
      <c r="S310" s="2" t="n"/>
      <c r="T310" s="2" t="n"/>
      <c r="U310" s="2" t="n"/>
      <c r="V310" s="2">
        <f>IFERROR(MIN(5,ROUND(((M310+O310)/2)+(IF(J310&gt;=20,2,IF(J310&gt;=10,1.5,IF(J310&gt;=5,1,IF(J310&gt;=1,0.5,0))))),1)),0)</f>
        <v/>
      </c>
      <c r="W310" s="2">
        <f>IFERROR(SWITCH(F310,"Multiple times per day",5,"Daily",4,"Weekly",3,"Monthly",2,"Quarterly",1,"Ad hoc",1,"Unknown",0),0)</f>
        <v/>
      </c>
      <c r="X310" s="2">
        <f>IFERROR(ROUND(AVERAGE(L310,N310),1),0)</f>
        <v/>
      </c>
      <c r="Y310" s="2">
        <f>IFERROR(SWITCH(U310,"High",3,"Medium",2,"Low",0,"Unknown",1,1)+IF(Q310="Yes",2,IF(Q310="Unsure",1,0)),0)</f>
        <v/>
      </c>
      <c r="Z310" s="2">
        <f>IFERROR(ROUND((V310*2)+(W310*1)+(X310*2)+(IF(T310="Easy",2,IF(T310="Medium",1,IF(T310="Hard",-1,0))))-(Y310*2),1),0)</f>
        <v/>
      </c>
      <c r="AA310" s="2">
        <f>IFERROR(IF(S310="Not a fit","Not a Fit",IF(Y310&gt;=5,"High Risk / Needs Review",IF(AND(Z310&gt;=18,T310="Easy"),"Quick Win",IF(AND(Z310&gt;=18,T310&lt;&gt;"Easy"),"Strategic Project",IF(Z310&gt;=10,"Discovery Needed","Process Issue"))))),"")</f>
        <v/>
      </c>
      <c r="AB310" s="2">
        <f>IFERROR(SWITCH(AA310,"Quick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0" s="2" t="n"/>
      <c r="AD310" s="2" t="n"/>
      <c r="AE310" s="2" t="n"/>
    </row>
    <row r="311" ht="25" customHeight="1">
      <c r="A311" s="3" t="n"/>
      <c r="B311" s="3">
        <f>IFERROR(XLOOKUP(A311,'Intake Responses'!$A:$A,'Intake Responses'!$E:$E),"")</f>
        <v/>
      </c>
      <c r="C311" s="3">
        <f>IFERROR(XLOOKUP(A311,'Intake Responses'!$A:$A,'Intake Responses'!$D:$D),"")</f>
        <v/>
      </c>
      <c r="D311" s="3">
        <f>IFERROR(XLOOKUP(A311,'Intake Responses'!$A:$A,'Intake Responses'!$F:$F),"")</f>
        <v/>
      </c>
      <c r="E311" s="3" t="n"/>
      <c r="F311" s="3">
        <f>IFERROR(XLOOKUP(A311,'Intake Responses'!$A:$A,'Intake Responses'!$M:$M),"")</f>
        <v/>
      </c>
      <c r="G311" s="3">
        <f>IFERROR(XLOOKUP(A311,'Intake Responses'!$A:$A,'Intake Responses'!$N:$N),"")</f>
        <v/>
      </c>
      <c r="H311" s="3">
        <f>IFERROR(XLOOKUP(A311,'Intake Responses'!$A:$A,'Intake Responses'!$O:$O),"")</f>
        <v/>
      </c>
      <c r="I311" s="3">
        <f>IFERROR(SWITCH(F311,"Multiple times per day",60,"Daily",20,"Weekly",4,"Monthly",1,"Quarterly",0.33,"Ad hoc",0.5,"Unknown",0),0)</f>
        <v/>
      </c>
      <c r="J311" s="3">
        <f>IFERROR((G311*H311*I311)/60,0)</f>
        <v/>
      </c>
      <c r="K311" s="3">
        <f>IFERROR(J311*12,0)</f>
        <v/>
      </c>
      <c r="L311" s="3">
        <f>IFERROR(XLOOKUP(A311,'Intake Responses'!$A:$A,'Intake Responses'!$T:$T),"")</f>
        <v/>
      </c>
      <c r="M311" s="3">
        <f>IFERROR(XLOOKUP(A311,'Intake Responses'!$A:$A,'Intake Responses'!$U:$U),"")</f>
        <v/>
      </c>
      <c r="N311" s="3">
        <f>IFERROR(XLOOKUP(A311,'Intake Responses'!$A:$A,'Intake Responses'!$V:$V),"")</f>
        <v/>
      </c>
      <c r="O311" s="3">
        <f>IFERROR(XLOOKUP(A311,'Intake Responses'!$A:$A,'Intake Responses'!$W:$W),"")</f>
        <v/>
      </c>
      <c r="P311" s="3">
        <f>IFERROR(XLOOKUP(A311,'Intake Responses'!$A:$A,'Intake Responses'!$X:$X),"")</f>
        <v/>
      </c>
      <c r="Q311" s="3">
        <f>IFERROR(XLOOKUP(A311,'Intake Responses'!$A:$A,'Intake Responses'!$AF:$AF),"")</f>
        <v/>
      </c>
      <c r="R311" s="3">
        <f>IFERROR(XLOOKUP(A311,'Intake Responses'!$A:$A,'Intake Responses'!$S:$S),"")</f>
        <v/>
      </c>
      <c r="S311" s="3" t="n"/>
      <c r="T311" s="3" t="n"/>
      <c r="U311" s="3" t="n"/>
      <c r="V311" s="3">
        <f>IFERROR(MIN(5,ROUND(((M311+O311)/2)+(IF(J311&gt;=20,2,IF(J311&gt;=10,1.5,IF(J311&gt;=5,1,IF(J311&gt;=1,0.5,0))))),1)),0)</f>
        <v/>
      </c>
      <c r="W311" s="3">
        <f>IFERROR(SWITCH(F311,"Multiple times per day",5,"Daily",4,"Weekly",3,"Monthly",2,"Quarterly",1,"Ad hoc",1,"Unknown",0),0)</f>
        <v/>
      </c>
      <c r="X311" s="3">
        <f>IFERROR(ROUND(AVERAGE(L311,N311),1),0)</f>
        <v/>
      </c>
      <c r="Y311" s="3">
        <f>IFERROR(SWITCH(U311,"High",3,"Medium",2,"Low",0,"Unknown",1,1)+IF(Q311="Yes",2,IF(Q311="Unsure",1,0)),0)</f>
        <v/>
      </c>
      <c r="Z311" s="3">
        <f>IFERROR(ROUND((V311*2)+(W311*1)+(X311*2)+(IF(T311="Easy",2,IF(T311="Medium",1,IF(T311="Hard",-1,0))))-(Y311*2),1),0)</f>
        <v/>
      </c>
      <c r="AA311" s="3">
        <f>IFERROR(IF(S311="Not a fit","Not a Fit",IF(Y311&gt;=5,"High Risk / Needs Review",IF(AND(Z311&gt;=18,T311="Easy"),"Quick Win",IF(AND(Z311&gt;=18,T311&lt;&gt;"Easy"),"Strategic Project",IF(Z311&gt;=10,"Discovery Needed","Process Issue"))))),"")</f>
        <v/>
      </c>
      <c r="AB311" s="3">
        <f>IFERROR(SWITCH(AA311,"Quick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1" s="3" t="n"/>
      <c r="AD311" s="3" t="n"/>
      <c r="AE311" s="3" t="n"/>
    </row>
    <row r="312" ht="25" customHeight="1">
      <c r="A312" s="2" t="n"/>
      <c r="B312" s="2">
        <f>IFERROR(XLOOKUP(A312,'Intake Responses'!$A:$A,'Intake Responses'!$E:$E),"")</f>
        <v/>
      </c>
      <c r="C312" s="2">
        <f>IFERROR(XLOOKUP(A312,'Intake Responses'!$A:$A,'Intake Responses'!$D:$D),"")</f>
        <v/>
      </c>
      <c r="D312" s="2">
        <f>IFERROR(XLOOKUP(A312,'Intake Responses'!$A:$A,'Intake Responses'!$F:$F),"")</f>
        <v/>
      </c>
      <c r="E312" s="2" t="n"/>
      <c r="F312" s="2">
        <f>IFERROR(XLOOKUP(A312,'Intake Responses'!$A:$A,'Intake Responses'!$M:$M),"")</f>
        <v/>
      </c>
      <c r="G312" s="2">
        <f>IFERROR(XLOOKUP(A312,'Intake Responses'!$A:$A,'Intake Responses'!$N:$N),"")</f>
        <v/>
      </c>
      <c r="H312" s="2">
        <f>IFERROR(XLOOKUP(A312,'Intake Responses'!$A:$A,'Intake Responses'!$O:$O),"")</f>
        <v/>
      </c>
      <c r="I312" s="2">
        <f>IFERROR(SWITCH(F312,"Multiple times per day",60,"Daily",20,"Weekly",4,"Monthly",1,"Quarterly",0.33,"Ad hoc",0.5,"Unknown",0),0)</f>
        <v/>
      </c>
      <c r="J312" s="2">
        <f>IFERROR((G312*H312*I312)/60,0)</f>
        <v/>
      </c>
      <c r="K312" s="2">
        <f>IFERROR(J312*12,0)</f>
        <v/>
      </c>
      <c r="L312" s="2">
        <f>IFERROR(XLOOKUP(A312,'Intake Responses'!$A:$A,'Intake Responses'!$T:$T),"")</f>
        <v/>
      </c>
      <c r="M312" s="2">
        <f>IFERROR(XLOOKUP(A312,'Intake Responses'!$A:$A,'Intake Responses'!$U:$U),"")</f>
        <v/>
      </c>
      <c r="N312" s="2">
        <f>IFERROR(XLOOKUP(A312,'Intake Responses'!$A:$A,'Intake Responses'!$V:$V),"")</f>
        <v/>
      </c>
      <c r="O312" s="2">
        <f>IFERROR(XLOOKUP(A312,'Intake Responses'!$A:$A,'Intake Responses'!$W:$W),"")</f>
        <v/>
      </c>
      <c r="P312" s="2">
        <f>IFERROR(XLOOKUP(A312,'Intake Responses'!$A:$A,'Intake Responses'!$X:$X),"")</f>
        <v/>
      </c>
      <c r="Q312" s="2">
        <f>IFERROR(XLOOKUP(A312,'Intake Responses'!$A:$A,'Intake Responses'!$AF:$AF),"")</f>
        <v/>
      </c>
      <c r="R312" s="2">
        <f>IFERROR(XLOOKUP(A312,'Intake Responses'!$A:$A,'Intake Responses'!$S:$S),"")</f>
        <v/>
      </c>
      <c r="S312" s="2" t="n"/>
      <c r="T312" s="2" t="n"/>
      <c r="U312" s="2" t="n"/>
      <c r="V312" s="2">
        <f>IFERROR(MIN(5,ROUND(((M312+O312)/2)+(IF(J312&gt;=20,2,IF(J312&gt;=10,1.5,IF(J312&gt;=5,1,IF(J312&gt;=1,0.5,0))))),1)),0)</f>
        <v/>
      </c>
      <c r="W312" s="2">
        <f>IFERROR(SWITCH(F312,"Multiple times per day",5,"Daily",4,"Weekly",3,"Monthly",2,"Quarterly",1,"Ad hoc",1,"Unknown",0),0)</f>
        <v/>
      </c>
      <c r="X312" s="2">
        <f>IFERROR(ROUND(AVERAGE(L312,N312),1),0)</f>
        <v/>
      </c>
      <c r="Y312" s="2">
        <f>IFERROR(SWITCH(U312,"High",3,"Medium",2,"Low",0,"Unknown",1,1)+IF(Q312="Yes",2,IF(Q312="Unsure",1,0)),0)</f>
        <v/>
      </c>
      <c r="Z312" s="2">
        <f>IFERROR(ROUND((V312*2)+(W312*1)+(X312*2)+(IF(T312="Easy",2,IF(T312="Medium",1,IF(T312="Hard",-1,0))))-(Y312*2),1),0)</f>
        <v/>
      </c>
      <c r="AA312" s="2">
        <f>IFERROR(IF(S312="Not a fit","Not a Fit",IF(Y312&gt;=5,"High Risk / Needs Review",IF(AND(Z312&gt;=18,T312="Easy"),"Quick Win",IF(AND(Z312&gt;=18,T312&lt;&gt;"Easy"),"Strategic Project",IF(Z312&gt;=10,"Discovery Needed","Process Issue"))))),"")</f>
        <v/>
      </c>
      <c r="AB312" s="2">
        <f>IFERROR(SWITCH(AA312,"Quick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2" s="2" t="n"/>
      <c r="AD312" s="2" t="n"/>
      <c r="AE312" s="2" t="n"/>
    </row>
    <row r="313" ht="25" customHeight="1">
      <c r="A313" s="3" t="n"/>
      <c r="B313" s="3">
        <f>IFERROR(XLOOKUP(A313,'Intake Responses'!$A:$A,'Intake Responses'!$E:$E),"")</f>
        <v/>
      </c>
      <c r="C313" s="3">
        <f>IFERROR(XLOOKUP(A313,'Intake Responses'!$A:$A,'Intake Responses'!$D:$D),"")</f>
        <v/>
      </c>
      <c r="D313" s="3">
        <f>IFERROR(XLOOKUP(A313,'Intake Responses'!$A:$A,'Intake Responses'!$F:$F),"")</f>
        <v/>
      </c>
      <c r="E313" s="3" t="n"/>
      <c r="F313" s="3">
        <f>IFERROR(XLOOKUP(A313,'Intake Responses'!$A:$A,'Intake Responses'!$M:$M),"")</f>
        <v/>
      </c>
      <c r="G313" s="3">
        <f>IFERROR(XLOOKUP(A313,'Intake Responses'!$A:$A,'Intake Responses'!$N:$N),"")</f>
        <v/>
      </c>
      <c r="H313" s="3">
        <f>IFERROR(XLOOKUP(A313,'Intake Responses'!$A:$A,'Intake Responses'!$O:$O),"")</f>
        <v/>
      </c>
      <c r="I313" s="3">
        <f>IFERROR(SWITCH(F313,"Multiple times per day",60,"Daily",20,"Weekly",4,"Monthly",1,"Quarterly",0.33,"Ad hoc",0.5,"Unknown",0),0)</f>
        <v/>
      </c>
      <c r="J313" s="3">
        <f>IFERROR((G313*H313*I313)/60,0)</f>
        <v/>
      </c>
      <c r="K313" s="3">
        <f>IFERROR(J313*12,0)</f>
        <v/>
      </c>
      <c r="L313" s="3">
        <f>IFERROR(XLOOKUP(A313,'Intake Responses'!$A:$A,'Intake Responses'!$T:$T),"")</f>
        <v/>
      </c>
      <c r="M313" s="3">
        <f>IFERROR(XLOOKUP(A313,'Intake Responses'!$A:$A,'Intake Responses'!$U:$U),"")</f>
        <v/>
      </c>
      <c r="N313" s="3">
        <f>IFERROR(XLOOKUP(A313,'Intake Responses'!$A:$A,'Intake Responses'!$V:$V),"")</f>
        <v/>
      </c>
      <c r="O313" s="3">
        <f>IFERROR(XLOOKUP(A313,'Intake Responses'!$A:$A,'Intake Responses'!$W:$W),"")</f>
        <v/>
      </c>
      <c r="P313" s="3">
        <f>IFERROR(XLOOKUP(A313,'Intake Responses'!$A:$A,'Intake Responses'!$X:$X),"")</f>
        <v/>
      </c>
      <c r="Q313" s="3">
        <f>IFERROR(XLOOKUP(A313,'Intake Responses'!$A:$A,'Intake Responses'!$AF:$AF),"")</f>
        <v/>
      </c>
      <c r="R313" s="3">
        <f>IFERROR(XLOOKUP(A313,'Intake Responses'!$A:$A,'Intake Responses'!$S:$S),"")</f>
        <v/>
      </c>
      <c r="S313" s="3" t="n"/>
      <c r="T313" s="3" t="n"/>
      <c r="U313" s="3" t="n"/>
      <c r="V313" s="3">
        <f>IFERROR(MIN(5,ROUND(((M313+O313)/2)+(IF(J313&gt;=20,2,IF(J313&gt;=10,1.5,IF(J313&gt;=5,1,IF(J313&gt;=1,0.5,0))))),1)),0)</f>
        <v/>
      </c>
      <c r="W313" s="3">
        <f>IFERROR(SWITCH(F313,"Multiple times per day",5,"Daily",4,"Weekly",3,"Monthly",2,"Quarterly",1,"Ad hoc",1,"Unknown",0),0)</f>
        <v/>
      </c>
      <c r="X313" s="3">
        <f>IFERROR(ROUND(AVERAGE(L313,N313),1),0)</f>
        <v/>
      </c>
      <c r="Y313" s="3">
        <f>IFERROR(SWITCH(U313,"High",3,"Medium",2,"Low",0,"Unknown",1,1)+IF(Q313="Yes",2,IF(Q313="Unsure",1,0)),0)</f>
        <v/>
      </c>
      <c r="Z313" s="3">
        <f>IFERROR(ROUND((V313*2)+(W313*1)+(X313*2)+(IF(T313="Easy",2,IF(T313="Medium",1,IF(T313="Hard",-1,0))))-(Y313*2),1),0)</f>
        <v/>
      </c>
      <c r="AA313" s="3">
        <f>IFERROR(IF(S313="Not a fit","Not a Fit",IF(Y313&gt;=5,"High Risk / Needs Review",IF(AND(Z313&gt;=18,T313="Easy"),"Quick Win",IF(AND(Z313&gt;=18,T313&lt;&gt;"Easy"),"Strategic Project",IF(Z313&gt;=10,"Discovery Needed","Process Issue"))))),"")</f>
        <v/>
      </c>
      <c r="AB313" s="3">
        <f>IFERROR(SWITCH(AA313,"Quick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3" s="3" t="n"/>
      <c r="AD313" s="3" t="n"/>
      <c r="AE313" s="3" t="n"/>
    </row>
    <row r="314" ht="25" customHeight="1">
      <c r="A314" s="2" t="n"/>
      <c r="B314" s="2">
        <f>IFERROR(XLOOKUP(A314,'Intake Responses'!$A:$A,'Intake Responses'!$E:$E),"")</f>
        <v/>
      </c>
      <c r="C314" s="2">
        <f>IFERROR(XLOOKUP(A314,'Intake Responses'!$A:$A,'Intake Responses'!$D:$D),"")</f>
        <v/>
      </c>
      <c r="D314" s="2">
        <f>IFERROR(XLOOKUP(A314,'Intake Responses'!$A:$A,'Intake Responses'!$F:$F),"")</f>
        <v/>
      </c>
      <c r="E314" s="2" t="n"/>
      <c r="F314" s="2">
        <f>IFERROR(XLOOKUP(A314,'Intake Responses'!$A:$A,'Intake Responses'!$M:$M),"")</f>
        <v/>
      </c>
      <c r="G314" s="2">
        <f>IFERROR(XLOOKUP(A314,'Intake Responses'!$A:$A,'Intake Responses'!$N:$N),"")</f>
        <v/>
      </c>
      <c r="H314" s="2">
        <f>IFERROR(XLOOKUP(A314,'Intake Responses'!$A:$A,'Intake Responses'!$O:$O),"")</f>
        <v/>
      </c>
      <c r="I314" s="2">
        <f>IFERROR(SWITCH(F314,"Multiple times per day",60,"Daily",20,"Weekly",4,"Monthly",1,"Quarterly",0.33,"Ad hoc",0.5,"Unknown",0),0)</f>
        <v/>
      </c>
      <c r="J314" s="2">
        <f>IFERROR((G314*H314*I314)/60,0)</f>
        <v/>
      </c>
      <c r="K314" s="2">
        <f>IFERROR(J314*12,0)</f>
        <v/>
      </c>
      <c r="L314" s="2">
        <f>IFERROR(XLOOKUP(A314,'Intake Responses'!$A:$A,'Intake Responses'!$T:$T),"")</f>
        <v/>
      </c>
      <c r="M314" s="2">
        <f>IFERROR(XLOOKUP(A314,'Intake Responses'!$A:$A,'Intake Responses'!$U:$U),"")</f>
        <v/>
      </c>
      <c r="N314" s="2">
        <f>IFERROR(XLOOKUP(A314,'Intake Responses'!$A:$A,'Intake Responses'!$V:$V),"")</f>
        <v/>
      </c>
      <c r="O314" s="2">
        <f>IFERROR(XLOOKUP(A314,'Intake Responses'!$A:$A,'Intake Responses'!$W:$W),"")</f>
        <v/>
      </c>
      <c r="P314" s="2">
        <f>IFERROR(XLOOKUP(A314,'Intake Responses'!$A:$A,'Intake Responses'!$X:$X),"")</f>
        <v/>
      </c>
      <c r="Q314" s="2">
        <f>IFERROR(XLOOKUP(A314,'Intake Responses'!$A:$A,'Intake Responses'!$AF:$AF),"")</f>
        <v/>
      </c>
      <c r="R314" s="2">
        <f>IFERROR(XLOOKUP(A314,'Intake Responses'!$A:$A,'Intake Responses'!$S:$S),"")</f>
        <v/>
      </c>
      <c r="S314" s="2" t="n"/>
      <c r="T314" s="2" t="n"/>
      <c r="U314" s="2" t="n"/>
      <c r="V314" s="2">
        <f>IFERROR(MIN(5,ROUND(((M314+O314)/2)+(IF(J314&gt;=20,2,IF(J314&gt;=10,1.5,IF(J314&gt;=5,1,IF(J314&gt;=1,0.5,0))))),1)),0)</f>
        <v/>
      </c>
      <c r="W314" s="2">
        <f>IFERROR(SWITCH(F314,"Multiple times per day",5,"Daily",4,"Weekly",3,"Monthly",2,"Quarterly",1,"Ad hoc",1,"Unknown",0),0)</f>
        <v/>
      </c>
      <c r="X314" s="2">
        <f>IFERROR(ROUND(AVERAGE(L314,N314),1),0)</f>
        <v/>
      </c>
      <c r="Y314" s="2">
        <f>IFERROR(SWITCH(U314,"High",3,"Medium",2,"Low",0,"Unknown",1,1)+IF(Q314="Yes",2,IF(Q314="Unsure",1,0)),0)</f>
        <v/>
      </c>
      <c r="Z314" s="2">
        <f>IFERROR(ROUND((V314*2)+(W314*1)+(X314*2)+(IF(T314="Easy",2,IF(T314="Medium",1,IF(T314="Hard",-1,0))))-(Y314*2),1),0)</f>
        <v/>
      </c>
      <c r="AA314" s="2">
        <f>IFERROR(IF(S314="Not a fit","Not a Fit",IF(Y314&gt;=5,"High Risk / Needs Review",IF(AND(Z314&gt;=18,T314="Easy"),"Quick Win",IF(AND(Z314&gt;=18,T314&lt;&gt;"Easy"),"Strategic Project",IF(Z314&gt;=10,"Discovery Needed","Process Issue"))))),"")</f>
        <v/>
      </c>
      <c r="AB314" s="2">
        <f>IFERROR(SWITCH(AA314,"Quick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4" s="2" t="n"/>
      <c r="AD314" s="2" t="n"/>
      <c r="AE314" s="2" t="n"/>
    </row>
    <row r="315" ht="25" customHeight="1">
      <c r="A315" s="3" t="n"/>
      <c r="B315" s="3">
        <f>IFERROR(XLOOKUP(A315,'Intake Responses'!$A:$A,'Intake Responses'!$E:$E),"")</f>
        <v/>
      </c>
      <c r="C315" s="3">
        <f>IFERROR(XLOOKUP(A315,'Intake Responses'!$A:$A,'Intake Responses'!$D:$D),"")</f>
        <v/>
      </c>
      <c r="D315" s="3">
        <f>IFERROR(XLOOKUP(A315,'Intake Responses'!$A:$A,'Intake Responses'!$F:$F),"")</f>
        <v/>
      </c>
      <c r="E315" s="3" t="n"/>
      <c r="F315" s="3">
        <f>IFERROR(XLOOKUP(A315,'Intake Responses'!$A:$A,'Intake Responses'!$M:$M),"")</f>
        <v/>
      </c>
      <c r="G315" s="3">
        <f>IFERROR(XLOOKUP(A315,'Intake Responses'!$A:$A,'Intake Responses'!$N:$N),"")</f>
        <v/>
      </c>
      <c r="H315" s="3">
        <f>IFERROR(XLOOKUP(A315,'Intake Responses'!$A:$A,'Intake Responses'!$O:$O),"")</f>
        <v/>
      </c>
      <c r="I315" s="3">
        <f>IFERROR(SWITCH(F315,"Multiple times per day",60,"Daily",20,"Weekly",4,"Monthly",1,"Quarterly",0.33,"Ad hoc",0.5,"Unknown",0),0)</f>
        <v/>
      </c>
      <c r="J315" s="3">
        <f>IFERROR((G315*H315*I315)/60,0)</f>
        <v/>
      </c>
      <c r="K315" s="3">
        <f>IFERROR(J315*12,0)</f>
        <v/>
      </c>
      <c r="L315" s="3">
        <f>IFERROR(XLOOKUP(A315,'Intake Responses'!$A:$A,'Intake Responses'!$T:$T),"")</f>
        <v/>
      </c>
      <c r="M315" s="3">
        <f>IFERROR(XLOOKUP(A315,'Intake Responses'!$A:$A,'Intake Responses'!$U:$U),"")</f>
        <v/>
      </c>
      <c r="N315" s="3">
        <f>IFERROR(XLOOKUP(A315,'Intake Responses'!$A:$A,'Intake Responses'!$V:$V),"")</f>
        <v/>
      </c>
      <c r="O315" s="3">
        <f>IFERROR(XLOOKUP(A315,'Intake Responses'!$A:$A,'Intake Responses'!$W:$W),"")</f>
        <v/>
      </c>
      <c r="P315" s="3">
        <f>IFERROR(XLOOKUP(A315,'Intake Responses'!$A:$A,'Intake Responses'!$X:$X),"")</f>
        <v/>
      </c>
      <c r="Q315" s="3">
        <f>IFERROR(XLOOKUP(A315,'Intake Responses'!$A:$A,'Intake Responses'!$AF:$AF),"")</f>
        <v/>
      </c>
      <c r="R315" s="3">
        <f>IFERROR(XLOOKUP(A315,'Intake Responses'!$A:$A,'Intake Responses'!$S:$S),"")</f>
        <v/>
      </c>
      <c r="S315" s="3" t="n"/>
      <c r="T315" s="3" t="n"/>
      <c r="U315" s="3" t="n"/>
      <c r="V315" s="3">
        <f>IFERROR(MIN(5,ROUND(((M315+O315)/2)+(IF(J315&gt;=20,2,IF(J315&gt;=10,1.5,IF(J315&gt;=5,1,IF(J315&gt;=1,0.5,0))))),1)),0)</f>
        <v/>
      </c>
      <c r="W315" s="3">
        <f>IFERROR(SWITCH(F315,"Multiple times per day",5,"Daily",4,"Weekly",3,"Monthly",2,"Quarterly",1,"Ad hoc",1,"Unknown",0),0)</f>
        <v/>
      </c>
      <c r="X315" s="3">
        <f>IFERROR(ROUND(AVERAGE(L315,N315),1),0)</f>
        <v/>
      </c>
      <c r="Y315" s="3">
        <f>IFERROR(SWITCH(U315,"High",3,"Medium",2,"Low",0,"Unknown",1,1)+IF(Q315="Yes",2,IF(Q315="Unsure",1,0)),0)</f>
        <v/>
      </c>
      <c r="Z315" s="3">
        <f>IFERROR(ROUND((V315*2)+(W315*1)+(X315*2)+(IF(T315="Easy",2,IF(T315="Medium",1,IF(T315="Hard",-1,0))))-(Y315*2),1),0)</f>
        <v/>
      </c>
      <c r="AA315" s="3">
        <f>IFERROR(IF(S315="Not a fit","Not a Fit",IF(Y315&gt;=5,"High Risk / Needs Review",IF(AND(Z315&gt;=18,T315="Easy"),"Quick Win",IF(AND(Z315&gt;=18,T315&lt;&gt;"Easy"),"Strategic Project",IF(Z315&gt;=10,"Discovery Needed","Process Issue"))))),"")</f>
        <v/>
      </c>
      <c r="AB315" s="3">
        <f>IFERROR(SWITCH(AA315,"Quick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5" s="3" t="n"/>
      <c r="AD315" s="3" t="n"/>
      <c r="AE315" s="3" t="n"/>
    </row>
    <row r="316" ht="25" customHeight="1">
      <c r="A316" s="2" t="n"/>
      <c r="B316" s="2">
        <f>IFERROR(XLOOKUP(A316,'Intake Responses'!$A:$A,'Intake Responses'!$E:$E),"")</f>
        <v/>
      </c>
      <c r="C316" s="2">
        <f>IFERROR(XLOOKUP(A316,'Intake Responses'!$A:$A,'Intake Responses'!$D:$D),"")</f>
        <v/>
      </c>
      <c r="D316" s="2">
        <f>IFERROR(XLOOKUP(A316,'Intake Responses'!$A:$A,'Intake Responses'!$F:$F),"")</f>
        <v/>
      </c>
      <c r="E316" s="2" t="n"/>
      <c r="F316" s="2">
        <f>IFERROR(XLOOKUP(A316,'Intake Responses'!$A:$A,'Intake Responses'!$M:$M),"")</f>
        <v/>
      </c>
      <c r="G316" s="2">
        <f>IFERROR(XLOOKUP(A316,'Intake Responses'!$A:$A,'Intake Responses'!$N:$N),"")</f>
        <v/>
      </c>
      <c r="H316" s="2">
        <f>IFERROR(XLOOKUP(A316,'Intake Responses'!$A:$A,'Intake Responses'!$O:$O),"")</f>
        <v/>
      </c>
      <c r="I316" s="2">
        <f>IFERROR(SWITCH(F316,"Multiple times per day",60,"Daily",20,"Weekly",4,"Monthly",1,"Quarterly",0.33,"Ad hoc",0.5,"Unknown",0),0)</f>
        <v/>
      </c>
      <c r="J316" s="2">
        <f>IFERROR((G316*H316*I316)/60,0)</f>
        <v/>
      </c>
      <c r="K316" s="2">
        <f>IFERROR(J316*12,0)</f>
        <v/>
      </c>
      <c r="L316" s="2">
        <f>IFERROR(XLOOKUP(A316,'Intake Responses'!$A:$A,'Intake Responses'!$T:$T),"")</f>
        <v/>
      </c>
      <c r="M316" s="2">
        <f>IFERROR(XLOOKUP(A316,'Intake Responses'!$A:$A,'Intake Responses'!$U:$U),"")</f>
        <v/>
      </c>
      <c r="N316" s="2">
        <f>IFERROR(XLOOKUP(A316,'Intake Responses'!$A:$A,'Intake Responses'!$V:$V),"")</f>
        <v/>
      </c>
      <c r="O316" s="2">
        <f>IFERROR(XLOOKUP(A316,'Intake Responses'!$A:$A,'Intake Responses'!$W:$W),"")</f>
        <v/>
      </c>
      <c r="P316" s="2">
        <f>IFERROR(XLOOKUP(A316,'Intake Responses'!$A:$A,'Intake Responses'!$X:$X),"")</f>
        <v/>
      </c>
      <c r="Q316" s="2">
        <f>IFERROR(XLOOKUP(A316,'Intake Responses'!$A:$A,'Intake Responses'!$AF:$AF),"")</f>
        <v/>
      </c>
      <c r="R316" s="2">
        <f>IFERROR(XLOOKUP(A316,'Intake Responses'!$A:$A,'Intake Responses'!$S:$S),"")</f>
        <v/>
      </c>
      <c r="S316" s="2" t="n"/>
      <c r="T316" s="2" t="n"/>
      <c r="U316" s="2" t="n"/>
      <c r="V316" s="2">
        <f>IFERROR(MIN(5,ROUND(((M316+O316)/2)+(IF(J316&gt;=20,2,IF(J316&gt;=10,1.5,IF(J316&gt;=5,1,IF(J316&gt;=1,0.5,0))))),1)),0)</f>
        <v/>
      </c>
      <c r="W316" s="2">
        <f>IFERROR(SWITCH(F316,"Multiple times per day",5,"Daily",4,"Weekly",3,"Monthly",2,"Quarterly",1,"Ad hoc",1,"Unknown",0),0)</f>
        <v/>
      </c>
      <c r="X316" s="2">
        <f>IFERROR(ROUND(AVERAGE(L316,N316),1),0)</f>
        <v/>
      </c>
      <c r="Y316" s="2">
        <f>IFERROR(SWITCH(U316,"High",3,"Medium",2,"Low",0,"Unknown",1,1)+IF(Q316="Yes",2,IF(Q316="Unsure",1,0)),0)</f>
        <v/>
      </c>
      <c r="Z316" s="2">
        <f>IFERROR(ROUND((V316*2)+(W316*1)+(X316*2)+(IF(T316="Easy",2,IF(T316="Medium",1,IF(T316="Hard",-1,0))))-(Y316*2),1),0)</f>
        <v/>
      </c>
      <c r="AA316" s="2">
        <f>IFERROR(IF(S316="Not a fit","Not a Fit",IF(Y316&gt;=5,"High Risk / Needs Review",IF(AND(Z316&gt;=18,T316="Easy"),"Quick Win",IF(AND(Z316&gt;=18,T316&lt;&gt;"Easy"),"Strategic Project",IF(Z316&gt;=10,"Discovery Needed","Process Issue"))))),"")</f>
        <v/>
      </c>
      <c r="AB316" s="2">
        <f>IFERROR(SWITCH(AA316,"Quick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6" s="2" t="n"/>
      <c r="AD316" s="2" t="n"/>
      <c r="AE316" s="2" t="n"/>
    </row>
    <row r="317" ht="25" customHeight="1">
      <c r="A317" s="3" t="n"/>
      <c r="B317" s="3">
        <f>IFERROR(XLOOKUP(A317,'Intake Responses'!$A:$A,'Intake Responses'!$E:$E),"")</f>
        <v/>
      </c>
      <c r="C317" s="3">
        <f>IFERROR(XLOOKUP(A317,'Intake Responses'!$A:$A,'Intake Responses'!$D:$D),"")</f>
        <v/>
      </c>
      <c r="D317" s="3">
        <f>IFERROR(XLOOKUP(A317,'Intake Responses'!$A:$A,'Intake Responses'!$F:$F),"")</f>
        <v/>
      </c>
      <c r="E317" s="3" t="n"/>
      <c r="F317" s="3">
        <f>IFERROR(XLOOKUP(A317,'Intake Responses'!$A:$A,'Intake Responses'!$M:$M),"")</f>
        <v/>
      </c>
      <c r="G317" s="3">
        <f>IFERROR(XLOOKUP(A317,'Intake Responses'!$A:$A,'Intake Responses'!$N:$N),"")</f>
        <v/>
      </c>
      <c r="H317" s="3">
        <f>IFERROR(XLOOKUP(A317,'Intake Responses'!$A:$A,'Intake Responses'!$O:$O),"")</f>
        <v/>
      </c>
      <c r="I317" s="3">
        <f>IFERROR(SWITCH(F317,"Multiple times per day",60,"Daily",20,"Weekly",4,"Monthly",1,"Quarterly",0.33,"Ad hoc",0.5,"Unknown",0),0)</f>
        <v/>
      </c>
      <c r="J317" s="3">
        <f>IFERROR((G317*H317*I317)/60,0)</f>
        <v/>
      </c>
      <c r="K317" s="3">
        <f>IFERROR(J317*12,0)</f>
        <v/>
      </c>
      <c r="L317" s="3">
        <f>IFERROR(XLOOKUP(A317,'Intake Responses'!$A:$A,'Intake Responses'!$T:$T),"")</f>
        <v/>
      </c>
      <c r="M317" s="3">
        <f>IFERROR(XLOOKUP(A317,'Intake Responses'!$A:$A,'Intake Responses'!$U:$U),"")</f>
        <v/>
      </c>
      <c r="N317" s="3">
        <f>IFERROR(XLOOKUP(A317,'Intake Responses'!$A:$A,'Intake Responses'!$V:$V),"")</f>
        <v/>
      </c>
      <c r="O317" s="3">
        <f>IFERROR(XLOOKUP(A317,'Intake Responses'!$A:$A,'Intake Responses'!$W:$W),"")</f>
        <v/>
      </c>
      <c r="P317" s="3">
        <f>IFERROR(XLOOKUP(A317,'Intake Responses'!$A:$A,'Intake Responses'!$X:$X),"")</f>
        <v/>
      </c>
      <c r="Q317" s="3">
        <f>IFERROR(XLOOKUP(A317,'Intake Responses'!$A:$A,'Intake Responses'!$AF:$AF),"")</f>
        <v/>
      </c>
      <c r="R317" s="3">
        <f>IFERROR(XLOOKUP(A317,'Intake Responses'!$A:$A,'Intake Responses'!$S:$S),"")</f>
        <v/>
      </c>
      <c r="S317" s="3" t="n"/>
      <c r="T317" s="3" t="n"/>
      <c r="U317" s="3" t="n"/>
      <c r="V317" s="3">
        <f>IFERROR(MIN(5,ROUND(((M317+O317)/2)+(IF(J317&gt;=20,2,IF(J317&gt;=10,1.5,IF(J317&gt;=5,1,IF(J317&gt;=1,0.5,0))))),1)),0)</f>
        <v/>
      </c>
      <c r="W317" s="3">
        <f>IFERROR(SWITCH(F317,"Multiple times per day",5,"Daily",4,"Weekly",3,"Monthly",2,"Quarterly",1,"Ad hoc",1,"Unknown",0),0)</f>
        <v/>
      </c>
      <c r="X317" s="3">
        <f>IFERROR(ROUND(AVERAGE(L317,N317),1),0)</f>
        <v/>
      </c>
      <c r="Y317" s="3">
        <f>IFERROR(SWITCH(U317,"High",3,"Medium",2,"Low",0,"Unknown",1,1)+IF(Q317="Yes",2,IF(Q317="Unsure",1,0)),0)</f>
        <v/>
      </c>
      <c r="Z317" s="3">
        <f>IFERROR(ROUND((V317*2)+(W317*1)+(X317*2)+(IF(T317="Easy",2,IF(T317="Medium",1,IF(T317="Hard",-1,0))))-(Y317*2),1),0)</f>
        <v/>
      </c>
      <c r="AA317" s="3">
        <f>IFERROR(IF(S317="Not a fit","Not a Fit",IF(Y317&gt;=5,"High Risk / Needs Review",IF(AND(Z317&gt;=18,T317="Easy"),"Quick Win",IF(AND(Z317&gt;=18,T317&lt;&gt;"Easy"),"Strategic Project",IF(Z317&gt;=10,"Discovery Needed","Process Issue"))))),"")</f>
        <v/>
      </c>
      <c r="AB317" s="3">
        <f>IFERROR(SWITCH(AA317,"Quick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7" s="3" t="n"/>
      <c r="AD317" s="3" t="n"/>
      <c r="AE317" s="3" t="n"/>
    </row>
    <row r="318" ht="25" customHeight="1">
      <c r="A318" s="2" t="n"/>
      <c r="B318" s="2">
        <f>IFERROR(XLOOKUP(A318,'Intake Responses'!$A:$A,'Intake Responses'!$E:$E),"")</f>
        <v/>
      </c>
      <c r="C318" s="2">
        <f>IFERROR(XLOOKUP(A318,'Intake Responses'!$A:$A,'Intake Responses'!$D:$D),"")</f>
        <v/>
      </c>
      <c r="D318" s="2">
        <f>IFERROR(XLOOKUP(A318,'Intake Responses'!$A:$A,'Intake Responses'!$F:$F),"")</f>
        <v/>
      </c>
      <c r="E318" s="2" t="n"/>
      <c r="F318" s="2">
        <f>IFERROR(XLOOKUP(A318,'Intake Responses'!$A:$A,'Intake Responses'!$M:$M),"")</f>
        <v/>
      </c>
      <c r="G318" s="2">
        <f>IFERROR(XLOOKUP(A318,'Intake Responses'!$A:$A,'Intake Responses'!$N:$N),"")</f>
        <v/>
      </c>
      <c r="H318" s="2">
        <f>IFERROR(XLOOKUP(A318,'Intake Responses'!$A:$A,'Intake Responses'!$O:$O),"")</f>
        <v/>
      </c>
      <c r="I318" s="2">
        <f>IFERROR(SWITCH(F318,"Multiple times per day",60,"Daily",20,"Weekly",4,"Monthly",1,"Quarterly",0.33,"Ad hoc",0.5,"Unknown",0),0)</f>
        <v/>
      </c>
      <c r="J318" s="2">
        <f>IFERROR((G318*H318*I318)/60,0)</f>
        <v/>
      </c>
      <c r="K318" s="2">
        <f>IFERROR(J318*12,0)</f>
        <v/>
      </c>
      <c r="L318" s="2">
        <f>IFERROR(XLOOKUP(A318,'Intake Responses'!$A:$A,'Intake Responses'!$T:$T),"")</f>
        <v/>
      </c>
      <c r="M318" s="2">
        <f>IFERROR(XLOOKUP(A318,'Intake Responses'!$A:$A,'Intake Responses'!$U:$U),"")</f>
        <v/>
      </c>
      <c r="N318" s="2">
        <f>IFERROR(XLOOKUP(A318,'Intake Responses'!$A:$A,'Intake Responses'!$V:$V),"")</f>
        <v/>
      </c>
      <c r="O318" s="2">
        <f>IFERROR(XLOOKUP(A318,'Intake Responses'!$A:$A,'Intake Responses'!$W:$W),"")</f>
        <v/>
      </c>
      <c r="P318" s="2">
        <f>IFERROR(XLOOKUP(A318,'Intake Responses'!$A:$A,'Intake Responses'!$X:$X),"")</f>
        <v/>
      </c>
      <c r="Q318" s="2">
        <f>IFERROR(XLOOKUP(A318,'Intake Responses'!$A:$A,'Intake Responses'!$AF:$AF),"")</f>
        <v/>
      </c>
      <c r="R318" s="2">
        <f>IFERROR(XLOOKUP(A318,'Intake Responses'!$A:$A,'Intake Responses'!$S:$S),"")</f>
        <v/>
      </c>
      <c r="S318" s="2" t="n"/>
      <c r="T318" s="2" t="n"/>
      <c r="U318" s="2" t="n"/>
      <c r="V318" s="2">
        <f>IFERROR(MIN(5,ROUND(((M318+O318)/2)+(IF(J318&gt;=20,2,IF(J318&gt;=10,1.5,IF(J318&gt;=5,1,IF(J318&gt;=1,0.5,0))))),1)),0)</f>
        <v/>
      </c>
      <c r="W318" s="2">
        <f>IFERROR(SWITCH(F318,"Multiple times per day",5,"Daily",4,"Weekly",3,"Monthly",2,"Quarterly",1,"Ad hoc",1,"Unknown",0),0)</f>
        <v/>
      </c>
      <c r="X318" s="2">
        <f>IFERROR(ROUND(AVERAGE(L318,N318),1),0)</f>
        <v/>
      </c>
      <c r="Y318" s="2">
        <f>IFERROR(SWITCH(U318,"High",3,"Medium",2,"Low",0,"Unknown",1,1)+IF(Q318="Yes",2,IF(Q318="Unsure",1,0)),0)</f>
        <v/>
      </c>
      <c r="Z318" s="2">
        <f>IFERROR(ROUND((V318*2)+(W318*1)+(X318*2)+(IF(T318="Easy",2,IF(T318="Medium",1,IF(T318="Hard",-1,0))))-(Y318*2),1),0)</f>
        <v/>
      </c>
      <c r="AA318" s="2">
        <f>IFERROR(IF(S318="Not a fit","Not a Fit",IF(Y318&gt;=5,"High Risk / Needs Review",IF(AND(Z318&gt;=18,T318="Easy"),"Quick Win",IF(AND(Z318&gt;=18,T318&lt;&gt;"Easy"),"Strategic Project",IF(Z318&gt;=10,"Discovery Needed","Process Issue"))))),"")</f>
        <v/>
      </c>
      <c r="AB318" s="2">
        <f>IFERROR(SWITCH(AA318,"Quick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8" s="2" t="n"/>
      <c r="AD318" s="2" t="n"/>
      <c r="AE318" s="2" t="n"/>
    </row>
    <row r="319" ht="25" customHeight="1">
      <c r="A319" s="3" t="n"/>
      <c r="B319" s="3">
        <f>IFERROR(XLOOKUP(A319,'Intake Responses'!$A:$A,'Intake Responses'!$E:$E),"")</f>
        <v/>
      </c>
      <c r="C319" s="3">
        <f>IFERROR(XLOOKUP(A319,'Intake Responses'!$A:$A,'Intake Responses'!$D:$D),"")</f>
        <v/>
      </c>
      <c r="D319" s="3">
        <f>IFERROR(XLOOKUP(A319,'Intake Responses'!$A:$A,'Intake Responses'!$F:$F),"")</f>
        <v/>
      </c>
      <c r="E319" s="3" t="n"/>
      <c r="F319" s="3">
        <f>IFERROR(XLOOKUP(A319,'Intake Responses'!$A:$A,'Intake Responses'!$M:$M),"")</f>
        <v/>
      </c>
      <c r="G319" s="3">
        <f>IFERROR(XLOOKUP(A319,'Intake Responses'!$A:$A,'Intake Responses'!$N:$N),"")</f>
        <v/>
      </c>
      <c r="H319" s="3">
        <f>IFERROR(XLOOKUP(A319,'Intake Responses'!$A:$A,'Intake Responses'!$O:$O),"")</f>
        <v/>
      </c>
      <c r="I319" s="3">
        <f>IFERROR(SWITCH(F319,"Multiple times per day",60,"Daily",20,"Weekly",4,"Monthly",1,"Quarterly",0.33,"Ad hoc",0.5,"Unknown",0),0)</f>
        <v/>
      </c>
      <c r="J319" s="3">
        <f>IFERROR((G319*H319*I319)/60,0)</f>
        <v/>
      </c>
      <c r="K319" s="3">
        <f>IFERROR(J319*12,0)</f>
        <v/>
      </c>
      <c r="L319" s="3">
        <f>IFERROR(XLOOKUP(A319,'Intake Responses'!$A:$A,'Intake Responses'!$T:$T),"")</f>
        <v/>
      </c>
      <c r="M319" s="3">
        <f>IFERROR(XLOOKUP(A319,'Intake Responses'!$A:$A,'Intake Responses'!$U:$U),"")</f>
        <v/>
      </c>
      <c r="N319" s="3">
        <f>IFERROR(XLOOKUP(A319,'Intake Responses'!$A:$A,'Intake Responses'!$V:$V),"")</f>
        <v/>
      </c>
      <c r="O319" s="3">
        <f>IFERROR(XLOOKUP(A319,'Intake Responses'!$A:$A,'Intake Responses'!$W:$W),"")</f>
        <v/>
      </c>
      <c r="P319" s="3">
        <f>IFERROR(XLOOKUP(A319,'Intake Responses'!$A:$A,'Intake Responses'!$X:$X),"")</f>
        <v/>
      </c>
      <c r="Q319" s="3">
        <f>IFERROR(XLOOKUP(A319,'Intake Responses'!$A:$A,'Intake Responses'!$AF:$AF),"")</f>
        <v/>
      </c>
      <c r="R319" s="3">
        <f>IFERROR(XLOOKUP(A319,'Intake Responses'!$A:$A,'Intake Responses'!$S:$S),"")</f>
        <v/>
      </c>
      <c r="S319" s="3" t="n"/>
      <c r="T319" s="3" t="n"/>
      <c r="U319" s="3" t="n"/>
      <c r="V319" s="3">
        <f>IFERROR(MIN(5,ROUND(((M319+O319)/2)+(IF(J319&gt;=20,2,IF(J319&gt;=10,1.5,IF(J319&gt;=5,1,IF(J319&gt;=1,0.5,0))))),1)),0)</f>
        <v/>
      </c>
      <c r="W319" s="3">
        <f>IFERROR(SWITCH(F319,"Multiple times per day",5,"Daily",4,"Weekly",3,"Monthly",2,"Quarterly",1,"Ad hoc",1,"Unknown",0),0)</f>
        <v/>
      </c>
      <c r="X319" s="3">
        <f>IFERROR(ROUND(AVERAGE(L319,N319),1),0)</f>
        <v/>
      </c>
      <c r="Y319" s="3">
        <f>IFERROR(SWITCH(U319,"High",3,"Medium",2,"Low",0,"Unknown",1,1)+IF(Q319="Yes",2,IF(Q319="Unsure",1,0)),0)</f>
        <v/>
      </c>
      <c r="Z319" s="3">
        <f>IFERROR(ROUND((V319*2)+(W319*1)+(X319*2)+(IF(T319="Easy",2,IF(T319="Medium",1,IF(T319="Hard",-1,0))))-(Y319*2),1),0)</f>
        <v/>
      </c>
      <c r="AA319" s="3">
        <f>IFERROR(IF(S319="Not a fit","Not a Fit",IF(Y319&gt;=5,"High Risk / Needs Review",IF(AND(Z319&gt;=18,T319="Easy"),"Quick Win",IF(AND(Z319&gt;=18,T319&lt;&gt;"Easy"),"Strategic Project",IF(Z319&gt;=10,"Discovery Needed","Process Issue"))))),"")</f>
        <v/>
      </c>
      <c r="AB319" s="3">
        <f>IFERROR(SWITCH(AA319,"Quick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19" s="3" t="n"/>
      <c r="AD319" s="3" t="n"/>
      <c r="AE319" s="3" t="n"/>
    </row>
    <row r="320" ht="25" customHeight="1">
      <c r="A320" s="2" t="n"/>
      <c r="B320" s="2">
        <f>IFERROR(XLOOKUP(A320,'Intake Responses'!$A:$A,'Intake Responses'!$E:$E),"")</f>
        <v/>
      </c>
      <c r="C320" s="2">
        <f>IFERROR(XLOOKUP(A320,'Intake Responses'!$A:$A,'Intake Responses'!$D:$D),"")</f>
        <v/>
      </c>
      <c r="D320" s="2">
        <f>IFERROR(XLOOKUP(A320,'Intake Responses'!$A:$A,'Intake Responses'!$F:$F),"")</f>
        <v/>
      </c>
      <c r="E320" s="2" t="n"/>
      <c r="F320" s="2">
        <f>IFERROR(XLOOKUP(A320,'Intake Responses'!$A:$A,'Intake Responses'!$M:$M),"")</f>
        <v/>
      </c>
      <c r="G320" s="2">
        <f>IFERROR(XLOOKUP(A320,'Intake Responses'!$A:$A,'Intake Responses'!$N:$N),"")</f>
        <v/>
      </c>
      <c r="H320" s="2">
        <f>IFERROR(XLOOKUP(A320,'Intake Responses'!$A:$A,'Intake Responses'!$O:$O),"")</f>
        <v/>
      </c>
      <c r="I320" s="2">
        <f>IFERROR(SWITCH(F320,"Multiple times per day",60,"Daily",20,"Weekly",4,"Monthly",1,"Quarterly",0.33,"Ad hoc",0.5,"Unknown",0),0)</f>
        <v/>
      </c>
      <c r="J320" s="2">
        <f>IFERROR((G320*H320*I320)/60,0)</f>
        <v/>
      </c>
      <c r="K320" s="2">
        <f>IFERROR(J320*12,0)</f>
        <v/>
      </c>
      <c r="L320" s="2">
        <f>IFERROR(XLOOKUP(A320,'Intake Responses'!$A:$A,'Intake Responses'!$T:$T),"")</f>
        <v/>
      </c>
      <c r="M320" s="2">
        <f>IFERROR(XLOOKUP(A320,'Intake Responses'!$A:$A,'Intake Responses'!$U:$U),"")</f>
        <v/>
      </c>
      <c r="N320" s="2">
        <f>IFERROR(XLOOKUP(A320,'Intake Responses'!$A:$A,'Intake Responses'!$V:$V),"")</f>
        <v/>
      </c>
      <c r="O320" s="2">
        <f>IFERROR(XLOOKUP(A320,'Intake Responses'!$A:$A,'Intake Responses'!$W:$W),"")</f>
        <v/>
      </c>
      <c r="P320" s="2">
        <f>IFERROR(XLOOKUP(A320,'Intake Responses'!$A:$A,'Intake Responses'!$X:$X),"")</f>
        <v/>
      </c>
      <c r="Q320" s="2">
        <f>IFERROR(XLOOKUP(A320,'Intake Responses'!$A:$A,'Intake Responses'!$AF:$AF),"")</f>
        <v/>
      </c>
      <c r="R320" s="2">
        <f>IFERROR(XLOOKUP(A320,'Intake Responses'!$A:$A,'Intake Responses'!$S:$S),"")</f>
        <v/>
      </c>
      <c r="S320" s="2" t="n"/>
      <c r="T320" s="2" t="n"/>
      <c r="U320" s="2" t="n"/>
      <c r="V320" s="2">
        <f>IFERROR(MIN(5,ROUND(((M320+O320)/2)+(IF(J320&gt;=20,2,IF(J320&gt;=10,1.5,IF(J320&gt;=5,1,IF(J320&gt;=1,0.5,0))))),1)),0)</f>
        <v/>
      </c>
      <c r="W320" s="2">
        <f>IFERROR(SWITCH(F320,"Multiple times per day",5,"Daily",4,"Weekly",3,"Monthly",2,"Quarterly",1,"Ad hoc",1,"Unknown",0),0)</f>
        <v/>
      </c>
      <c r="X320" s="2">
        <f>IFERROR(ROUND(AVERAGE(L320,N320),1),0)</f>
        <v/>
      </c>
      <c r="Y320" s="2">
        <f>IFERROR(SWITCH(U320,"High",3,"Medium",2,"Low",0,"Unknown",1,1)+IF(Q320="Yes",2,IF(Q320="Unsure",1,0)),0)</f>
        <v/>
      </c>
      <c r="Z320" s="2">
        <f>IFERROR(ROUND((V320*2)+(W320*1)+(X320*2)+(IF(T320="Easy",2,IF(T320="Medium",1,IF(T320="Hard",-1,0))))-(Y320*2),1),0)</f>
        <v/>
      </c>
      <c r="AA320" s="2">
        <f>IFERROR(IF(S320="Not a fit","Not a Fit",IF(Y320&gt;=5,"High Risk / Needs Review",IF(AND(Z320&gt;=18,T320="Easy"),"Quick Win",IF(AND(Z320&gt;=18,T320&lt;&gt;"Easy"),"Strategic Project",IF(Z320&gt;=10,"Discovery Needed","Process Issue"))))),"")</f>
        <v/>
      </c>
      <c r="AB320" s="2">
        <f>IFERROR(SWITCH(AA320,"Quick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0" s="2" t="n"/>
      <c r="AD320" s="2" t="n"/>
      <c r="AE320" s="2" t="n"/>
    </row>
    <row r="321" ht="25" customHeight="1">
      <c r="A321" s="3" t="n"/>
      <c r="B321" s="3">
        <f>IFERROR(XLOOKUP(A321,'Intake Responses'!$A:$A,'Intake Responses'!$E:$E),"")</f>
        <v/>
      </c>
      <c r="C321" s="3">
        <f>IFERROR(XLOOKUP(A321,'Intake Responses'!$A:$A,'Intake Responses'!$D:$D),"")</f>
        <v/>
      </c>
      <c r="D321" s="3">
        <f>IFERROR(XLOOKUP(A321,'Intake Responses'!$A:$A,'Intake Responses'!$F:$F),"")</f>
        <v/>
      </c>
      <c r="E321" s="3" t="n"/>
      <c r="F321" s="3">
        <f>IFERROR(XLOOKUP(A321,'Intake Responses'!$A:$A,'Intake Responses'!$M:$M),"")</f>
        <v/>
      </c>
      <c r="G321" s="3">
        <f>IFERROR(XLOOKUP(A321,'Intake Responses'!$A:$A,'Intake Responses'!$N:$N),"")</f>
        <v/>
      </c>
      <c r="H321" s="3">
        <f>IFERROR(XLOOKUP(A321,'Intake Responses'!$A:$A,'Intake Responses'!$O:$O),"")</f>
        <v/>
      </c>
      <c r="I321" s="3">
        <f>IFERROR(SWITCH(F321,"Multiple times per day",60,"Daily",20,"Weekly",4,"Monthly",1,"Quarterly",0.33,"Ad hoc",0.5,"Unknown",0),0)</f>
        <v/>
      </c>
      <c r="J321" s="3">
        <f>IFERROR((G321*H321*I321)/60,0)</f>
        <v/>
      </c>
      <c r="K321" s="3">
        <f>IFERROR(J321*12,0)</f>
        <v/>
      </c>
      <c r="L321" s="3">
        <f>IFERROR(XLOOKUP(A321,'Intake Responses'!$A:$A,'Intake Responses'!$T:$T),"")</f>
        <v/>
      </c>
      <c r="M321" s="3">
        <f>IFERROR(XLOOKUP(A321,'Intake Responses'!$A:$A,'Intake Responses'!$U:$U),"")</f>
        <v/>
      </c>
      <c r="N321" s="3">
        <f>IFERROR(XLOOKUP(A321,'Intake Responses'!$A:$A,'Intake Responses'!$V:$V),"")</f>
        <v/>
      </c>
      <c r="O321" s="3">
        <f>IFERROR(XLOOKUP(A321,'Intake Responses'!$A:$A,'Intake Responses'!$W:$W),"")</f>
        <v/>
      </c>
      <c r="P321" s="3">
        <f>IFERROR(XLOOKUP(A321,'Intake Responses'!$A:$A,'Intake Responses'!$X:$X),"")</f>
        <v/>
      </c>
      <c r="Q321" s="3">
        <f>IFERROR(XLOOKUP(A321,'Intake Responses'!$A:$A,'Intake Responses'!$AF:$AF),"")</f>
        <v/>
      </c>
      <c r="R321" s="3">
        <f>IFERROR(XLOOKUP(A321,'Intake Responses'!$A:$A,'Intake Responses'!$S:$S),"")</f>
        <v/>
      </c>
      <c r="S321" s="3" t="n"/>
      <c r="T321" s="3" t="n"/>
      <c r="U321" s="3" t="n"/>
      <c r="V321" s="3">
        <f>IFERROR(MIN(5,ROUND(((M321+O321)/2)+(IF(J321&gt;=20,2,IF(J321&gt;=10,1.5,IF(J321&gt;=5,1,IF(J321&gt;=1,0.5,0))))),1)),0)</f>
        <v/>
      </c>
      <c r="W321" s="3">
        <f>IFERROR(SWITCH(F321,"Multiple times per day",5,"Daily",4,"Weekly",3,"Monthly",2,"Quarterly",1,"Ad hoc",1,"Unknown",0),0)</f>
        <v/>
      </c>
      <c r="X321" s="3">
        <f>IFERROR(ROUND(AVERAGE(L321,N321),1),0)</f>
        <v/>
      </c>
      <c r="Y321" s="3">
        <f>IFERROR(SWITCH(U321,"High",3,"Medium",2,"Low",0,"Unknown",1,1)+IF(Q321="Yes",2,IF(Q321="Unsure",1,0)),0)</f>
        <v/>
      </c>
      <c r="Z321" s="3">
        <f>IFERROR(ROUND((V321*2)+(W321*1)+(X321*2)+(IF(T321="Easy",2,IF(T321="Medium",1,IF(T321="Hard",-1,0))))-(Y321*2),1),0)</f>
        <v/>
      </c>
      <c r="AA321" s="3">
        <f>IFERROR(IF(S321="Not a fit","Not a Fit",IF(Y321&gt;=5,"High Risk / Needs Review",IF(AND(Z321&gt;=18,T321="Easy"),"Quick Win",IF(AND(Z321&gt;=18,T321&lt;&gt;"Easy"),"Strategic Project",IF(Z321&gt;=10,"Discovery Needed","Process Issue"))))),"")</f>
        <v/>
      </c>
      <c r="AB321" s="3">
        <f>IFERROR(SWITCH(AA321,"Quick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1" s="3" t="n"/>
      <c r="AD321" s="3" t="n"/>
      <c r="AE321" s="3" t="n"/>
    </row>
    <row r="322" ht="25" customHeight="1">
      <c r="A322" s="2" t="n"/>
      <c r="B322" s="2">
        <f>IFERROR(XLOOKUP(A322,'Intake Responses'!$A:$A,'Intake Responses'!$E:$E),"")</f>
        <v/>
      </c>
      <c r="C322" s="2">
        <f>IFERROR(XLOOKUP(A322,'Intake Responses'!$A:$A,'Intake Responses'!$D:$D),"")</f>
        <v/>
      </c>
      <c r="D322" s="2">
        <f>IFERROR(XLOOKUP(A322,'Intake Responses'!$A:$A,'Intake Responses'!$F:$F),"")</f>
        <v/>
      </c>
      <c r="E322" s="2" t="n"/>
      <c r="F322" s="2">
        <f>IFERROR(XLOOKUP(A322,'Intake Responses'!$A:$A,'Intake Responses'!$M:$M),"")</f>
        <v/>
      </c>
      <c r="G322" s="2">
        <f>IFERROR(XLOOKUP(A322,'Intake Responses'!$A:$A,'Intake Responses'!$N:$N),"")</f>
        <v/>
      </c>
      <c r="H322" s="2">
        <f>IFERROR(XLOOKUP(A322,'Intake Responses'!$A:$A,'Intake Responses'!$O:$O),"")</f>
        <v/>
      </c>
      <c r="I322" s="2">
        <f>IFERROR(SWITCH(F322,"Multiple times per day",60,"Daily",20,"Weekly",4,"Monthly",1,"Quarterly",0.33,"Ad hoc",0.5,"Unknown",0),0)</f>
        <v/>
      </c>
      <c r="J322" s="2">
        <f>IFERROR((G322*H322*I322)/60,0)</f>
        <v/>
      </c>
      <c r="K322" s="2">
        <f>IFERROR(J322*12,0)</f>
        <v/>
      </c>
      <c r="L322" s="2">
        <f>IFERROR(XLOOKUP(A322,'Intake Responses'!$A:$A,'Intake Responses'!$T:$T),"")</f>
        <v/>
      </c>
      <c r="M322" s="2">
        <f>IFERROR(XLOOKUP(A322,'Intake Responses'!$A:$A,'Intake Responses'!$U:$U),"")</f>
        <v/>
      </c>
      <c r="N322" s="2">
        <f>IFERROR(XLOOKUP(A322,'Intake Responses'!$A:$A,'Intake Responses'!$V:$V),"")</f>
        <v/>
      </c>
      <c r="O322" s="2">
        <f>IFERROR(XLOOKUP(A322,'Intake Responses'!$A:$A,'Intake Responses'!$W:$W),"")</f>
        <v/>
      </c>
      <c r="P322" s="2">
        <f>IFERROR(XLOOKUP(A322,'Intake Responses'!$A:$A,'Intake Responses'!$X:$X),"")</f>
        <v/>
      </c>
      <c r="Q322" s="2">
        <f>IFERROR(XLOOKUP(A322,'Intake Responses'!$A:$A,'Intake Responses'!$AF:$AF),"")</f>
        <v/>
      </c>
      <c r="R322" s="2">
        <f>IFERROR(XLOOKUP(A322,'Intake Responses'!$A:$A,'Intake Responses'!$S:$S),"")</f>
        <v/>
      </c>
      <c r="S322" s="2" t="n"/>
      <c r="T322" s="2" t="n"/>
      <c r="U322" s="2" t="n"/>
      <c r="V322" s="2">
        <f>IFERROR(MIN(5,ROUND(((M322+O322)/2)+(IF(J322&gt;=20,2,IF(J322&gt;=10,1.5,IF(J322&gt;=5,1,IF(J322&gt;=1,0.5,0))))),1)),0)</f>
        <v/>
      </c>
      <c r="W322" s="2">
        <f>IFERROR(SWITCH(F322,"Multiple times per day",5,"Daily",4,"Weekly",3,"Monthly",2,"Quarterly",1,"Ad hoc",1,"Unknown",0),0)</f>
        <v/>
      </c>
      <c r="X322" s="2">
        <f>IFERROR(ROUND(AVERAGE(L322,N322),1),0)</f>
        <v/>
      </c>
      <c r="Y322" s="2">
        <f>IFERROR(SWITCH(U322,"High",3,"Medium",2,"Low",0,"Unknown",1,1)+IF(Q322="Yes",2,IF(Q322="Unsure",1,0)),0)</f>
        <v/>
      </c>
      <c r="Z322" s="2">
        <f>IFERROR(ROUND((V322*2)+(W322*1)+(X322*2)+(IF(T322="Easy",2,IF(T322="Medium",1,IF(T322="Hard",-1,0))))-(Y322*2),1),0)</f>
        <v/>
      </c>
      <c r="AA322" s="2">
        <f>IFERROR(IF(S322="Not a fit","Not a Fit",IF(Y322&gt;=5,"High Risk / Needs Review",IF(AND(Z322&gt;=18,T322="Easy"),"Quick Win",IF(AND(Z322&gt;=18,T322&lt;&gt;"Easy"),"Strategic Project",IF(Z322&gt;=10,"Discovery Needed","Process Issue"))))),"")</f>
        <v/>
      </c>
      <c r="AB322" s="2">
        <f>IFERROR(SWITCH(AA322,"Quick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2" s="2" t="n"/>
      <c r="AD322" s="2" t="n"/>
      <c r="AE322" s="2" t="n"/>
    </row>
    <row r="323" ht="25" customHeight="1">
      <c r="A323" s="3" t="n"/>
      <c r="B323" s="3">
        <f>IFERROR(XLOOKUP(A323,'Intake Responses'!$A:$A,'Intake Responses'!$E:$E),"")</f>
        <v/>
      </c>
      <c r="C323" s="3">
        <f>IFERROR(XLOOKUP(A323,'Intake Responses'!$A:$A,'Intake Responses'!$D:$D),"")</f>
        <v/>
      </c>
      <c r="D323" s="3">
        <f>IFERROR(XLOOKUP(A323,'Intake Responses'!$A:$A,'Intake Responses'!$F:$F),"")</f>
        <v/>
      </c>
      <c r="E323" s="3" t="n"/>
      <c r="F323" s="3">
        <f>IFERROR(XLOOKUP(A323,'Intake Responses'!$A:$A,'Intake Responses'!$M:$M),"")</f>
        <v/>
      </c>
      <c r="G323" s="3">
        <f>IFERROR(XLOOKUP(A323,'Intake Responses'!$A:$A,'Intake Responses'!$N:$N),"")</f>
        <v/>
      </c>
      <c r="H323" s="3">
        <f>IFERROR(XLOOKUP(A323,'Intake Responses'!$A:$A,'Intake Responses'!$O:$O),"")</f>
        <v/>
      </c>
      <c r="I323" s="3">
        <f>IFERROR(SWITCH(F323,"Multiple times per day",60,"Daily",20,"Weekly",4,"Monthly",1,"Quarterly",0.33,"Ad hoc",0.5,"Unknown",0),0)</f>
        <v/>
      </c>
      <c r="J323" s="3">
        <f>IFERROR((G323*H323*I323)/60,0)</f>
        <v/>
      </c>
      <c r="K323" s="3">
        <f>IFERROR(J323*12,0)</f>
        <v/>
      </c>
      <c r="L323" s="3">
        <f>IFERROR(XLOOKUP(A323,'Intake Responses'!$A:$A,'Intake Responses'!$T:$T),"")</f>
        <v/>
      </c>
      <c r="M323" s="3">
        <f>IFERROR(XLOOKUP(A323,'Intake Responses'!$A:$A,'Intake Responses'!$U:$U),"")</f>
        <v/>
      </c>
      <c r="N323" s="3">
        <f>IFERROR(XLOOKUP(A323,'Intake Responses'!$A:$A,'Intake Responses'!$V:$V),"")</f>
        <v/>
      </c>
      <c r="O323" s="3">
        <f>IFERROR(XLOOKUP(A323,'Intake Responses'!$A:$A,'Intake Responses'!$W:$W),"")</f>
        <v/>
      </c>
      <c r="P323" s="3">
        <f>IFERROR(XLOOKUP(A323,'Intake Responses'!$A:$A,'Intake Responses'!$X:$X),"")</f>
        <v/>
      </c>
      <c r="Q323" s="3">
        <f>IFERROR(XLOOKUP(A323,'Intake Responses'!$A:$A,'Intake Responses'!$AF:$AF),"")</f>
        <v/>
      </c>
      <c r="R323" s="3">
        <f>IFERROR(XLOOKUP(A323,'Intake Responses'!$A:$A,'Intake Responses'!$S:$S),"")</f>
        <v/>
      </c>
      <c r="S323" s="3" t="n"/>
      <c r="T323" s="3" t="n"/>
      <c r="U323" s="3" t="n"/>
      <c r="V323" s="3">
        <f>IFERROR(MIN(5,ROUND(((M323+O323)/2)+(IF(J323&gt;=20,2,IF(J323&gt;=10,1.5,IF(J323&gt;=5,1,IF(J323&gt;=1,0.5,0))))),1)),0)</f>
        <v/>
      </c>
      <c r="W323" s="3">
        <f>IFERROR(SWITCH(F323,"Multiple times per day",5,"Daily",4,"Weekly",3,"Monthly",2,"Quarterly",1,"Ad hoc",1,"Unknown",0),0)</f>
        <v/>
      </c>
      <c r="X323" s="3">
        <f>IFERROR(ROUND(AVERAGE(L323,N323),1),0)</f>
        <v/>
      </c>
      <c r="Y323" s="3">
        <f>IFERROR(SWITCH(U323,"High",3,"Medium",2,"Low",0,"Unknown",1,1)+IF(Q323="Yes",2,IF(Q323="Unsure",1,0)),0)</f>
        <v/>
      </c>
      <c r="Z323" s="3">
        <f>IFERROR(ROUND((V323*2)+(W323*1)+(X323*2)+(IF(T323="Easy",2,IF(T323="Medium",1,IF(T323="Hard",-1,0))))-(Y323*2),1),0)</f>
        <v/>
      </c>
      <c r="AA323" s="3">
        <f>IFERROR(IF(S323="Not a fit","Not a Fit",IF(Y323&gt;=5,"High Risk / Needs Review",IF(AND(Z323&gt;=18,T323="Easy"),"Quick Win",IF(AND(Z323&gt;=18,T323&lt;&gt;"Easy"),"Strategic Project",IF(Z323&gt;=10,"Discovery Needed","Process Issue"))))),"")</f>
        <v/>
      </c>
      <c r="AB323" s="3">
        <f>IFERROR(SWITCH(AA323,"Quick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3" s="3" t="n"/>
      <c r="AD323" s="3" t="n"/>
      <c r="AE323" s="3" t="n"/>
    </row>
    <row r="324" ht="25" customHeight="1">
      <c r="A324" s="2" t="n"/>
      <c r="B324" s="2">
        <f>IFERROR(XLOOKUP(A324,'Intake Responses'!$A:$A,'Intake Responses'!$E:$E),"")</f>
        <v/>
      </c>
      <c r="C324" s="2">
        <f>IFERROR(XLOOKUP(A324,'Intake Responses'!$A:$A,'Intake Responses'!$D:$D),"")</f>
        <v/>
      </c>
      <c r="D324" s="2">
        <f>IFERROR(XLOOKUP(A324,'Intake Responses'!$A:$A,'Intake Responses'!$F:$F),"")</f>
        <v/>
      </c>
      <c r="E324" s="2" t="n"/>
      <c r="F324" s="2">
        <f>IFERROR(XLOOKUP(A324,'Intake Responses'!$A:$A,'Intake Responses'!$M:$M),"")</f>
        <v/>
      </c>
      <c r="G324" s="2">
        <f>IFERROR(XLOOKUP(A324,'Intake Responses'!$A:$A,'Intake Responses'!$N:$N),"")</f>
        <v/>
      </c>
      <c r="H324" s="2">
        <f>IFERROR(XLOOKUP(A324,'Intake Responses'!$A:$A,'Intake Responses'!$O:$O),"")</f>
        <v/>
      </c>
      <c r="I324" s="2">
        <f>IFERROR(SWITCH(F324,"Multiple times per day",60,"Daily",20,"Weekly",4,"Monthly",1,"Quarterly",0.33,"Ad hoc",0.5,"Unknown",0),0)</f>
        <v/>
      </c>
      <c r="J324" s="2">
        <f>IFERROR((G324*H324*I324)/60,0)</f>
        <v/>
      </c>
      <c r="K324" s="2">
        <f>IFERROR(J324*12,0)</f>
        <v/>
      </c>
      <c r="L324" s="2">
        <f>IFERROR(XLOOKUP(A324,'Intake Responses'!$A:$A,'Intake Responses'!$T:$T),"")</f>
        <v/>
      </c>
      <c r="M324" s="2">
        <f>IFERROR(XLOOKUP(A324,'Intake Responses'!$A:$A,'Intake Responses'!$U:$U),"")</f>
        <v/>
      </c>
      <c r="N324" s="2">
        <f>IFERROR(XLOOKUP(A324,'Intake Responses'!$A:$A,'Intake Responses'!$V:$V),"")</f>
        <v/>
      </c>
      <c r="O324" s="2">
        <f>IFERROR(XLOOKUP(A324,'Intake Responses'!$A:$A,'Intake Responses'!$W:$W),"")</f>
        <v/>
      </c>
      <c r="P324" s="2">
        <f>IFERROR(XLOOKUP(A324,'Intake Responses'!$A:$A,'Intake Responses'!$X:$X),"")</f>
        <v/>
      </c>
      <c r="Q324" s="2">
        <f>IFERROR(XLOOKUP(A324,'Intake Responses'!$A:$A,'Intake Responses'!$AF:$AF),"")</f>
        <v/>
      </c>
      <c r="R324" s="2">
        <f>IFERROR(XLOOKUP(A324,'Intake Responses'!$A:$A,'Intake Responses'!$S:$S),"")</f>
        <v/>
      </c>
      <c r="S324" s="2" t="n"/>
      <c r="T324" s="2" t="n"/>
      <c r="U324" s="2" t="n"/>
      <c r="V324" s="2">
        <f>IFERROR(MIN(5,ROUND(((M324+O324)/2)+(IF(J324&gt;=20,2,IF(J324&gt;=10,1.5,IF(J324&gt;=5,1,IF(J324&gt;=1,0.5,0))))),1)),0)</f>
        <v/>
      </c>
      <c r="W324" s="2">
        <f>IFERROR(SWITCH(F324,"Multiple times per day",5,"Daily",4,"Weekly",3,"Monthly",2,"Quarterly",1,"Ad hoc",1,"Unknown",0),0)</f>
        <v/>
      </c>
      <c r="X324" s="2">
        <f>IFERROR(ROUND(AVERAGE(L324,N324),1),0)</f>
        <v/>
      </c>
      <c r="Y324" s="2">
        <f>IFERROR(SWITCH(U324,"High",3,"Medium",2,"Low",0,"Unknown",1,1)+IF(Q324="Yes",2,IF(Q324="Unsure",1,0)),0)</f>
        <v/>
      </c>
      <c r="Z324" s="2">
        <f>IFERROR(ROUND((V324*2)+(W324*1)+(X324*2)+(IF(T324="Easy",2,IF(T324="Medium",1,IF(T324="Hard",-1,0))))-(Y324*2),1),0)</f>
        <v/>
      </c>
      <c r="AA324" s="2">
        <f>IFERROR(IF(S324="Not a fit","Not a Fit",IF(Y324&gt;=5,"High Risk / Needs Review",IF(AND(Z324&gt;=18,T324="Easy"),"Quick Win",IF(AND(Z324&gt;=18,T324&lt;&gt;"Easy"),"Strategic Project",IF(Z324&gt;=10,"Discovery Needed","Process Issue"))))),"")</f>
        <v/>
      </c>
      <c r="AB324" s="2">
        <f>IFERROR(SWITCH(AA324,"Quick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4" s="2" t="n"/>
      <c r="AD324" s="2" t="n"/>
      <c r="AE324" s="2" t="n"/>
    </row>
    <row r="325" ht="25" customHeight="1">
      <c r="A325" s="3" t="n"/>
      <c r="B325" s="3">
        <f>IFERROR(XLOOKUP(A325,'Intake Responses'!$A:$A,'Intake Responses'!$E:$E),"")</f>
        <v/>
      </c>
      <c r="C325" s="3">
        <f>IFERROR(XLOOKUP(A325,'Intake Responses'!$A:$A,'Intake Responses'!$D:$D),"")</f>
        <v/>
      </c>
      <c r="D325" s="3">
        <f>IFERROR(XLOOKUP(A325,'Intake Responses'!$A:$A,'Intake Responses'!$F:$F),"")</f>
        <v/>
      </c>
      <c r="E325" s="3" t="n"/>
      <c r="F325" s="3">
        <f>IFERROR(XLOOKUP(A325,'Intake Responses'!$A:$A,'Intake Responses'!$M:$M),"")</f>
        <v/>
      </c>
      <c r="G325" s="3">
        <f>IFERROR(XLOOKUP(A325,'Intake Responses'!$A:$A,'Intake Responses'!$N:$N),"")</f>
        <v/>
      </c>
      <c r="H325" s="3">
        <f>IFERROR(XLOOKUP(A325,'Intake Responses'!$A:$A,'Intake Responses'!$O:$O),"")</f>
        <v/>
      </c>
      <c r="I325" s="3">
        <f>IFERROR(SWITCH(F325,"Multiple times per day",60,"Daily",20,"Weekly",4,"Monthly",1,"Quarterly",0.33,"Ad hoc",0.5,"Unknown",0),0)</f>
        <v/>
      </c>
      <c r="J325" s="3">
        <f>IFERROR((G325*H325*I325)/60,0)</f>
        <v/>
      </c>
      <c r="K325" s="3">
        <f>IFERROR(J325*12,0)</f>
        <v/>
      </c>
      <c r="L325" s="3">
        <f>IFERROR(XLOOKUP(A325,'Intake Responses'!$A:$A,'Intake Responses'!$T:$T),"")</f>
        <v/>
      </c>
      <c r="M325" s="3">
        <f>IFERROR(XLOOKUP(A325,'Intake Responses'!$A:$A,'Intake Responses'!$U:$U),"")</f>
        <v/>
      </c>
      <c r="N325" s="3">
        <f>IFERROR(XLOOKUP(A325,'Intake Responses'!$A:$A,'Intake Responses'!$V:$V),"")</f>
        <v/>
      </c>
      <c r="O325" s="3">
        <f>IFERROR(XLOOKUP(A325,'Intake Responses'!$A:$A,'Intake Responses'!$W:$W),"")</f>
        <v/>
      </c>
      <c r="P325" s="3">
        <f>IFERROR(XLOOKUP(A325,'Intake Responses'!$A:$A,'Intake Responses'!$X:$X),"")</f>
        <v/>
      </c>
      <c r="Q325" s="3">
        <f>IFERROR(XLOOKUP(A325,'Intake Responses'!$A:$A,'Intake Responses'!$AF:$AF),"")</f>
        <v/>
      </c>
      <c r="R325" s="3">
        <f>IFERROR(XLOOKUP(A325,'Intake Responses'!$A:$A,'Intake Responses'!$S:$S),"")</f>
        <v/>
      </c>
      <c r="S325" s="3" t="n"/>
      <c r="T325" s="3" t="n"/>
      <c r="U325" s="3" t="n"/>
      <c r="V325" s="3">
        <f>IFERROR(MIN(5,ROUND(((M325+O325)/2)+(IF(J325&gt;=20,2,IF(J325&gt;=10,1.5,IF(J325&gt;=5,1,IF(J325&gt;=1,0.5,0))))),1)),0)</f>
        <v/>
      </c>
      <c r="W325" s="3">
        <f>IFERROR(SWITCH(F325,"Multiple times per day",5,"Daily",4,"Weekly",3,"Monthly",2,"Quarterly",1,"Ad hoc",1,"Unknown",0),0)</f>
        <v/>
      </c>
      <c r="X325" s="3">
        <f>IFERROR(ROUND(AVERAGE(L325,N325),1),0)</f>
        <v/>
      </c>
      <c r="Y325" s="3">
        <f>IFERROR(SWITCH(U325,"High",3,"Medium",2,"Low",0,"Unknown",1,1)+IF(Q325="Yes",2,IF(Q325="Unsure",1,0)),0)</f>
        <v/>
      </c>
      <c r="Z325" s="3">
        <f>IFERROR(ROUND((V325*2)+(W325*1)+(X325*2)+(IF(T325="Easy",2,IF(T325="Medium",1,IF(T325="Hard",-1,0))))-(Y325*2),1),0)</f>
        <v/>
      </c>
      <c r="AA325" s="3">
        <f>IFERROR(IF(S325="Not a fit","Not a Fit",IF(Y325&gt;=5,"High Risk / Needs Review",IF(AND(Z325&gt;=18,T325="Easy"),"Quick Win",IF(AND(Z325&gt;=18,T325&lt;&gt;"Easy"),"Strategic Project",IF(Z325&gt;=10,"Discovery Needed","Process Issue"))))),"")</f>
        <v/>
      </c>
      <c r="AB325" s="3">
        <f>IFERROR(SWITCH(AA325,"Quick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5" s="3" t="n"/>
      <c r="AD325" s="3" t="n"/>
      <c r="AE325" s="3" t="n"/>
    </row>
    <row r="326" ht="25" customHeight="1">
      <c r="A326" s="2" t="n"/>
      <c r="B326" s="2">
        <f>IFERROR(XLOOKUP(A326,'Intake Responses'!$A:$A,'Intake Responses'!$E:$E),"")</f>
        <v/>
      </c>
      <c r="C326" s="2">
        <f>IFERROR(XLOOKUP(A326,'Intake Responses'!$A:$A,'Intake Responses'!$D:$D),"")</f>
        <v/>
      </c>
      <c r="D326" s="2">
        <f>IFERROR(XLOOKUP(A326,'Intake Responses'!$A:$A,'Intake Responses'!$F:$F),"")</f>
        <v/>
      </c>
      <c r="E326" s="2" t="n"/>
      <c r="F326" s="2">
        <f>IFERROR(XLOOKUP(A326,'Intake Responses'!$A:$A,'Intake Responses'!$M:$M),"")</f>
        <v/>
      </c>
      <c r="G326" s="2">
        <f>IFERROR(XLOOKUP(A326,'Intake Responses'!$A:$A,'Intake Responses'!$N:$N),"")</f>
        <v/>
      </c>
      <c r="H326" s="2">
        <f>IFERROR(XLOOKUP(A326,'Intake Responses'!$A:$A,'Intake Responses'!$O:$O),"")</f>
        <v/>
      </c>
      <c r="I326" s="2">
        <f>IFERROR(SWITCH(F326,"Multiple times per day",60,"Daily",20,"Weekly",4,"Monthly",1,"Quarterly",0.33,"Ad hoc",0.5,"Unknown",0),0)</f>
        <v/>
      </c>
      <c r="J326" s="2">
        <f>IFERROR((G326*H326*I326)/60,0)</f>
        <v/>
      </c>
      <c r="K326" s="2">
        <f>IFERROR(J326*12,0)</f>
        <v/>
      </c>
      <c r="L326" s="2">
        <f>IFERROR(XLOOKUP(A326,'Intake Responses'!$A:$A,'Intake Responses'!$T:$T),"")</f>
        <v/>
      </c>
      <c r="M326" s="2">
        <f>IFERROR(XLOOKUP(A326,'Intake Responses'!$A:$A,'Intake Responses'!$U:$U),"")</f>
        <v/>
      </c>
      <c r="N326" s="2">
        <f>IFERROR(XLOOKUP(A326,'Intake Responses'!$A:$A,'Intake Responses'!$V:$V),"")</f>
        <v/>
      </c>
      <c r="O326" s="2">
        <f>IFERROR(XLOOKUP(A326,'Intake Responses'!$A:$A,'Intake Responses'!$W:$W),"")</f>
        <v/>
      </c>
      <c r="P326" s="2">
        <f>IFERROR(XLOOKUP(A326,'Intake Responses'!$A:$A,'Intake Responses'!$X:$X),"")</f>
        <v/>
      </c>
      <c r="Q326" s="2">
        <f>IFERROR(XLOOKUP(A326,'Intake Responses'!$A:$A,'Intake Responses'!$AF:$AF),"")</f>
        <v/>
      </c>
      <c r="R326" s="2">
        <f>IFERROR(XLOOKUP(A326,'Intake Responses'!$A:$A,'Intake Responses'!$S:$S),"")</f>
        <v/>
      </c>
      <c r="S326" s="2" t="n"/>
      <c r="T326" s="2" t="n"/>
      <c r="U326" s="2" t="n"/>
      <c r="V326" s="2">
        <f>IFERROR(MIN(5,ROUND(((M326+O326)/2)+(IF(J326&gt;=20,2,IF(J326&gt;=10,1.5,IF(J326&gt;=5,1,IF(J326&gt;=1,0.5,0))))),1)),0)</f>
        <v/>
      </c>
      <c r="W326" s="2">
        <f>IFERROR(SWITCH(F326,"Multiple times per day",5,"Daily",4,"Weekly",3,"Monthly",2,"Quarterly",1,"Ad hoc",1,"Unknown",0),0)</f>
        <v/>
      </c>
      <c r="X326" s="2">
        <f>IFERROR(ROUND(AVERAGE(L326,N326),1),0)</f>
        <v/>
      </c>
      <c r="Y326" s="2">
        <f>IFERROR(SWITCH(U326,"High",3,"Medium",2,"Low",0,"Unknown",1,1)+IF(Q326="Yes",2,IF(Q326="Unsure",1,0)),0)</f>
        <v/>
      </c>
      <c r="Z326" s="2">
        <f>IFERROR(ROUND((V326*2)+(W326*1)+(X326*2)+(IF(T326="Easy",2,IF(T326="Medium",1,IF(T326="Hard",-1,0))))-(Y326*2),1),0)</f>
        <v/>
      </c>
      <c r="AA326" s="2">
        <f>IFERROR(IF(S326="Not a fit","Not a Fit",IF(Y326&gt;=5,"High Risk / Needs Review",IF(AND(Z326&gt;=18,T326="Easy"),"Quick Win",IF(AND(Z326&gt;=18,T326&lt;&gt;"Easy"),"Strategic Project",IF(Z326&gt;=10,"Discovery Needed","Process Issue"))))),"")</f>
        <v/>
      </c>
      <c r="AB326" s="2">
        <f>IFERROR(SWITCH(AA326,"Quick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6" s="2" t="n"/>
      <c r="AD326" s="2" t="n"/>
      <c r="AE326" s="2" t="n"/>
    </row>
    <row r="327" ht="25" customHeight="1">
      <c r="A327" s="3" t="n"/>
      <c r="B327" s="3">
        <f>IFERROR(XLOOKUP(A327,'Intake Responses'!$A:$A,'Intake Responses'!$E:$E),"")</f>
        <v/>
      </c>
      <c r="C327" s="3">
        <f>IFERROR(XLOOKUP(A327,'Intake Responses'!$A:$A,'Intake Responses'!$D:$D),"")</f>
        <v/>
      </c>
      <c r="D327" s="3">
        <f>IFERROR(XLOOKUP(A327,'Intake Responses'!$A:$A,'Intake Responses'!$F:$F),"")</f>
        <v/>
      </c>
      <c r="E327" s="3" t="n"/>
      <c r="F327" s="3">
        <f>IFERROR(XLOOKUP(A327,'Intake Responses'!$A:$A,'Intake Responses'!$M:$M),"")</f>
        <v/>
      </c>
      <c r="G327" s="3">
        <f>IFERROR(XLOOKUP(A327,'Intake Responses'!$A:$A,'Intake Responses'!$N:$N),"")</f>
        <v/>
      </c>
      <c r="H327" s="3">
        <f>IFERROR(XLOOKUP(A327,'Intake Responses'!$A:$A,'Intake Responses'!$O:$O),"")</f>
        <v/>
      </c>
      <c r="I327" s="3">
        <f>IFERROR(SWITCH(F327,"Multiple times per day",60,"Daily",20,"Weekly",4,"Monthly",1,"Quarterly",0.33,"Ad hoc",0.5,"Unknown",0),0)</f>
        <v/>
      </c>
      <c r="J327" s="3">
        <f>IFERROR((G327*H327*I327)/60,0)</f>
        <v/>
      </c>
      <c r="K327" s="3">
        <f>IFERROR(J327*12,0)</f>
        <v/>
      </c>
      <c r="L327" s="3">
        <f>IFERROR(XLOOKUP(A327,'Intake Responses'!$A:$A,'Intake Responses'!$T:$T),"")</f>
        <v/>
      </c>
      <c r="M327" s="3">
        <f>IFERROR(XLOOKUP(A327,'Intake Responses'!$A:$A,'Intake Responses'!$U:$U),"")</f>
        <v/>
      </c>
      <c r="N327" s="3">
        <f>IFERROR(XLOOKUP(A327,'Intake Responses'!$A:$A,'Intake Responses'!$V:$V),"")</f>
        <v/>
      </c>
      <c r="O327" s="3">
        <f>IFERROR(XLOOKUP(A327,'Intake Responses'!$A:$A,'Intake Responses'!$W:$W),"")</f>
        <v/>
      </c>
      <c r="P327" s="3">
        <f>IFERROR(XLOOKUP(A327,'Intake Responses'!$A:$A,'Intake Responses'!$X:$X),"")</f>
        <v/>
      </c>
      <c r="Q327" s="3">
        <f>IFERROR(XLOOKUP(A327,'Intake Responses'!$A:$A,'Intake Responses'!$AF:$AF),"")</f>
        <v/>
      </c>
      <c r="R327" s="3">
        <f>IFERROR(XLOOKUP(A327,'Intake Responses'!$A:$A,'Intake Responses'!$S:$S),"")</f>
        <v/>
      </c>
      <c r="S327" s="3" t="n"/>
      <c r="T327" s="3" t="n"/>
      <c r="U327" s="3" t="n"/>
      <c r="V327" s="3">
        <f>IFERROR(MIN(5,ROUND(((M327+O327)/2)+(IF(J327&gt;=20,2,IF(J327&gt;=10,1.5,IF(J327&gt;=5,1,IF(J327&gt;=1,0.5,0))))),1)),0)</f>
        <v/>
      </c>
      <c r="W327" s="3">
        <f>IFERROR(SWITCH(F327,"Multiple times per day",5,"Daily",4,"Weekly",3,"Monthly",2,"Quarterly",1,"Ad hoc",1,"Unknown",0),0)</f>
        <v/>
      </c>
      <c r="X327" s="3">
        <f>IFERROR(ROUND(AVERAGE(L327,N327),1),0)</f>
        <v/>
      </c>
      <c r="Y327" s="3">
        <f>IFERROR(SWITCH(U327,"High",3,"Medium",2,"Low",0,"Unknown",1,1)+IF(Q327="Yes",2,IF(Q327="Unsure",1,0)),0)</f>
        <v/>
      </c>
      <c r="Z327" s="3">
        <f>IFERROR(ROUND((V327*2)+(W327*1)+(X327*2)+(IF(T327="Easy",2,IF(T327="Medium",1,IF(T327="Hard",-1,0))))-(Y327*2),1),0)</f>
        <v/>
      </c>
      <c r="AA327" s="3">
        <f>IFERROR(IF(S327="Not a fit","Not a Fit",IF(Y327&gt;=5,"High Risk / Needs Review",IF(AND(Z327&gt;=18,T327="Easy"),"Quick Win",IF(AND(Z327&gt;=18,T327&lt;&gt;"Easy"),"Strategic Project",IF(Z327&gt;=10,"Discovery Needed","Process Issue"))))),"")</f>
        <v/>
      </c>
      <c r="AB327" s="3">
        <f>IFERROR(SWITCH(AA327,"Quick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7" s="3" t="n"/>
      <c r="AD327" s="3" t="n"/>
      <c r="AE327" s="3" t="n"/>
    </row>
    <row r="328" ht="25" customHeight="1">
      <c r="A328" s="2" t="n"/>
      <c r="B328" s="2">
        <f>IFERROR(XLOOKUP(A328,'Intake Responses'!$A:$A,'Intake Responses'!$E:$E),"")</f>
        <v/>
      </c>
      <c r="C328" s="2">
        <f>IFERROR(XLOOKUP(A328,'Intake Responses'!$A:$A,'Intake Responses'!$D:$D),"")</f>
        <v/>
      </c>
      <c r="D328" s="2">
        <f>IFERROR(XLOOKUP(A328,'Intake Responses'!$A:$A,'Intake Responses'!$F:$F),"")</f>
        <v/>
      </c>
      <c r="E328" s="2" t="n"/>
      <c r="F328" s="2">
        <f>IFERROR(XLOOKUP(A328,'Intake Responses'!$A:$A,'Intake Responses'!$M:$M),"")</f>
        <v/>
      </c>
      <c r="G328" s="2">
        <f>IFERROR(XLOOKUP(A328,'Intake Responses'!$A:$A,'Intake Responses'!$N:$N),"")</f>
        <v/>
      </c>
      <c r="H328" s="2">
        <f>IFERROR(XLOOKUP(A328,'Intake Responses'!$A:$A,'Intake Responses'!$O:$O),"")</f>
        <v/>
      </c>
      <c r="I328" s="2">
        <f>IFERROR(SWITCH(F328,"Multiple times per day",60,"Daily",20,"Weekly",4,"Monthly",1,"Quarterly",0.33,"Ad hoc",0.5,"Unknown",0),0)</f>
        <v/>
      </c>
      <c r="J328" s="2">
        <f>IFERROR((G328*H328*I328)/60,0)</f>
        <v/>
      </c>
      <c r="K328" s="2">
        <f>IFERROR(J328*12,0)</f>
        <v/>
      </c>
      <c r="L328" s="2">
        <f>IFERROR(XLOOKUP(A328,'Intake Responses'!$A:$A,'Intake Responses'!$T:$T),"")</f>
        <v/>
      </c>
      <c r="M328" s="2">
        <f>IFERROR(XLOOKUP(A328,'Intake Responses'!$A:$A,'Intake Responses'!$U:$U),"")</f>
        <v/>
      </c>
      <c r="N328" s="2">
        <f>IFERROR(XLOOKUP(A328,'Intake Responses'!$A:$A,'Intake Responses'!$V:$V),"")</f>
        <v/>
      </c>
      <c r="O328" s="2">
        <f>IFERROR(XLOOKUP(A328,'Intake Responses'!$A:$A,'Intake Responses'!$W:$W),"")</f>
        <v/>
      </c>
      <c r="P328" s="2">
        <f>IFERROR(XLOOKUP(A328,'Intake Responses'!$A:$A,'Intake Responses'!$X:$X),"")</f>
        <v/>
      </c>
      <c r="Q328" s="2">
        <f>IFERROR(XLOOKUP(A328,'Intake Responses'!$A:$A,'Intake Responses'!$AF:$AF),"")</f>
        <v/>
      </c>
      <c r="R328" s="2">
        <f>IFERROR(XLOOKUP(A328,'Intake Responses'!$A:$A,'Intake Responses'!$S:$S),"")</f>
        <v/>
      </c>
      <c r="S328" s="2" t="n"/>
      <c r="T328" s="2" t="n"/>
      <c r="U328" s="2" t="n"/>
      <c r="V328" s="2">
        <f>IFERROR(MIN(5,ROUND(((M328+O328)/2)+(IF(J328&gt;=20,2,IF(J328&gt;=10,1.5,IF(J328&gt;=5,1,IF(J328&gt;=1,0.5,0))))),1)),0)</f>
        <v/>
      </c>
      <c r="W328" s="2">
        <f>IFERROR(SWITCH(F328,"Multiple times per day",5,"Daily",4,"Weekly",3,"Monthly",2,"Quarterly",1,"Ad hoc",1,"Unknown",0),0)</f>
        <v/>
      </c>
      <c r="X328" s="2">
        <f>IFERROR(ROUND(AVERAGE(L328,N328),1),0)</f>
        <v/>
      </c>
      <c r="Y328" s="2">
        <f>IFERROR(SWITCH(U328,"High",3,"Medium",2,"Low",0,"Unknown",1,1)+IF(Q328="Yes",2,IF(Q328="Unsure",1,0)),0)</f>
        <v/>
      </c>
      <c r="Z328" s="2">
        <f>IFERROR(ROUND((V328*2)+(W328*1)+(X328*2)+(IF(T328="Easy",2,IF(T328="Medium",1,IF(T328="Hard",-1,0))))-(Y328*2),1),0)</f>
        <v/>
      </c>
      <c r="AA328" s="2">
        <f>IFERROR(IF(S328="Not a fit","Not a Fit",IF(Y328&gt;=5,"High Risk / Needs Review",IF(AND(Z328&gt;=18,T328="Easy"),"Quick Win",IF(AND(Z328&gt;=18,T328&lt;&gt;"Easy"),"Strategic Project",IF(Z328&gt;=10,"Discovery Needed","Process Issue"))))),"")</f>
        <v/>
      </c>
      <c r="AB328" s="2">
        <f>IFERROR(SWITCH(AA328,"Quick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8" s="2" t="n"/>
      <c r="AD328" s="2" t="n"/>
      <c r="AE328" s="2" t="n"/>
    </row>
    <row r="329" ht="25" customHeight="1">
      <c r="A329" s="3" t="n"/>
      <c r="B329" s="3">
        <f>IFERROR(XLOOKUP(A329,'Intake Responses'!$A:$A,'Intake Responses'!$E:$E),"")</f>
        <v/>
      </c>
      <c r="C329" s="3">
        <f>IFERROR(XLOOKUP(A329,'Intake Responses'!$A:$A,'Intake Responses'!$D:$D),"")</f>
        <v/>
      </c>
      <c r="D329" s="3">
        <f>IFERROR(XLOOKUP(A329,'Intake Responses'!$A:$A,'Intake Responses'!$F:$F),"")</f>
        <v/>
      </c>
      <c r="E329" s="3" t="n"/>
      <c r="F329" s="3">
        <f>IFERROR(XLOOKUP(A329,'Intake Responses'!$A:$A,'Intake Responses'!$M:$M),"")</f>
        <v/>
      </c>
      <c r="G329" s="3">
        <f>IFERROR(XLOOKUP(A329,'Intake Responses'!$A:$A,'Intake Responses'!$N:$N),"")</f>
        <v/>
      </c>
      <c r="H329" s="3">
        <f>IFERROR(XLOOKUP(A329,'Intake Responses'!$A:$A,'Intake Responses'!$O:$O),"")</f>
        <v/>
      </c>
      <c r="I329" s="3">
        <f>IFERROR(SWITCH(F329,"Multiple times per day",60,"Daily",20,"Weekly",4,"Monthly",1,"Quarterly",0.33,"Ad hoc",0.5,"Unknown",0),0)</f>
        <v/>
      </c>
      <c r="J329" s="3">
        <f>IFERROR((G329*H329*I329)/60,0)</f>
        <v/>
      </c>
      <c r="K329" s="3">
        <f>IFERROR(J329*12,0)</f>
        <v/>
      </c>
      <c r="L329" s="3">
        <f>IFERROR(XLOOKUP(A329,'Intake Responses'!$A:$A,'Intake Responses'!$T:$T),"")</f>
        <v/>
      </c>
      <c r="M329" s="3">
        <f>IFERROR(XLOOKUP(A329,'Intake Responses'!$A:$A,'Intake Responses'!$U:$U),"")</f>
        <v/>
      </c>
      <c r="N329" s="3">
        <f>IFERROR(XLOOKUP(A329,'Intake Responses'!$A:$A,'Intake Responses'!$V:$V),"")</f>
        <v/>
      </c>
      <c r="O329" s="3">
        <f>IFERROR(XLOOKUP(A329,'Intake Responses'!$A:$A,'Intake Responses'!$W:$W),"")</f>
        <v/>
      </c>
      <c r="P329" s="3">
        <f>IFERROR(XLOOKUP(A329,'Intake Responses'!$A:$A,'Intake Responses'!$X:$X),"")</f>
        <v/>
      </c>
      <c r="Q329" s="3">
        <f>IFERROR(XLOOKUP(A329,'Intake Responses'!$A:$A,'Intake Responses'!$AF:$AF),"")</f>
        <v/>
      </c>
      <c r="R329" s="3">
        <f>IFERROR(XLOOKUP(A329,'Intake Responses'!$A:$A,'Intake Responses'!$S:$S),"")</f>
        <v/>
      </c>
      <c r="S329" s="3" t="n"/>
      <c r="T329" s="3" t="n"/>
      <c r="U329" s="3" t="n"/>
      <c r="V329" s="3">
        <f>IFERROR(MIN(5,ROUND(((M329+O329)/2)+(IF(J329&gt;=20,2,IF(J329&gt;=10,1.5,IF(J329&gt;=5,1,IF(J329&gt;=1,0.5,0))))),1)),0)</f>
        <v/>
      </c>
      <c r="W329" s="3">
        <f>IFERROR(SWITCH(F329,"Multiple times per day",5,"Daily",4,"Weekly",3,"Monthly",2,"Quarterly",1,"Ad hoc",1,"Unknown",0),0)</f>
        <v/>
      </c>
      <c r="X329" s="3">
        <f>IFERROR(ROUND(AVERAGE(L329,N329),1),0)</f>
        <v/>
      </c>
      <c r="Y329" s="3">
        <f>IFERROR(SWITCH(U329,"High",3,"Medium",2,"Low",0,"Unknown",1,1)+IF(Q329="Yes",2,IF(Q329="Unsure",1,0)),0)</f>
        <v/>
      </c>
      <c r="Z329" s="3">
        <f>IFERROR(ROUND((V329*2)+(W329*1)+(X329*2)+(IF(T329="Easy",2,IF(T329="Medium",1,IF(T329="Hard",-1,0))))-(Y329*2),1),0)</f>
        <v/>
      </c>
      <c r="AA329" s="3">
        <f>IFERROR(IF(S329="Not a fit","Not a Fit",IF(Y329&gt;=5,"High Risk / Needs Review",IF(AND(Z329&gt;=18,T329="Easy"),"Quick Win",IF(AND(Z329&gt;=18,T329&lt;&gt;"Easy"),"Strategic Project",IF(Z329&gt;=10,"Discovery Needed","Process Issue"))))),"")</f>
        <v/>
      </c>
      <c r="AB329" s="3">
        <f>IFERROR(SWITCH(AA329,"Quick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29" s="3" t="n"/>
      <c r="AD329" s="3" t="n"/>
      <c r="AE329" s="3" t="n"/>
    </row>
    <row r="330" ht="25" customHeight="1">
      <c r="A330" s="2" t="n"/>
      <c r="B330" s="2">
        <f>IFERROR(XLOOKUP(A330,'Intake Responses'!$A:$A,'Intake Responses'!$E:$E),"")</f>
        <v/>
      </c>
      <c r="C330" s="2">
        <f>IFERROR(XLOOKUP(A330,'Intake Responses'!$A:$A,'Intake Responses'!$D:$D),"")</f>
        <v/>
      </c>
      <c r="D330" s="2">
        <f>IFERROR(XLOOKUP(A330,'Intake Responses'!$A:$A,'Intake Responses'!$F:$F),"")</f>
        <v/>
      </c>
      <c r="E330" s="2" t="n"/>
      <c r="F330" s="2">
        <f>IFERROR(XLOOKUP(A330,'Intake Responses'!$A:$A,'Intake Responses'!$M:$M),"")</f>
        <v/>
      </c>
      <c r="G330" s="2">
        <f>IFERROR(XLOOKUP(A330,'Intake Responses'!$A:$A,'Intake Responses'!$N:$N),"")</f>
        <v/>
      </c>
      <c r="H330" s="2">
        <f>IFERROR(XLOOKUP(A330,'Intake Responses'!$A:$A,'Intake Responses'!$O:$O),"")</f>
        <v/>
      </c>
      <c r="I330" s="2">
        <f>IFERROR(SWITCH(F330,"Multiple times per day",60,"Daily",20,"Weekly",4,"Monthly",1,"Quarterly",0.33,"Ad hoc",0.5,"Unknown",0),0)</f>
        <v/>
      </c>
      <c r="J330" s="2">
        <f>IFERROR((G330*H330*I330)/60,0)</f>
        <v/>
      </c>
      <c r="K330" s="2">
        <f>IFERROR(J330*12,0)</f>
        <v/>
      </c>
      <c r="L330" s="2">
        <f>IFERROR(XLOOKUP(A330,'Intake Responses'!$A:$A,'Intake Responses'!$T:$T),"")</f>
        <v/>
      </c>
      <c r="M330" s="2">
        <f>IFERROR(XLOOKUP(A330,'Intake Responses'!$A:$A,'Intake Responses'!$U:$U),"")</f>
        <v/>
      </c>
      <c r="N330" s="2">
        <f>IFERROR(XLOOKUP(A330,'Intake Responses'!$A:$A,'Intake Responses'!$V:$V),"")</f>
        <v/>
      </c>
      <c r="O330" s="2">
        <f>IFERROR(XLOOKUP(A330,'Intake Responses'!$A:$A,'Intake Responses'!$W:$W),"")</f>
        <v/>
      </c>
      <c r="P330" s="2">
        <f>IFERROR(XLOOKUP(A330,'Intake Responses'!$A:$A,'Intake Responses'!$X:$X),"")</f>
        <v/>
      </c>
      <c r="Q330" s="2">
        <f>IFERROR(XLOOKUP(A330,'Intake Responses'!$A:$A,'Intake Responses'!$AF:$AF),"")</f>
        <v/>
      </c>
      <c r="R330" s="2">
        <f>IFERROR(XLOOKUP(A330,'Intake Responses'!$A:$A,'Intake Responses'!$S:$S),"")</f>
        <v/>
      </c>
      <c r="S330" s="2" t="n"/>
      <c r="T330" s="2" t="n"/>
      <c r="U330" s="2" t="n"/>
      <c r="V330" s="2">
        <f>IFERROR(MIN(5,ROUND(((M330+O330)/2)+(IF(J330&gt;=20,2,IF(J330&gt;=10,1.5,IF(J330&gt;=5,1,IF(J330&gt;=1,0.5,0))))),1)),0)</f>
        <v/>
      </c>
      <c r="W330" s="2">
        <f>IFERROR(SWITCH(F330,"Multiple times per day",5,"Daily",4,"Weekly",3,"Monthly",2,"Quarterly",1,"Ad hoc",1,"Unknown",0),0)</f>
        <v/>
      </c>
      <c r="X330" s="2">
        <f>IFERROR(ROUND(AVERAGE(L330,N330),1),0)</f>
        <v/>
      </c>
      <c r="Y330" s="2">
        <f>IFERROR(SWITCH(U330,"High",3,"Medium",2,"Low",0,"Unknown",1,1)+IF(Q330="Yes",2,IF(Q330="Unsure",1,0)),0)</f>
        <v/>
      </c>
      <c r="Z330" s="2">
        <f>IFERROR(ROUND((V330*2)+(W330*1)+(X330*2)+(IF(T330="Easy",2,IF(T330="Medium",1,IF(T330="Hard",-1,0))))-(Y330*2),1),0)</f>
        <v/>
      </c>
      <c r="AA330" s="2">
        <f>IFERROR(IF(S330="Not a fit","Not a Fit",IF(Y330&gt;=5,"High Risk / Needs Review",IF(AND(Z330&gt;=18,T330="Easy"),"Quick Win",IF(AND(Z330&gt;=18,T330&lt;&gt;"Easy"),"Strategic Project",IF(Z330&gt;=10,"Discovery Needed","Process Issue"))))),"")</f>
        <v/>
      </c>
      <c r="AB330" s="2">
        <f>IFERROR(SWITCH(AA330,"Quick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0" s="2" t="n"/>
      <c r="AD330" s="2" t="n"/>
      <c r="AE330" s="2" t="n"/>
    </row>
    <row r="331" ht="25" customHeight="1">
      <c r="A331" s="3" t="n"/>
      <c r="B331" s="3">
        <f>IFERROR(XLOOKUP(A331,'Intake Responses'!$A:$A,'Intake Responses'!$E:$E),"")</f>
        <v/>
      </c>
      <c r="C331" s="3">
        <f>IFERROR(XLOOKUP(A331,'Intake Responses'!$A:$A,'Intake Responses'!$D:$D),"")</f>
        <v/>
      </c>
      <c r="D331" s="3">
        <f>IFERROR(XLOOKUP(A331,'Intake Responses'!$A:$A,'Intake Responses'!$F:$F),"")</f>
        <v/>
      </c>
      <c r="E331" s="3" t="n"/>
      <c r="F331" s="3">
        <f>IFERROR(XLOOKUP(A331,'Intake Responses'!$A:$A,'Intake Responses'!$M:$M),"")</f>
        <v/>
      </c>
      <c r="G331" s="3">
        <f>IFERROR(XLOOKUP(A331,'Intake Responses'!$A:$A,'Intake Responses'!$N:$N),"")</f>
        <v/>
      </c>
      <c r="H331" s="3">
        <f>IFERROR(XLOOKUP(A331,'Intake Responses'!$A:$A,'Intake Responses'!$O:$O),"")</f>
        <v/>
      </c>
      <c r="I331" s="3">
        <f>IFERROR(SWITCH(F331,"Multiple times per day",60,"Daily",20,"Weekly",4,"Monthly",1,"Quarterly",0.33,"Ad hoc",0.5,"Unknown",0),0)</f>
        <v/>
      </c>
      <c r="J331" s="3">
        <f>IFERROR((G331*H331*I331)/60,0)</f>
        <v/>
      </c>
      <c r="K331" s="3">
        <f>IFERROR(J331*12,0)</f>
        <v/>
      </c>
      <c r="L331" s="3">
        <f>IFERROR(XLOOKUP(A331,'Intake Responses'!$A:$A,'Intake Responses'!$T:$T),"")</f>
        <v/>
      </c>
      <c r="M331" s="3">
        <f>IFERROR(XLOOKUP(A331,'Intake Responses'!$A:$A,'Intake Responses'!$U:$U),"")</f>
        <v/>
      </c>
      <c r="N331" s="3">
        <f>IFERROR(XLOOKUP(A331,'Intake Responses'!$A:$A,'Intake Responses'!$V:$V),"")</f>
        <v/>
      </c>
      <c r="O331" s="3">
        <f>IFERROR(XLOOKUP(A331,'Intake Responses'!$A:$A,'Intake Responses'!$W:$W),"")</f>
        <v/>
      </c>
      <c r="P331" s="3">
        <f>IFERROR(XLOOKUP(A331,'Intake Responses'!$A:$A,'Intake Responses'!$X:$X),"")</f>
        <v/>
      </c>
      <c r="Q331" s="3">
        <f>IFERROR(XLOOKUP(A331,'Intake Responses'!$A:$A,'Intake Responses'!$AF:$AF),"")</f>
        <v/>
      </c>
      <c r="R331" s="3">
        <f>IFERROR(XLOOKUP(A331,'Intake Responses'!$A:$A,'Intake Responses'!$S:$S),"")</f>
        <v/>
      </c>
      <c r="S331" s="3" t="n"/>
      <c r="T331" s="3" t="n"/>
      <c r="U331" s="3" t="n"/>
      <c r="V331" s="3">
        <f>IFERROR(MIN(5,ROUND(((M331+O331)/2)+(IF(J331&gt;=20,2,IF(J331&gt;=10,1.5,IF(J331&gt;=5,1,IF(J331&gt;=1,0.5,0))))),1)),0)</f>
        <v/>
      </c>
      <c r="W331" s="3">
        <f>IFERROR(SWITCH(F331,"Multiple times per day",5,"Daily",4,"Weekly",3,"Monthly",2,"Quarterly",1,"Ad hoc",1,"Unknown",0),0)</f>
        <v/>
      </c>
      <c r="X331" s="3">
        <f>IFERROR(ROUND(AVERAGE(L331,N331),1),0)</f>
        <v/>
      </c>
      <c r="Y331" s="3">
        <f>IFERROR(SWITCH(U331,"High",3,"Medium",2,"Low",0,"Unknown",1,1)+IF(Q331="Yes",2,IF(Q331="Unsure",1,0)),0)</f>
        <v/>
      </c>
      <c r="Z331" s="3">
        <f>IFERROR(ROUND((V331*2)+(W331*1)+(X331*2)+(IF(T331="Easy",2,IF(T331="Medium",1,IF(T331="Hard",-1,0))))-(Y331*2),1),0)</f>
        <v/>
      </c>
      <c r="AA331" s="3">
        <f>IFERROR(IF(S331="Not a fit","Not a Fit",IF(Y331&gt;=5,"High Risk / Needs Review",IF(AND(Z331&gt;=18,T331="Easy"),"Quick Win",IF(AND(Z331&gt;=18,T331&lt;&gt;"Easy"),"Strategic Project",IF(Z331&gt;=10,"Discovery Needed","Process Issue"))))),"")</f>
        <v/>
      </c>
      <c r="AB331" s="3">
        <f>IFERROR(SWITCH(AA331,"Quick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1" s="3" t="n"/>
      <c r="AD331" s="3" t="n"/>
      <c r="AE331" s="3" t="n"/>
    </row>
    <row r="332" ht="25" customHeight="1">
      <c r="A332" s="2" t="n"/>
      <c r="B332" s="2">
        <f>IFERROR(XLOOKUP(A332,'Intake Responses'!$A:$A,'Intake Responses'!$E:$E),"")</f>
        <v/>
      </c>
      <c r="C332" s="2">
        <f>IFERROR(XLOOKUP(A332,'Intake Responses'!$A:$A,'Intake Responses'!$D:$D),"")</f>
        <v/>
      </c>
      <c r="D332" s="2">
        <f>IFERROR(XLOOKUP(A332,'Intake Responses'!$A:$A,'Intake Responses'!$F:$F),"")</f>
        <v/>
      </c>
      <c r="E332" s="2" t="n"/>
      <c r="F332" s="2">
        <f>IFERROR(XLOOKUP(A332,'Intake Responses'!$A:$A,'Intake Responses'!$M:$M),"")</f>
        <v/>
      </c>
      <c r="G332" s="2">
        <f>IFERROR(XLOOKUP(A332,'Intake Responses'!$A:$A,'Intake Responses'!$N:$N),"")</f>
        <v/>
      </c>
      <c r="H332" s="2">
        <f>IFERROR(XLOOKUP(A332,'Intake Responses'!$A:$A,'Intake Responses'!$O:$O),"")</f>
        <v/>
      </c>
      <c r="I332" s="2">
        <f>IFERROR(SWITCH(F332,"Multiple times per day",60,"Daily",20,"Weekly",4,"Monthly",1,"Quarterly",0.33,"Ad hoc",0.5,"Unknown",0),0)</f>
        <v/>
      </c>
      <c r="J332" s="2">
        <f>IFERROR((G332*H332*I332)/60,0)</f>
        <v/>
      </c>
      <c r="K332" s="2">
        <f>IFERROR(J332*12,0)</f>
        <v/>
      </c>
      <c r="L332" s="2">
        <f>IFERROR(XLOOKUP(A332,'Intake Responses'!$A:$A,'Intake Responses'!$T:$T),"")</f>
        <v/>
      </c>
      <c r="M332" s="2">
        <f>IFERROR(XLOOKUP(A332,'Intake Responses'!$A:$A,'Intake Responses'!$U:$U),"")</f>
        <v/>
      </c>
      <c r="N332" s="2">
        <f>IFERROR(XLOOKUP(A332,'Intake Responses'!$A:$A,'Intake Responses'!$V:$V),"")</f>
        <v/>
      </c>
      <c r="O332" s="2">
        <f>IFERROR(XLOOKUP(A332,'Intake Responses'!$A:$A,'Intake Responses'!$W:$W),"")</f>
        <v/>
      </c>
      <c r="P332" s="2">
        <f>IFERROR(XLOOKUP(A332,'Intake Responses'!$A:$A,'Intake Responses'!$X:$X),"")</f>
        <v/>
      </c>
      <c r="Q332" s="2">
        <f>IFERROR(XLOOKUP(A332,'Intake Responses'!$A:$A,'Intake Responses'!$AF:$AF),"")</f>
        <v/>
      </c>
      <c r="R332" s="2">
        <f>IFERROR(XLOOKUP(A332,'Intake Responses'!$A:$A,'Intake Responses'!$S:$S),"")</f>
        <v/>
      </c>
      <c r="S332" s="2" t="n"/>
      <c r="T332" s="2" t="n"/>
      <c r="U332" s="2" t="n"/>
      <c r="V332" s="2">
        <f>IFERROR(MIN(5,ROUND(((M332+O332)/2)+(IF(J332&gt;=20,2,IF(J332&gt;=10,1.5,IF(J332&gt;=5,1,IF(J332&gt;=1,0.5,0))))),1)),0)</f>
        <v/>
      </c>
      <c r="W332" s="2">
        <f>IFERROR(SWITCH(F332,"Multiple times per day",5,"Daily",4,"Weekly",3,"Monthly",2,"Quarterly",1,"Ad hoc",1,"Unknown",0),0)</f>
        <v/>
      </c>
      <c r="X332" s="2">
        <f>IFERROR(ROUND(AVERAGE(L332,N332),1),0)</f>
        <v/>
      </c>
      <c r="Y332" s="2">
        <f>IFERROR(SWITCH(U332,"High",3,"Medium",2,"Low",0,"Unknown",1,1)+IF(Q332="Yes",2,IF(Q332="Unsure",1,0)),0)</f>
        <v/>
      </c>
      <c r="Z332" s="2">
        <f>IFERROR(ROUND((V332*2)+(W332*1)+(X332*2)+(IF(T332="Easy",2,IF(T332="Medium",1,IF(T332="Hard",-1,0))))-(Y332*2),1),0)</f>
        <v/>
      </c>
      <c r="AA332" s="2">
        <f>IFERROR(IF(S332="Not a fit","Not a Fit",IF(Y332&gt;=5,"High Risk / Needs Review",IF(AND(Z332&gt;=18,T332="Easy"),"Quick Win",IF(AND(Z332&gt;=18,T332&lt;&gt;"Easy"),"Strategic Project",IF(Z332&gt;=10,"Discovery Needed","Process Issue"))))),"")</f>
        <v/>
      </c>
      <c r="AB332" s="2">
        <f>IFERROR(SWITCH(AA332,"Quick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2" s="2" t="n"/>
      <c r="AD332" s="2" t="n"/>
      <c r="AE332" s="2" t="n"/>
    </row>
    <row r="333" ht="25" customHeight="1">
      <c r="A333" s="3" t="n"/>
      <c r="B333" s="3">
        <f>IFERROR(XLOOKUP(A333,'Intake Responses'!$A:$A,'Intake Responses'!$E:$E),"")</f>
        <v/>
      </c>
      <c r="C333" s="3">
        <f>IFERROR(XLOOKUP(A333,'Intake Responses'!$A:$A,'Intake Responses'!$D:$D),"")</f>
        <v/>
      </c>
      <c r="D333" s="3">
        <f>IFERROR(XLOOKUP(A333,'Intake Responses'!$A:$A,'Intake Responses'!$F:$F),"")</f>
        <v/>
      </c>
      <c r="E333" s="3" t="n"/>
      <c r="F333" s="3">
        <f>IFERROR(XLOOKUP(A333,'Intake Responses'!$A:$A,'Intake Responses'!$M:$M),"")</f>
        <v/>
      </c>
      <c r="G333" s="3">
        <f>IFERROR(XLOOKUP(A333,'Intake Responses'!$A:$A,'Intake Responses'!$N:$N),"")</f>
        <v/>
      </c>
      <c r="H333" s="3">
        <f>IFERROR(XLOOKUP(A333,'Intake Responses'!$A:$A,'Intake Responses'!$O:$O),"")</f>
        <v/>
      </c>
      <c r="I333" s="3">
        <f>IFERROR(SWITCH(F333,"Multiple times per day",60,"Daily",20,"Weekly",4,"Monthly",1,"Quarterly",0.33,"Ad hoc",0.5,"Unknown",0),0)</f>
        <v/>
      </c>
      <c r="J333" s="3">
        <f>IFERROR((G333*H333*I333)/60,0)</f>
        <v/>
      </c>
      <c r="K333" s="3">
        <f>IFERROR(J333*12,0)</f>
        <v/>
      </c>
      <c r="L333" s="3">
        <f>IFERROR(XLOOKUP(A333,'Intake Responses'!$A:$A,'Intake Responses'!$T:$T),"")</f>
        <v/>
      </c>
      <c r="M333" s="3">
        <f>IFERROR(XLOOKUP(A333,'Intake Responses'!$A:$A,'Intake Responses'!$U:$U),"")</f>
        <v/>
      </c>
      <c r="N333" s="3">
        <f>IFERROR(XLOOKUP(A333,'Intake Responses'!$A:$A,'Intake Responses'!$V:$V),"")</f>
        <v/>
      </c>
      <c r="O333" s="3">
        <f>IFERROR(XLOOKUP(A333,'Intake Responses'!$A:$A,'Intake Responses'!$W:$W),"")</f>
        <v/>
      </c>
      <c r="P333" s="3">
        <f>IFERROR(XLOOKUP(A333,'Intake Responses'!$A:$A,'Intake Responses'!$X:$X),"")</f>
        <v/>
      </c>
      <c r="Q333" s="3">
        <f>IFERROR(XLOOKUP(A333,'Intake Responses'!$A:$A,'Intake Responses'!$AF:$AF),"")</f>
        <v/>
      </c>
      <c r="R333" s="3">
        <f>IFERROR(XLOOKUP(A333,'Intake Responses'!$A:$A,'Intake Responses'!$S:$S),"")</f>
        <v/>
      </c>
      <c r="S333" s="3" t="n"/>
      <c r="T333" s="3" t="n"/>
      <c r="U333" s="3" t="n"/>
      <c r="V333" s="3">
        <f>IFERROR(MIN(5,ROUND(((M333+O333)/2)+(IF(J333&gt;=20,2,IF(J333&gt;=10,1.5,IF(J333&gt;=5,1,IF(J333&gt;=1,0.5,0))))),1)),0)</f>
        <v/>
      </c>
      <c r="W333" s="3">
        <f>IFERROR(SWITCH(F333,"Multiple times per day",5,"Daily",4,"Weekly",3,"Monthly",2,"Quarterly",1,"Ad hoc",1,"Unknown",0),0)</f>
        <v/>
      </c>
      <c r="X333" s="3">
        <f>IFERROR(ROUND(AVERAGE(L333,N333),1),0)</f>
        <v/>
      </c>
      <c r="Y333" s="3">
        <f>IFERROR(SWITCH(U333,"High",3,"Medium",2,"Low",0,"Unknown",1,1)+IF(Q333="Yes",2,IF(Q333="Unsure",1,0)),0)</f>
        <v/>
      </c>
      <c r="Z333" s="3">
        <f>IFERROR(ROUND((V333*2)+(W333*1)+(X333*2)+(IF(T333="Easy",2,IF(T333="Medium",1,IF(T333="Hard",-1,0))))-(Y333*2),1),0)</f>
        <v/>
      </c>
      <c r="AA333" s="3">
        <f>IFERROR(IF(S333="Not a fit","Not a Fit",IF(Y333&gt;=5,"High Risk / Needs Review",IF(AND(Z333&gt;=18,T333="Easy"),"Quick Win",IF(AND(Z333&gt;=18,T333&lt;&gt;"Easy"),"Strategic Project",IF(Z333&gt;=10,"Discovery Needed","Process Issue"))))),"")</f>
        <v/>
      </c>
      <c r="AB333" s="3">
        <f>IFERROR(SWITCH(AA333,"Quick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3" s="3" t="n"/>
      <c r="AD333" s="3" t="n"/>
      <c r="AE333" s="3" t="n"/>
    </row>
    <row r="334" ht="25" customHeight="1">
      <c r="A334" s="2" t="n"/>
      <c r="B334" s="2">
        <f>IFERROR(XLOOKUP(A334,'Intake Responses'!$A:$A,'Intake Responses'!$E:$E),"")</f>
        <v/>
      </c>
      <c r="C334" s="2">
        <f>IFERROR(XLOOKUP(A334,'Intake Responses'!$A:$A,'Intake Responses'!$D:$D),"")</f>
        <v/>
      </c>
      <c r="D334" s="2">
        <f>IFERROR(XLOOKUP(A334,'Intake Responses'!$A:$A,'Intake Responses'!$F:$F),"")</f>
        <v/>
      </c>
      <c r="E334" s="2" t="n"/>
      <c r="F334" s="2">
        <f>IFERROR(XLOOKUP(A334,'Intake Responses'!$A:$A,'Intake Responses'!$M:$M),"")</f>
        <v/>
      </c>
      <c r="G334" s="2">
        <f>IFERROR(XLOOKUP(A334,'Intake Responses'!$A:$A,'Intake Responses'!$N:$N),"")</f>
        <v/>
      </c>
      <c r="H334" s="2">
        <f>IFERROR(XLOOKUP(A334,'Intake Responses'!$A:$A,'Intake Responses'!$O:$O),"")</f>
        <v/>
      </c>
      <c r="I334" s="2">
        <f>IFERROR(SWITCH(F334,"Multiple times per day",60,"Daily",20,"Weekly",4,"Monthly",1,"Quarterly",0.33,"Ad hoc",0.5,"Unknown",0),0)</f>
        <v/>
      </c>
      <c r="J334" s="2">
        <f>IFERROR((G334*H334*I334)/60,0)</f>
        <v/>
      </c>
      <c r="K334" s="2">
        <f>IFERROR(J334*12,0)</f>
        <v/>
      </c>
      <c r="L334" s="2">
        <f>IFERROR(XLOOKUP(A334,'Intake Responses'!$A:$A,'Intake Responses'!$T:$T),"")</f>
        <v/>
      </c>
      <c r="M334" s="2">
        <f>IFERROR(XLOOKUP(A334,'Intake Responses'!$A:$A,'Intake Responses'!$U:$U),"")</f>
        <v/>
      </c>
      <c r="N334" s="2">
        <f>IFERROR(XLOOKUP(A334,'Intake Responses'!$A:$A,'Intake Responses'!$V:$V),"")</f>
        <v/>
      </c>
      <c r="O334" s="2">
        <f>IFERROR(XLOOKUP(A334,'Intake Responses'!$A:$A,'Intake Responses'!$W:$W),"")</f>
        <v/>
      </c>
      <c r="P334" s="2">
        <f>IFERROR(XLOOKUP(A334,'Intake Responses'!$A:$A,'Intake Responses'!$X:$X),"")</f>
        <v/>
      </c>
      <c r="Q334" s="2">
        <f>IFERROR(XLOOKUP(A334,'Intake Responses'!$A:$A,'Intake Responses'!$AF:$AF),"")</f>
        <v/>
      </c>
      <c r="R334" s="2">
        <f>IFERROR(XLOOKUP(A334,'Intake Responses'!$A:$A,'Intake Responses'!$S:$S),"")</f>
        <v/>
      </c>
      <c r="S334" s="2" t="n"/>
      <c r="T334" s="2" t="n"/>
      <c r="U334" s="2" t="n"/>
      <c r="V334" s="2">
        <f>IFERROR(MIN(5,ROUND(((M334+O334)/2)+(IF(J334&gt;=20,2,IF(J334&gt;=10,1.5,IF(J334&gt;=5,1,IF(J334&gt;=1,0.5,0))))),1)),0)</f>
        <v/>
      </c>
      <c r="W334" s="2">
        <f>IFERROR(SWITCH(F334,"Multiple times per day",5,"Daily",4,"Weekly",3,"Monthly",2,"Quarterly",1,"Ad hoc",1,"Unknown",0),0)</f>
        <v/>
      </c>
      <c r="X334" s="2">
        <f>IFERROR(ROUND(AVERAGE(L334,N334),1),0)</f>
        <v/>
      </c>
      <c r="Y334" s="2">
        <f>IFERROR(SWITCH(U334,"High",3,"Medium",2,"Low",0,"Unknown",1,1)+IF(Q334="Yes",2,IF(Q334="Unsure",1,0)),0)</f>
        <v/>
      </c>
      <c r="Z334" s="2">
        <f>IFERROR(ROUND((V334*2)+(W334*1)+(X334*2)+(IF(T334="Easy",2,IF(T334="Medium",1,IF(T334="Hard",-1,0))))-(Y334*2),1),0)</f>
        <v/>
      </c>
      <c r="AA334" s="2">
        <f>IFERROR(IF(S334="Not a fit","Not a Fit",IF(Y334&gt;=5,"High Risk / Needs Review",IF(AND(Z334&gt;=18,T334="Easy"),"Quick Win",IF(AND(Z334&gt;=18,T334&lt;&gt;"Easy"),"Strategic Project",IF(Z334&gt;=10,"Discovery Needed","Process Issue"))))),"")</f>
        <v/>
      </c>
      <c r="AB334" s="2">
        <f>IFERROR(SWITCH(AA334,"Quick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4" s="2" t="n"/>
      <c r="AD334" s="2" t="n"/>
      <c r="AE334" s="2" t="n"/>
    </row>
    <row r="335" ht="25" customHeight="1">
      <c r="A335" s="3" t="n"/>
      <c r="B335" s="3">
        <f>IFERROR(XLOOKUP(A335,'Intake Responses'!$A:$A,'Intake Responses'!$E:$E),"")</f>
        <v/>
      </c>
      <c r="C335" s="3">
        <f>IFERROR(XLOOKUP(A335,'Intake Responses'!$A:$A,'Intake Responses'!$D:$D),"")</f>
        <v/>
      </c>
      <c r="D335" s="3">
        <f>IFERROR(XLOOKUP(A335,'Intake Responses'!$A:$A,'Intake Responses'!$F:$F),"")</f>
        <v/>
      </c>
      <c r="E335" s="3" t="n"/>
      <c r="F335" s="3">
        <f>IFERROR(XLOOKUP(A335,'Intake Responses'!$A:$A,'Intake Responses'!$M:$M),"")</f>
        <v/>
      </c>
      <c r="G335" s="3">
        <f>IFERROR(XLOOKUP(A335,'Intake Responses'!$A:$A,'Intake Responses'!$N:$N),"")</f>
        <v/>
      </c>
      <c r="H335" s="3">
        <f>IFERROR(XLOOKUP(A335,'Intake Responses'!$A:$A,'Intake Responses'!$O:$O),"")</f>
        <v/>
      </c>
      <c r="I335" s="3">
        <f>IFERROR(SWITCH(F335,"Multiple times per day",60,"Daily",20,"Weekly",4,"Monthly",1,"Quarterly",0.33,"Ad hoc",0.5,"Unknown",0),0)</f>
        <v/>
      </c>
      <c r="J335" s="3">
        <f>IFERROR((G335*H335*I335)/60,0)</f>
        <v/>
      </c>
      <c r="K335" s="3">
        <f>IFERROR(J335*12,0)</f>
        <v/>
      </c>
      <c r="L335" s="3">
        <f>IFERROR(XLOOKUP(A335,'Intake Responses'!$A:$A,'Intake Responses'!$T:$T),"")</f>
        <v/>
      </c>
      <c r="M335" s="3">
        <f>IFERROR(XLOOKUP(A335,'Intake Responses'!$A:$A,'Intake Responses'!$U:$U),"")</f>
        <v/>
      </c>
      <c r="N335" s="3">
        <f>IFERROR(XLOOKUP(A335,'Intake Responses'!$A:$A,'Intake Responses'!$V:$V),"")</f>
        <v/>
      </c>
      <c r="O335" s="3">
        <f>IFERROR(XLOOKUP(A335,'Intake Responses'!$A:$A,'Intake Responses'!$W:$W),"")</f>
        <v/>
      </c>
      <c r="P335" s="3">
        <f>IFERROR(XLOOKUP(A335,'Intake Responses'!$A:$A,'Intake Responses'!$X:$X),"")</f>
        <v/>
      </c>
      <c r="Q335" s="3">
        <f>IFERROR(XLOOKUP(A335,'Intake Responses'!$A:$A,'Intake Responses'!$AF:$AF),"")</f>
        <v/>
      </c>
      <c r="R335" s="3">
        <f>IFERROR(XLOOKUP(A335,'Intake Responses'!$A:$A,'Intake Responses'!$S:$S),"")</f>
        <v/>
      </c>
      <c r="S335" s="3" t="n"/>
      <c r="T335" s="3" t="n"/>
      <c r="U335" s="3" t="n"/>
      <c r="V335" s="3">
        <f>IFERROR(MIN(5,ROUND(((M335+O335)/2)+(IF(J335&gt;=20,2,IF(J335&gt;=10,1.5,IF(J335&gt;=5,1,IF(J335&gt;=1,0.5,0))))),1)),0)</f>
        <v/>
      </c>
      <c r="W335" s="3">
        <f>IFERROR(SWITCH(F335,"Multiple times per day",5,"Daily",4,"Weekly",3,"Monthly",2,"Quarterly",1,"Ad hoc",1,"Unknown",0),0)</f>
        <v/>
      </c>
      <c r="X335" s="3">
        <f>IFERROR(ROUND(AVERAGE(L335,N335),1),0)</f>
        <v/>
      </c>
      <c r="Y335" s="3">
        <f>IFERROR(SWITCH(U335,"High",3,"Medium",2,"Low",0,"Unknown",1,1)+IF(Q335="Yes",2,IF(Q335="Unsure",1,0)),0)</f>
        <v/>
      </c>
      <c r="Z335" s="3">
        <f>IFERROR(ROUND((V335*2)+(W335*1)+(X335*2)+(IF(T335="Easy",2,IF(T335="Medium",1,IF(T335="Hard",-1,0))))-(Y335*2),1),0)</f>
        <v/>
      </c>
      <c r="AA335" s="3">
        <f>IFERROR(IF(S335="Not a fit","Not a Fit",IF(Y335&gt;=5,"High Risk / Needs Review",IF(AND(Z335&gt;=18,T335="Easy"),"Quick Win",IF(AND(Z335&gt;=18,T335&lt;&gt;"Easy"),"Strategic Project",IF(Z335&gt;=10,"Discovery Needed","Process Issue"))))),"")</f>
        <v/>
      </c>
      <c r="AB335" s="3">
        <f>IFERROR(SWITCH(AA335,"Quick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5" s="3" t="n"/>
      <c r="AD335" s="3" t="n"/>
      <c r="AE335" s="3" t="n"/>
    </row>
    <row r="336" ht="25" customHeight="1">
      <c r="A336" s="2" t="n"/>
      <c r="B336" s="2">
        <f>IFERROR(XLOOKUP(A336,'Intake Responses'!$A:$A,'Intake Responses'!$E:$E),"")</f>
        <v/>
      </c>
      <c r="C336" s="2">
        <f>IFERROR(XLOOKUP(A336,'Intake Responses'!$A:$A,'Intake Responses'!$D:$D),"")</f>
        <v/>
      </c>
      <c r="D336" s="2">
        <f>IFERROR(XLOOKUP(A336,'Intake Responses'!$A:$A,'Intake Responses'!$F:$F),"")</f>
        <v/>
      </c>
      <c r="E336" s="2" t="n"/>
      <c r="F336" s="2">
        <f>IFERROR(XLOOKUP(A336,'Intake Responses'!$A:$A,'Intake Responses'!$M:$M),"")</f>
        <v/>
      </c>
      <c r="G336" s="2">
        <f>IFERROR(XLOOKUP(A336,'Intake Responses'!$A:$A,'Intake Responses'!$N:$N),"")</f>
        <v/>
      </c>
      <c r="H336" s="2">
        <f>IFERROR(XLOOKUP(A336,'Intake Responses'!$A:$A,'Intake Responses'!$O:$O),"")</f>
        <v/>
      </c>
      <c r="I336" s="2">
        <f>IFERROR(SWITCH(F336,"Multiple times per day",60,"Daily",20,"Weekly",4,"Monthly",1,"Quarterly",0.33,"Ad hoc",0.5,"Unknown",0),0)</f>
        <v/>
      </c>
      <c r="J336" s="2">
        <f>IFERROR((G336*H336*I336)/60,0)</f>
        <v/>
      </c>
      <c r="K336" s="2">
        <f>IFERROR(J336*12,0)</f>
        <v/>
      </c>
      <c r="L336" s="2">
        <f>IFERROR(XLOOKUP(A336,'Intake Responses'!$A:$A,'Intake Responses'!$T:$T),"")</f>
        <v/>
      </c>
      <c r="M336" s="2">
        <f>IFERROR(XLOOKUP(A336,'Intake Responses'!$A:$A,'Intake Responses'!$U:$U),"")</f>
        <v/>
      </c>
      <c r="N336" s="2">
        <f>IFERROR(XLOOKUP(A336,'Intake Responses'!$A:$A,'Intake Responses'!$V:$V),"")</f>
        <v/>
      </c>
      <c r="O336" s="2">
        <f>IFERROR(XLOOKUP(A336,'Intake Responses'!$A:$A,'Intake Responses'!$W:$W),"")</f>
        <v/>
      </c>
      <c r="P336" s="2">
        <f>IFERROR(XLOOKUP(A336,'Intake Responses'!$A:$A,'Intake Responses'!$X:$X),"")</f>
        <v/>
      </c>
      <c r="Q336" s="2">
        <f>IFERROR(XLOOKUP(A336,'Intake Responses'!$A:$A,'Intake Responses'!$AF:$AF),"")</f>
        <v/>
      </c>
      <c r="R336" s="2">
        <f>IFERROR(XLOOKUP(A336,'Intake Responses'!$A:$A,'Intake Responses'!$S:$S),"")</f>
        <v/>
      </c>
      <c r="S336" s="2" t="n"/>
      <c r="T336" s="2" t="n"/>
      <c r="U336" s="2" t="n"/>
      <c r="V336" s="2">
        <f>IFERROR(MIN(5,ROUND(((M336+O336)/2)+(IF(J336&gt;=20,2,IF(J336&gt;=10,1.5,IF(J336&gt;=5,1,IF(J336&gt;=1,0.5,0))))),1)),0)</f>
        <v/>
      </c>
      <c r="W336" s="2">
        <f>IFERROR(SWITCH(F336,"Multiple times per day",5,"Daily",4,"Weekly",3,"Monthly",2,"Quarterly",1,"Ad hoc",1,"Unknown",0),0)</f>
        <v/>
      </c>
      <c r="X336" s="2">
        <f>IFERROR(ROUND(AVERAGE(L336,N336),1),0)</f>
        <v/>
      </c>
      <c r="Y336" s="2">
        <f>IFERROR(SWITCH(U336,"High",3,"Medium",2,"Low",0,"Unknown",1,1)+IF(Q336="Yes",2,IF(Q336="Unsure",1,0)),0)</f>
        <v/>
      </c>
      <c r="Z336" s="2">
        <f>IFERROR(ROUND((V336*2)+(W336*1)+(X336*2)+(IF(T336="Easy",2,IF(T336="Medium",1,IF(T336="Hard",-1,0))))-(Y336*2),1),0)</f>
        <v/>
      </c>
      <c r="AA336" s="2">
        <f>IFERROR(IF(S336="Not a fit","Not a Fit",IF(Y336&gt;=5,"High Risk / Needs Review",IF(AND(Z336&gt;=18,T336="Easy"),"Quick Win",IF(AND(Z336&gt;=18,T336&lt;&gt;"Easy"),"Strategic Project",IF(Z336&gt;=10,"Discovery Needed","Process Issue"))))),"")</f>
        <v/>
      </c>
      <c r="AB336" s="2">
        <f>IFERROR(SWITCH(AA336,"Quick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6" s="2" t="n"/>
      <c r="AD336" s="2" t="n"/>
      <c r="AE336" s="2" t="n"/>
    </row>
    <row r="337" ht="25" customHeight="1">
      <c r="A337" s="3" t="n"/>
      <c r="B337" s="3">
        <f>IFERROR(XLOOKUP(A337,'Intake Responses'!$A:$A,'Intake Responses'!$E:$E),"")</f>
        <v/>
      </c>
      <c r="C337" s="3">
        <f>IFERROR(XLOOKUP(A337,'Intake Responses'!$A:$A,'Intake Responses'!$D:$D),"")</f>
        <v/>
      </c>
      <c r="D337" s="3">
        <f>IFERROR(XLOOKUP(A337,'Intake Responses'!$A:$A,'Intake Responses'!$F:$F),"")</f>
        <v/>
      </c>
      <c r="E337" s="3" t="n"/>
      <c r="F337" s="3">
        <f>IFERROR(XLOOKUP(A337,'Intake Responses'!$A:$A,'Intake Responses'!$M:$M),"")</f>
        <v/>
      </c>
      <c r="G337" s="3">
        <f>IFERROR(XLOOKUP(A337,'Intake Responses'!$A:$A,'Intake Responses'!$N:$N),"")</f>
        <v/>
      </c>
      <c r="H337" s="3">
        <f>IFERROR(XLOOKUP(A337,'Intake Responses'!$A:$A,'Intake Responses'!$O:$O),"")</f>
        <v/>
      </c>
      <c r="I337" s="3">
        <f>IFERROR(SWITCH(F337,"Multiple times per day",60,"Daily",20,"Weekly",4,"Monthly",1,"Quarterly",0.33,"Ad hoc",0.5,"Unknown",0),0)</f>
        <v/>
      </c>
      <c r="J337" s="3">
        <f>IFERROR((G337*H337*I337)/60,0)</f>
        <v/>
      </c>
      <c r="K337" s="3">
        <f>IFERROR(J337*12,0)</f>
        <v/>
      </c>
      <c r="L337" s="3">
        <f>IFERROR(XLOOKUP(A337,'Intake Responses'!$A:$A,'Intake Responses'!$T:$T),"")</f>
        <v/>
      </c>
      <c r="M337" s="3">
        <f>IFERROR(XLOOKUP(A337,'Intake Responses'!$A:$A,'Intake Responses'!$U:$U),"")</f>
        <v/>
      </c>
      <c r="N337" s="3">
        <f>IFERROR(XLOOKUP(A337,'Intake Responses'!$A:$A,'Intake Responses'!$V:$V),"")</f>
        <v/>
      </c>
      <c r="O337" s="3">
        <f>IFERROR(XLOOKUP(A337,'Intake Responses'!$A:$A,'Intake Responses'!$W:$W),"")</f>
        <v/>
      </c>
      <c r="P337" s="3">
        <f>IFERROR(XLOOKUP(A337,'Intake Responses'!$A:$A,'Intake Responses'!$X:$X),"")</f>
        <v/>
      </c>
      <c r="Q337" s="3">
        <f>IFERROR(XLOOKUP(A337,'Intake Responses'!$A:$A,'Intake Responses'!$AF:$AF),"")</f>
        <v/>
      </c>
      <c r="R337" s="3">
        <f>IFERROR(XLOOKUP(A337,'Intake Responses'!$A:$A,'Intake Responses'!$S:$S),"")</f>
        <v/>
      </c>
      <c r="S337" s="3" t="n"/>
      <c r="T337" s="3" t="n"/>
      <c r="U337" s="3" t="n"/>
      <c r="V337" s="3">
        <f>IFERROR(MIN(5,ROUND(((M337+O337)/2)+(IF(J337&gt;=20,2,IF(J337&gt;=10,1.5,IF(J337&gt;=5,1,IF(J337&gt;=1,0.5,0))))),1)),0)</f>
        <v/>
      </c>
      <c r="W337" s="3">
        <f>IFERROR(SWITCH(F337,"Multiple times per day",5,"Daily",4,"Weekly",3,"Monthly",2,"Quarterly",1,"Ad hoc",1,"Unknown",0),0)</f>
        <v/>
      </c>
      <c r="X337" s="3">
        <f>IFERROR(ROUND(AVERAGE(L337,N337),1),0)</f>
        <v/>
      </c>
      <c r="Y337" s="3">
        <f>IFERROR(SWITCH(U337,"High",3,"Medium",2,"Low",0,"Unknown",1,1)+IF(Q337="Yes",2,IF(Q337="Unsure",1,0)),0)</f>
        <v/>
      </c>
      <c r="Z337" s="3">
        <f>IFERROR(ROUND((V337*2)+(W337*1)+(X337*2)+(IF(T337="Easy",2,IF(T337="Medium",1,IF(T337="Hard",-1,0))))-(Y337*2),1),0)</f>
        <v/>
      </c>
      <c r="AA337" s="3">
        <f>IFERROR(IF(S337="Not a fit","Not a Fit",IF(Y337&gt;=5,"High Risk / Needs Review",IF(AND(Z337&gt;=18,T337="Easy"),"Quick Win",IF(AND(Z337&gt;=18,T337&lt;&gt;"Easy"),"Strategic Project",IF(Z337&gt;=10,"Discovery Needed","Process Issue"))))),"")</f>
        <v/>
      </c>
      <c r="AB337" s="3">
        <f>IFERROR(SWITCH(AA337,"Quick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7" s="3" t="n"/>
      <c r="AD337" s="3" t="n"/>
      <c r="AE337" s="3" t="n"/>
    </row>
    <row r="338" ht="25" customHeight="1">
      <c r="A338" s="2" t="n"/>
      <c r="B338" s="2">
        <f>IFERROR(XLOOKUP(A338,'Intake Responses'!$A:$A,'Intake Responses'!$E:$E),"")</f>
        <v/>
      </c>
      <c r="C338" s="2">
        <f>IFERROR(XLOOKUP(A338,'Intake Responses'!$A:$A,'Intake Responses'!$D:$D),"")</f>
        <v/>
      </c>
      <c r="D338" s="2">
        <f>IFERROR(XLOOKUP(A338,'Intake Responses'!$A:$A,'Intake Responses'!$F:$F),"")</f>
        <v/>
      </c>
      <c r="E338" s="2" t="n"/>
      <c r="F338" s="2">
        <f>IFERROR(XLOOKUP(A338,'Intake Responses'!$A:$A,'Intake Responses'!$M:$M),"")</f>
        <v/>
      </c>
      <c r="G338" s="2">
        <f>IFERROR(XLOOKUP(A338,'Intake Responses'!$A:$A,'Intake Responses'!$N:$N),"")</f>
        <v/>
      </c>
      <c r="H338" s="2">
        <f>IFERROR(XLOOKUP(A338,'Intake Responses'!$A:$A,'Intake Responses'!$O:$O),"")</f>
        <v/>
      </c>
      <c r="I338" s="2">
        <f>IFERROR(SWITCH(F338,"Multiple times per day",60,"Daily",20,"Weekly",4,"Monthly",1,"Quarterly",0.33,"Ad hoc",0.5,"Unknown",0),0)</f>
        <v/>
      </c>
      <c r="J338" s="2">
        <f>IFERROR((G338*H338*I338)/60,0)</f>
        <v/>
      </c>
      <c r="K338" s="2">
        <f>IFERROR(J338*12,0)</f>
        <v/>
      </c>
      <c r="L338" s="2">
        <f>IFERROR(XLOOKUP(A338,'Intake Responses'!$A:$A,'Intake Responses'!$T:$T),"")</f>
        <v/>
      </c>
      <c r="M338" s="2">
        <f>IFERROR(XLOOKUP(A338,'Intake Responses'!$A:$A,'Intake Responses'!$U:$U),"")</f>
        <v/>
      </c>
      <c r="N338" s="2">
        <f>IFERROR(XLOOKUP(A338,'Intake Responses'!$A:$A,'Intake Responses'!$V:$V),"")</f>
        <v/>
      </c>
      <c r="O338" s="2">
        <f>IFERROR(XLOOKUP(A338,'Intake Responses'!$A:$A,'Intake Responses'!$W:$W),"")</f>
        <v/>
      </c>
      <c r="P338" s="2">
        <f>IFERROR(XLOOKUP(A338,'Intake Responses'!$A:$A,'Intake Responses'!$X:$X),"")</f>
        <v/>
      </c>
      <c r="Q338" s="2">
        <f>IFERROR(XLOOKUP(A338,'Intake Responses'!$A:$A,'Intake Responses'!$AF:$AF),"")</f>
        <v/>
      </c>
      <c r="R338" s="2">
        <f>IFERROR(XLOOKUP(A338,'Intake Responses'!$A:$A,'Intake Responses'!$S:$S),"")</f>
        <v/>
      </c>
      <c r="S338" s="2" t="n"/>
      <c r="T338" s="2" t="n"/>
      <c r="U338" s="2" t="n"/>
      <c r="V338" s="2">
        <f>IFERROR(MIN(5,ROUND(((M338+O338)/2)+(IF(J338&gt;=20,2,IF(J338&gt;=10,1.5,IF(J338&gt;=5,1,IF(J338&gt;=1,0.5,0))))),1)),0)</f>
        <v/>
      </c>
      <c r="W338" s="2">
        <f>IFERROR(SWITCH(F338,"Multiple times per day",5,"Daily",4,"Weekly",3,"Monthly",2,"Quarterly",1,"Ad hoc",1,"Unknown",0),0)</f>
        <v/>
      </c>
      <c r="X338" s="2">
        <f>IFERROR(ROUND(AVERAGE(L338,N338),1),0)</f>
        <v/>
      </c>
      <c r="Y338" s="2">
        <f>IFERROR(SWITCH(U338,"High",3,"Medium",2,"Low",0,"Unknown",1,1)+IF(Q338="Yes",2,IF(Q338="Unsure",1,0)),0)</f>
        <v/>
      </c>
      <c r="Z338" s="2">
        <f>IFERROR(ROUND((V338*2)+(W338*1)+(X338*2)+(IF(T338="Easy",2,IF(T338="Medium",1,IF(T338="Hard",-1,0))))-(Y338*2),1),0)</f>
        <v/>
      </c>
      <c r="AA338" s="2">
        <f>IFERROR(IF(S338="Not a fit","Not a Fit",IF(Y338&gt;=5,"High Risk / Needs Review",IF(AND(Z338&gt;=18,T338="Easy"),"Quick Win",IF(AND(Z338&gt;=18,T338&lt;&gt;"Easy"),"Strategic Project",IF(Z338&gt;=10,"Discovery Needed","Process Issue"))))),"")</f>
        <v/>
      </c>
      <c r="AB338" s="2">
        <f>IFERROR(SWITCH(AA338,"Quick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8" s="2" t="n"/>
      <c r="AD338" s="2" t="n"/>
      <c r="AE338" s="2" t="n"/>
    </row>
    <row r="339" ht="25" customHeight="1">
      <c r="A339" s="3" t="n"/>
      <c r="B339" s="3">
        <f>IFERROR(XLOOKUP(A339,'Intake Responses'!$A:$A,'Intake Responses'!$E:$E),"")</f>
        <v/>
      </c>
      <c r="C339" s="3">
        <f>IFERROR(XLOOKUP(A339,'Intake Responses'!$A:$A,'Intake Responses'!$D:$D),"")</f>
        <v/>
      </c>
      <c r="D339" s="3">
        <f>IFERROR(XLOOKUP(A339,'Intake Responses'!$A:$A,'Intake Responses'!$F:$F),"")</f>
        <v/>
      </c>
      <c r="E339" s="3" t="n"/>
      <c r="F339" s="3">
        <f>IFERROR(XLOOKUP(A339,'Intake Responses'!$A:$A,'Intake Responses'!$M:$M),"")</f>
        <v/>
      </c>
      <c r="G339" s="3">
        <f>IFERROR(XLOOKUP(A339,'Intake Responses'!$A:$A,'Intake Responses'!$N:$N),"")</f>
        <v/>
      </c>
      <c r="H339" s="3">
        <f>IFERROR(XLOOKUP(A339,'Intake Responses'!$A:$A,'Intake Responses'!$O:$O),"")</f>
        <v/>
      </c>
      <c r="I339" s="3">
        <f>IFERROR(SWITCH(F339,"Multiple times per day",60,"Daily",20,"Weekly",4,"Monthly",1,"Quarterly",0.33,"Ad hoc",0.5,"Unknown",0),0)</f>
        <v/>
      </c>
      <c r="J339" s="3">
        <f>IFERROR((G339*H339*I339)/60,0)</f>
        <v/>
      </c>
      <c r="K339" s="3">
        <f>IFERROR(J339*12,0)</f>
        <v/>
      </c>
      <c r="L339" s="3">
        <f>IFERROR(XLOOKUP(A339,'Intake Responses'!$A:$A,'Intake Responses'!$T:$T),"")</f>
        <v/>
      </c>
      <c r="M339" s="3">
        <f>IFERROR(XLOOKUP(A339,'Intake Responses'!$A:$A,'Intake Responses'!$U:$U),"")</f>
        <v/>
      </c>
      <c r="N339" s="3">
        <f>IFERROR(XLOOKUP(A339,'Intake Responses'!$A:$A,'Intake Responses'!$V:$V),"")</f>
        <v/>
      </c>
      <c r="O339" s="3">
        <f>IFERROR(XLOOKUP(A339,'Intake Responses'!$A:$A,'Intake Responses'!$W:$W),"")</f>
        <v/>
      </c>
      <c r="P339" s="3">
        <f>IFERROR(XLOOKUP(A339,'Intake Responses'!$A:$A,'Intake Responses'!$X:$X),"")</f>
        <v/>
      </c>
      <c r="Q339" s="3">
        <f>IFERROR(XLOOKUP(A339,'Intake Responses'!$A:$A,'Intake Responses'!$AF:$AF),"")</f>
        <v/>
      </c>
      <c r="R339" s="3">
        <f>IFERROR(XLOOKUP(A339,'Intake Responses'!$A:$A,'Intake Responses'!$S:$S),"")</f>
        <v/>
      </c>
      <c r="S339" s="3" t="n"/>
      <c r="T339" s="3" t="n"/>
      <c r="U339" s="3" t="n"/>
      <c r="V339" s="3">
        <f>IFERROR(MIN(5,ROUND(((M339+O339)/2)+(IF(J339&gt;=20,2,IF(J339&gt;=10,1.5,IF(J339&gt;=5,1,IF(J339&gt;=1,0.5,0))))),1)),0)</f>
        <v/>
      </c>
      <c r="W339" s="3">
        <f>IFERROR(SWITCH(F339,"Multiple times per day",5,"Daily",4,"Weekly",3,"Monthly",2,"Quarterly",1,"Ad hoc",1,"Unknown",0),0)</f>
        <v/>
      </c>
      <c r="X339" s="3">
        <f>IFERROR(ROUND(AVERAGE(L339,N339),1),0)</f>
        <v/>
      </c>
      <c r="Y339" s="3">
        <f>IFERROR(SWITCH(U339,"High",3,"Medium",2,"Low",0,"Unknown",1,1)+IF(Q339="Yes",2,IF(Q339="Unsure",1,0)),0)</f>
        <v/>
      </c>
      <c r="Z339" s="3">
        <f>IFERROR(ROUND((V339*2)+(W339*1)+(X339*2)+(IF(T339="Easy",2,IF(T339="Medium",1,IF(T339="Hard",-1,0))))-(Y339*2),1),0)</f>
        <v/>
      </c>
      <c r="AA339" s="3">
        <f>IFERROR(IF(S339="Not a fit","Not a Fit",IF(Y339&gt;=5,"High Risk / Needs Review",IF(AND(Z339&gt;=18,T339="Easy"),"Quick Win",IF(AND(Z339&gt;=18,T339&lt;&gt;"Easy"),"Strategic Project",IF(Z339&gt;=10,"Discovery Needed","Process Issue"))))),"")</f>
        <v/>
      </c>
      <c r="AB339" s="3">
        <f>IFERROR(SWITCH(AA339,"Quick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39" s="3" t="n"/>
      <c r="AD339" s="3" t="n"/>
      <c r="AE339" s="3" t="n"/>
    </row>
    <row r="340" ht="25" customHeight="1">
      <c r="A340" s="2" t="n"/>
      <c r="B340" s="2">
        <f>IFERROR(XLOOKUP(A340,'Intake Responses'!$A:$A,'Intake Responses'!$E:$E),"")</f>
        <v/>
      </c>
      <c r="C340" s="2">
        <f>IFERROR(XLOOKUP(A340,'Intake Responses'!$A:$A,'Intake Responses'!$D:$D),"")</f>
        <v/>
      </c>
      <c r="D340" s="2">
        <f>IFERROR(XLOOKUP(A340,'Intake Responses'!$A:$A,'Intake Responses'!$F:$F),"")</f>
        <v/>
      </c>
      <c r="E340" s="2" t="n"/>
      <c r="F340" s="2">
        <f>IFERROR(XLOOKUP(A340,'Intake Responses'!$A:$A,'Intake Responses'!$M:$M),"")</f>
        <v/>
      </c>
      <c r="G340" s="2">
        <f>IFERROR(XLOOKUP(A340,'Intake Responses'!$A:$A,'Intake Responses'!$N:$N),"")</f>
        <v/>
      </c>
      <c r="H340" s="2">
        <f>IFERROR(XLOOKUP(A340,'Intake Responses'!$A:$A,'Intake Responses'!$O:$O),"")</f>
        <v/>
      </c>
      <c r="I340" s="2">
        <f>IFERROR(SWITCH(F340,"Multiple times per day",60,"Daily",20,"Weekly",4,"Monthly",1,"Quarterly",0.33,"Ad hoc",0.5,"Unknown",0),0)</f>
        <v/>
      </c>
      <c r="J340" s="2">
        <f>IFERROR((G340*H340*I340)/60,0)</f>
        <v/>
      </c>
      <c r="K340" s="2">
        <f>IFERROR(J340*12,0)</f>
        <v/>
      </c>
      <c r="L340" s="2">
        <f>IFERROR(XLOOKUP(A340,'Intake Responses'!$A:$A,'Intake Responses'!$T:$T),"")</f>
        <v/>
      </c>
      <c r="M340" s="2">
        <f>IFERROR(XLOOKUP(A340,'Intake Responses'!$A:$A,'Intake Responses'!$U:$U),"")</f>
        <v/>
      </c>
      <c r="N340" s="2">
        <f>IFERROR(XLOOKUP(A340,'Intake Responses'!$A:$A,'Intake Responses'!$V:$V),"")</f>
        <v/>
      </c>
      <c r="O340" s="2">
        <f>IFERROR(XLOOKUP(A340,'Intake Responses'!$A:$A,'Intake Responses'!$W:$W),"")</f>
        <v/>
      </c>
      <c r="P340" s="2">
        <f>IFERROR(XLOOKUP(A340,'Intake Responses'!$A:$A,'Intake Responses'!$X:$X),"")</f>
        <v/>
      </c>
      <c r="Q340" s="2">
        <f>IFERROR(XLOOKUP(A340,'Intake Responses'!$A:$A,'Intake Responses'!$AF:$AF),"")</f>
        <v/>
      </c>
      <c r="R340" s="2">
        <f>IFERROR(XLOOKUP(A340,'Intake Responses'!$A:$A,'Intake Responses'!$S:$S),"")</f>
        <v/>
      </c>
      <c r="S340" s="2" t="n"/>
      <c r="T340" s="2" t="n"/>
      <c r="U340" s="2" t="n"/>
      <c r="V340" s="2">
        <f>IFERROR(MIN(5,ROUND(((M340+O340)/2)+(IF(J340&gt;=20,2,IF(J340&gt;=10,1.5,IF(J340&gt;=5,1,IF(J340&gt;=1,0.5,0))))),1)),0)</f>
        <v/>
      </c>
      <c r="W340" s="2">
        <f>IFERROR(SWITCH(F340,"Multiple times per day",5,"Daily",4,"Weekly",3,"Monthly",2,"Quarterly",1,"Ad hoc",1,"Unknown",0),0)</f>
        <v/>
      </c>
      <c r="X340" s="2">
        <f>IFERROR(ROUND(AVERAGE(L340,N340),1),0)</f>
        <v/>
      </c>
      <c r="Y340" s="2">
        <f>IFERROR(SWITCH(U340,"High",3,"Medium",2,"Low",0,"Unknown",1,1)+IF(Q340="Yes",2,IF(Q340="Unsure",1,0)),0)</f>
        <v/>
      </c>
      <c r="Z340" s="2">
        <f>IFERROR(ROUND((V340*2)+(W340*1)+(X340*2)+(IF(T340="Easy",2,IF(T340="Medium",1,IF(T340="Hard",-1,0))))-(Y340*2),1),0)</f>
        <v/>
      </c>
      <c r="AA340" s="2">
        <f>IFERROR(IF(S340="Not a fit","Not a Fit",IF(Y340&gt;=5,"High Risk / Needs Review",IF(AND(Z340&gt;=18,T340="Easy"),"Quick Win",IF(AND(Z340&gt;=18,T340&lt;&gt;"Easy"),"Strategic Project",IF(Z340&gt;=10,"Discovery Needed","Process Issue"))))),"")</f>
        <v/>
      </c>
      <c r="AB340" s="2">
        <f>IFERROR(SWITCH(AA340,"Quick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0" s="2" t="n"/>
      <c r="AD340" s="2" t="n"/>
      <c r="AE340" s="2" t="n"/>
    </row>
    <row r="341" ht="25" customHeight="1">
      <c r="A341" s="3" t="n"/>
      <c r="B341" s="3">
        <f>IFERROR(XLOOKUP(A341,'Intake Responses'!$A:$A,'Intake Responses'!$E:$E),"")</f>
        <v/>
      </c>
      <c r="C341" s="3">
        <f>IFERROR(XLOOKUP(A341,'Intake Responses'!$A:$A,'Intake Responses'!$D:$D),"")</f>
        <v/>
      </c>
      <c r="D341" s="3">
        <f>IFERROR(XLOOKUP(A341,'Intake Responses'!$A:$A,'Intake Responses'!$F:$F),"")</f>
        <v/>
      </c>
      <c r="E341" s="3" t="n"/>
      <c r="F341" s="3">
        <f>IFERROR(XLOOKUP(A341,'Intake Responses'!$A:$A,'Intake Responses'!$M:$M),"")</f>
        <v/>
      </c>
      <c r="G341" s="3">
        <f>IFERROR(XLOOKUP(A341,'Intake Responses'!$A:$A,'Intake Responses'!$N:$N),"")</f>
        <v/>
      </c>
      <c r="H341" s="3">
        <f>IFERROR(XLOOKUP(A341,'Intake Responses'!$A:$A,'Intake Responses'!$O:$O),"")</f>
        <v/>
      </c>
      <c r="I341" s="3">
        <f>IFERROR(SWITCH(F341,"Multiple times per day",60,"Daily",20,"Weekly",4,"Monthly",1,"Quarterly",0.33,"Ad hoc",0.5,"Unknown",0),0)</f>
        <v/>
      </c>
      <c r="J341" s="3">
        <f>IFERROR((G341*H341*I341)/60,0)</f>
        <v/>
      </c>
      <c r="K341" s="3">
        <f>IFERROR(J341*12,0)</f>
        <v/>
      </c>
      <c r="L341" s="3">
        <f>IFERROR(XLOOKUP(A341,'Intake Responses'!$A:$A,'Intake Responses'!$T:$T),"")</f>
        <v/>
      </c>
      <c r="M341" s="3">
        <f>IFERROR(XLOOKUP(A341,'Intake Responses'!$A:$A,'Intake Responses'!$U:$U),"")</f>
        <v/>
      </c>
      <c r="N341" s="3">
        <f>IFERROR(XLOOKUP(A341,'Intake Responses'!$A:$A,'Intake Responses'!$V:$V),"")</f>
        <v/>
      </c>
      <c r="O341" s="3">
        <f>IFERROR(XLOOKUP(A341,'Intake Responses'!$A:$A,'Intake Responses'!$W:$W),"")</f>
        <v/>
      </c>
      <c r="P341" s="3">
        <f>IFERROR(XLOOKUP(A341,'Intake Responses'!$A:$A,'Intake Responses'!$X:$X),"")</f>
        <v/>
      </c>
      <c r="Q341" s="3">
        <f>IFERROR(XLOOKUP(A341,'Intake Responses'!$A:$A,'Intake Responses'!$AF:$AF),"")</f>
        <v/>
      </c>
      <c r="R341" s="3">
        <f>IFERROR(XLOOKUP(A341,'Intake Responses'!$A:$A,'Intake Responses'!$S:$S),"")</f>
        <v/>
      </c>
      <c r="S341" s="3" t="n"/>
      <c r="T341" s="3" t="n"/>
      <c r="U341" s="3" t="n"/>
      <c r="V341" s="3">
        <f>IFERROR(MIN(5,ROUND(((M341+O341)/2)+(IF(J341&gt;=20,2,IF(J341&gt;=10,1.5,IF(J341&gt;=5,1,IF(J341&gt;=1,0.5,0))))),1)),0)</f>
        <v/>
      </c>
      <c r="W341" s="3">
        <f>IFERROR(SWITCH(F341,"Multiple times per day",5,"Daily",4,"Weekly",3,"Monthly",2,"Quarterly",1,"Ad hoc",1,"Unknown",0),0)</f>
        <v/>
      </c>
      <c r="X341" s="3">
        <f>IFERROR(ROUND(AVERAGE(L341,N341),1),0)</f>
        <v/>
      </c>
      <c r="Y341" s="3">
        <f>IFERROR(SWITCH(U341,"High",3,"Medium",2,"Low",0,"Unknown",1,1)+IF(Q341="Yes",2,IF(Q341="Unsure",1,0)),0)</f>
        <v/>
      </c>
      <c r="Z341" s="3">
        <f>IFERROR(ROUND((V341*2)+(W341*1)+(X341*2)+(IF(T341="Easy",2,IF(T341="Medium",1,IF(T341="Hard",-1,0))))-(Y341*2),1),0)</f>
        <v/>
      </c>
      <c r="AA341" s="3">
        <f>IFERROR(IF(S341="Not a fit","Not a Fit",IF(Y341&gt;=5,"High Risk / Needs Review",IF(AND(Z341&gt;=18,T341="Easy"),"Quick Win",IF(AND(Z341&gt;=18,T341&lt;&gt;"Easy"),"Strategic Project",IF(Z341&gt;=10,"Discovery Needed","Process Issue"))))),"")</f>
        <v/>
      </c>
      <c r="AB341" s="3">
        <f>IFERROR(SWITCH(AA341,"Quick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1" s="3" t="n"/>
      <c r="AD341" s="3" t="n"/>
      <c r="AE341" s="3" t="n"/>
    </row>
    <row r="342" ht="25" customHeight="1">
      <c r="A342" s="2" t="n"/>
      <c r="B342" s="2">
        <f>IFERROR(XLOOKUP(A342,'Intake Responses'!$A:$A,'Intake Responses'!$E:$E),"")</f>
        <v/>
      </c>
      <c r="C342" s="2">
        <f>IFERROR(XLOOKUP(A342,'Intake Responses'!$A:$A,'Intake Responses'!$D:$D),"")</f>
        <v/>
      </c>
      <c r="D342" s="2">
        <f>IFERROR(XLOOKUP(A342,'Intake Responses'!$A:$A,'Intake Responses'!$F:$F),"")</f>
        <v/>
      </c>
      <c r="E342" s="2" t="n"/>
      <c r="F342" s="2">
        <f>IFERROR(XLOOKUP(A342,'Intake Responses'!$A:$A,'Intake Responses'!$M:$M),"")</f>
        <v/>
      </c>
      <c r="G342" s="2">
        <f>IFERROR(XLOOKUP(A342,'Intake Responses'!$A:$A,'Intake Responses'!$N:$N),"")</f>
        <v/>
      </c>
      <c r="H342" s="2">
        <f>IFERROR(XLOOKUP(A342,'Intake Responses'!$A:$A,'Intake Responses'!$O:$O),"")</f>
        <v/>
      </c>
      <c r="I342" s="2">
        <f>IFERROR(SWITCH(F342,"Multiple times per day",60,"Daily",20,"Weekly",4,"Monthly",1,"Quarterly",0.33,"Ad hoc",0.5,"Unknown",0),0)</f>
        <v/>
      </c>
      <c r="J342" s="2">
        <f>IFERROR((G342*H342*I342)/60,0)</f>
        <v/>
      </c>
      <c r="K342" s="2">
        <f>IFERROR(J342*12,0)</f>
        <v/>
      </c>
      <c r="L342" s="2">
        <f>IFERROR(XLOOKUP(A342,'Intake Responses'!$A:$A,'Intake Responses'!$T:$T),"")</f>
        <v/>
      </c>
      <c r="M342" s="2">
        <f>IFERROR(XLOOKUP(A342,'Intake Responses'!$A:$A,'Intake Responses'!$U:$U),"")</f>
        <v/>
      </c>
      <c r="N342" s="2">
        <f>IFERROR(XLOOKUP(A342,'Intake Responses'!$A:$A,'Intake Responses'!$V:$V),"")</f>
        <v/>
      </c>
      <c r="O342" s="2">
        <f>IFERROR(XLOOKUP(A342,'Intake Responses'!$A:$A,'Intake Responses'!$W:$W),"")</f>
        <v/>
      </c>
      <c r="P342" s="2">
        <f>IFERROR(XLOOKUP(A342,'Intake Responses'!$A:$A,'Intake Responses'!$X:$X),"")</f>
        <v/>
      </c>
      <c r="Q342" s="2">
        <f>IFERROR(XLOOKUP(A342,'Intake Responses'!$A:$A,'Intake Responses'!$AF:$AF),"")</f>
        <v/>
      </c>
      <c r="R342" s="2">
        <f>IFERROR(XLOOKUP(A342,'Intake Responses'!$A:$A,'Intake Responses'!$S:$S),"")</f>
        <v/>
      </c>
      <c r="S342" s="2" t="n"/>
      <c r="T342" s="2" t="n"/>
      <c r="U342" s="2" t="n"/>
      <c r="V342" s="2">
        <f>IFERROR(MIN(5,ROUND(((M342+O342)/2)+(IF(J342&gt;=20,2,IF(J342&gt;=10,1.5,IF(J342&gt;=5,1,IF(J342&gt;=1,0.5,0))))),1)),0)</f>
        <v/>
      </c>
      <c r="W342" s="2">
        <f>IFERROR(SWITCH(F342,"Multiple times per day",5,"Daily",4,"Weekly",3,"Monthly",2,"Quarterly",1,"Ad hoc",1,"Unknown",0),0)</f>
        <v/>
      </c>
      <c r="X342" s="2">
        <f>IFERROR(ROUND(AVERAGE(L342,N342),1),0)</f>
        <v/>
      </c>
      <c r="Y342" s="2">
        <f>IFERROR(SWITCH(U342,"High",3,"Medium",2,"Low",0,"Unknown",1,1)+IF(Q342="Yes",2,IF(Q342="Unsure",1,0)),0)</f>
        <v/>
      </c>
      <c r="Z342" s="2">
        <f>IFERROR(ROUND((V342*2)+(W342*1)+(X342*2)+(IF(T342="Easy",2,IF(T342="Medium",1,IF(T342="Hard",-1,0))))-(Y342*2),1),0)</f>
        <v/>
      </c>
      <c r="AA342" s="2">
        <f>IFERROR(IF(S342="Not a fit","Not a Fit",IF(Y342&gt;=5,"High Risk / Needs Review",IF(AND(Z342&gt;=18,T342="Easy"),"Quick Win",IF(AND(Z342&gt;=18,T342&lt;&gt;"Easy"),"Strategic Project",IF(Z342&gt;=10,"Discovery Needed","Process Issue"))))),"")</f>
        <v/>
      </c>
      <c r="AB342" s="2">
        <f>IFERROR(SWITCH(AA342,"Quick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2" s="2" t="n"/>
      <c r="AD342" s="2" t="n"/>
      <c r="AE342" s="2" t="n"/>
    </row>
    <row r="343" ht="25" customHeight="1">
      <c r="A343" s="3" t="n"/>
      <c r="B343" s="3">
        <f>IFERROR(XLOOKUP(A343,'Intake Responses'!$A:$A,'Intake Responses'!$E:$E),"")</f>
        <v/>
      </c>
      <c r="C343" s="3">
        <f>IFERROR(XLOOKUP(A343,'Intake Responses'!$A:$A,'Intake Responses'!$D:$D),"")</f>
        <v/>
      </c>
      <c r="D343" s="3">
        <f>IFERROR(XLOOKUP(A343,'Intake Responses'!$A:$A,'Intake Responses'!$F:$F),"")</f>
        <v/>
      </c>
      <c r="E343" s="3" t="n"/>
      <c r="F343" s="3">
        <f>IFERROR(XLOOKUP(A343,'Intake Responses'!$A:$A,'Intake Responses'!$M:$M),"")</f>
        <v/>
      </c>
      <c r="G343" s="3">
        <f>IFERROR(XLOOKUP(A343,'Intake Responses'!$A:$A,'Intake Responses'!$N:$N),"")</f>
        <v/>
      </c>
      <c r="H343" s="3">
        <f>IFERROR(XLOOKUP(A343,'Intake Responses'!$A:$A,'Intake Responses'!$O:$O),"")</f>
        <v/>
      </c>
      <c r="I343" s="3">
        <f>IFERROR(SWITCH(F343,"Multiple times per day",60,"Daily",20,"Weekly",4,"Monthly",1,"Quarterly",0.33,"Ad hoc",0.5,"Unknown",0),0)</f>
        <v/>
      </c>
      <c r="J343" s="3">
        <f>IFERROR((G343*H343*I343)/60,0)</f>
        <v/>
      </c>
      <c r="K343" s="3">
        <f>IFERROR(J343*12,0)</f>
        <v/>
      </c>
      <c r="L343" s="3">
        <f>IFERROR(XLOOKUP(A343,'Intake Responses'!$A:$A,'Intake Responses'!$T:$T),"")</f>
        <v/>
      </c>
      <c r="M343" s="3">
        <f>IFERROR(XLOOKUP(A343,'Intake Responses'!$A:$A,'Intake Responses'!$U:$U),"")</f>
        <v/>
      </c>
      <c r="N343" s="3">
        <f>IFERROR(XLOOKUP(A343,'Intake Responses'!$A:$A,'Intake Responses'!$V:$V),"")</f>
        <v/>
      </c>
      <c r="O343" s="3">
        <f>IFERROR(XLOOKUP(A343,'Intake Responses'!$A:$A,'Intake Responses'!$W:$W),"")</f>
        <v/>
      </c>
      <c r="P343" s="3">
        <f>IFERROR(XLOOKUP(A343,'Intake Responses'!$A:$A,'Intake Responses'!$X:$X),"")</f>
        <v/>
      </c>
      <c r="Q343" s="3">
        <f>IFERROR(XLOOKUP(A343,'Intake Responses'!$A:$A,'Intake Responses'!$AF:$AF),"")</f>
        <v/>
      </c>
      <c r="R343" s="3">
        <f>IFERROR(XLOOKUP(A343,'Intake Responses'!$A:$A,'Intake Responses'!$S:$S),"")</f>
        <v/>
      </c>
      <c r="S343" s="3" t="n"/>
      <c r="T343" s="3" t="n"/>
      <c r="U343" s="3" t="n"/>
      <c r="V343" s="3">
        <f>IFERROR(MIN(5,ROUND(((M343+O343)/2)+(IF(J343&gt;=20,2,IF(J343&gt;=10,1.5,IF(J343&gt;=5,1,IF(J343&gt;=1,0.5,0))))),1)),0)</f>
        <v/>
      </c>
      <c r="W343" s="3">
        <f>IFERROR(SWITCH(F343,"Multiple times per day",5,"Daily",4,"Weekly",3,"Monthly",2,"Quarterly",1,"Ad hoc",1,"Unknown",0),0)</f>
        <v/>
      </c>
      <c r="X343" s="3">
        <f>IFERROR(ROUND(AVERAGE(L343,N343),1),0)</f>
        <v/>
      </c>
      <c r="Y343" s="3">
        <f>IFERROR(SWITCH(U343,"High",3,"Medium",2,"Low",0,"Unknown",1,1)+IF(Q343="Yes",2,IF(Q343="Unsure",1,0)),0)</f>
        <v/>
      </c>
      <c r="Z343" s="3">
        <f>IFERROR(ROUND((V343*2)+(W343*1)+(X343*2)+(IF(T343="Easy",2,IF(T343="Medium",1,IF(T343="Hard",-1,0))))-(Y343*2),1),0)</f>
        <v/>
      </c>
      <c r="AA343" s="3">
        <f>IFERROR(IF(S343="Not a fit","Not a Fit",IF(Y343&gt;=5,"High Risk / Needs Review",IF(AND(Z343&gt;=18,T343="Easy"),"Quick Win",IF(AND(Z343&gt;=18,T343&lt;&gt;"Easy"),"Strategic Project",IF(Z343&gt;=10,"Discovery Needed","Process Issue"))))),"")</f>
        <v/>
      </c>
      <c r="AB343" s="3">
        <f>IFERROR(SWITCH(AA343,"Quick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3" s="3" t="n"/>
      <c r="AD343" s="3" t="n"/>
      <c r="AE343" s="3" t="n"/>
    </row>
    <row r="344" ht="25" customHeight="1">
      <c r="A344" s="2" t="n"/>
      <c r="B344" s="2">
        <f>IFERROR(XLOOKUP(A344,'Intake Responses'!$A:$A,'Intake Responses'!$E:$E),"")</f>
        <v/>
      </c>
      <c r="C344" s="2">
        <f>IFERROR(XLOOKUP(A344,'Intake Responses'!$A:$A,'Intake Responses'!$D:$D),"")</f>
        <v/>
      </c>
      <c r="D344" s="2">
        <f>IFERROR(XLOOKUP(A344,'Intake Responses'!$A:$A,'Intake Responses'!$F:$F),"")</f>
        <v/>
      </c>
      <c r="E344" s="2" t="n"/>
      <c r="F344" s="2">
        <f>IFERROR(XLOOKUP(A344,'Intake Responses'!$A:$A,'Intake Responses'!$M:$M),"")</f>
        <v/>
      </c>
      <c r="G344" s="2">
        <f>IFERROR(XLOOKUP(A344,'Intake Responses'!$A:$A,'Intake Responses'!$N:$N),"")</f>
        <v/>
      </c>
      <c r="H344" s="2">
        <f>IFERROR(XLOOKUP(A344,'Intake Responses'!$A:$A,'Intake Responses'!$O:$O),"")</f>
        <v/>
      </c>
      <c r="I344" s="2">
        <f>IFERROR(SWITCH(F344,"Multiple times per day",60,"Daily",20,"Weekly",4,"Monthly",1,"Quarterly",0.33,"Ad hoc",0.5,"Unknown",0),0)</f>
        <v/>
      </c>
      <c r="J344" s="2">
        <f>IFERROR((G344*H344*I344)/60,0)</f>
        <v/>
      </c>
      <c r="K344" s="2">
        <f>IFERROR(J344*12,0)</f>
        <v/>
      </c>
      <c r="L344" s="2">
        <f>IFERROR(XLOOKUP(A344,'Intake Responses'!$A:$A,'Intake Responses'!$T:$T),"")</f>
        <v/>
      </c>
      <c r="M344" s="2">
        <f>IFERROR(XLOOKUP(A344,'Intake Responses'!$A:$A,'Intake Responses'!$U:$U),"")</f>
        <v/>
      </c>
      <c r="N344" s="2">
        <f>IFERROR(XLOOKUP(A344,'Intake Responses'!$A:$A,'Intake Responses'!$V:$V),"")</f>
        <v/>
      </c>
      <c r="O344" s="2">
        <f>IFERROR(XLOOKUP(A344,'Intake Responses'!$A:$A,'Intake Responses'!$W:$W),"")</f>
        <v/>
      </c>
      <c r="P344" s="2">
        <f>IFERROR(XLOOKUP(A344,'Intake Responses'!$A:$A,'Intake Responses'!$X:$X),"")</f>
        <v/>
      </c>
      <c r="Q344" s="2">
        <f>IFERROR(XLOOKUP(A344,'Intake Responses'!$A:$A,'Intake Responses'!$AF:$AF),"")</f>
        <v/>
      </c>
      <c r="R344" s="2">
        <f>IFERROR(XLOOKUP(A344,'Intake Responses'!$A:$A,'Intake Responses'!$S:$S),"")</f>
        <v/>
      </c>
      <c r="S344" s="2" t="n"/>
      <c r="T344" s="2" t="n"/>
      <c r="U344" s="2" t="n"/>
      <c r="V344" s="2">
        <f>IFERROR(MIN(5,ROUND(((M344+O344)/2)+(IF(J344&gt;=20,2,IF(J344&gt;=10,1.5,IF(J344&gt;=5,1,IF(J344&gt;=1,0.5,0))))),1)),0)</f>
        <v/>
      </c>
      <c r="W344" s="2">
        <f>IFERROR(SWITCH(F344,"Multiple times per day",5,"Daily",4,"Weekly",3,"Monthly",2,"Quarterly",1,"Ad hoc",1,"Unknown",0),0)</f>
        <v/>
      </c>
      <c r="X344" s="2">
        <f>IFERROR(ROUND(AVERAGE(L344,N344),1),0)</f>
        <v/>
      </c>
      <c r="Y344" s="2">
        <f>IFERROR(SWITCH(U344,"High",3,"Medium",2,"Low",0,"Unknown",1,1)+IF(Q344="Yes",2,IF(Q344="Unsure",1,0)),0)</f>
        <v/>
      </c>
      <c r="Z344" s="2">
        <f>IFERROR(ROUND((V344*2)+(W344*1)+(X344*2)+(IF(T344="Easy",2,IF(T344="Medium",1,IF(T344="Hard",-1,0))))-(Y344*2),1),0)</f>
        <v/>
      </c>
      <c r="AA344" s="2">
        <f>IFERROR(IF(S344="Not a fit","Not a Fit",IF(Y344&gt;=5,"High Risk / Needs Review",IF(AND(Z344&gt;=18,T344="Easy"),"Quick Win",IF(AND(Z344&gt;=18,T344&lt;&gt;"Easy"),"Strategic Project",IF(Z344&gt;=10,"Discovery Needed","Process Issue"))))),"")</f>
        <v/>
      </c>
      <c r="AB344" s="2">
        <f>IFERROR(SWITCH(AA344,"Quick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4" s="2" t="n"/>
      <c r="AD344" s="2" t="n"/>
      <c r="AE344" s="2" t="n"/>
    </row>
    <row r="345" ht="25" customHeight="1">
      <c r="A345" s="3" t="n"/>
      <c r="B345" s="3">
        <f>IFERROR(XLOOKUP(A345,'Intake Responses'!$A:$A,'Intake Responses'!$E:$E),"")</f>
        <v/>
      </c>
      <c r="C345" s="3">
        <f>IFERROR(XLOOKUP(A345,'Intake Responses'!$A:$A,'Intake Responses'!$D:$D),"")</f>
        <v/>
      </c>
      <c r="D345" s="3">
        <f>IFERROR(XLOOKUP(A345,'Intake Responses'!$A:$A,'Intake Responses'!$F:$F),"")</f>
        <v/>
      </c>
      <c r="E345" s="3" t="n"/>
      <c r="F345" s="3">
        <f>IFERROR(XLOOKUP(A345,'Intake Responses'!$A:$A,'Intake Responses'!$M:$M),"")</f>
        <v/>
      </c>
      <c r="G345" s="3">
        <f>IFERROR(XLOOKUP(A345,'Intake Responses'!$A:$A,'Intake Responses'!$N:$N),"")</f>
        <v/>
      </c>
      <c r="H345" s="3">
        <f>IFERROR(XLOOKUP(A345,'Intake Responses'!$A:$A,'Intake Responses'!$O:$O),"")</f>
        <v/>
      </c>
      <c r="I345" s="3">
        <f>IFERROR(SWITCH(F345,"Multiple times per day",60,"Daily",20,"Weekly",4,"Monthly",1,"Quarterly",0.33,"Ad hoc",0.5,"Unknown",0),0)</f>
        <v/>
      </c>
      <c r="J345" s="3">
        <f>IFERROR((G345*H345*I345)/60,0)</f>
        <v/>
      </c>
      <c r="K345" s="3">
        <f>IFERROR(J345*12,0)</f>
        <v/>
      </c>
      <c r="L345" s="3">
        <f>IFERROR(XLOOKUP(A345,'Intake Responses'!$A:$A,'Intake Responses'!$T:$T),"")</f>
        <v/>
      </c>
      <c r="M345" s="3">
        <f>IFERROR(XLOOKUP(A345,'Intake Responses'!$A:$A,'Intake Responses'!$U:$U),"")</f>
        <v/>
      </c>
      <c r="N345" s="3">
        <f>IFERROR(XLOOKUP(A345,'Intake Responses'!$A:$A,'Intake Responses'!$V:$V),"")</f>
        <v/>
      </c>
      <c r="O345" s="3">
        <f>IFERROR(XLOOKUP(A345,'Intake Responses'!$A:$A,'Intake Responses'!$W:$W),"")</f>
        <v/>
      </c>
      <c r="P345" s="3">
        <f>IFERROR(XLOOKUP(A345,'Intake Responses'!$A:$A,'Intake Responses'!$X:$X),"")</f>
        <v/>
      </c>
      <c r="Q345" s="3">
        <f>IFERROR(XLOOKUP(A345,'Intake Responses'!$A:$A,'Intake Responses'!$AF:$AF),"")</f>
        <v/>
      </c>
      <c r="R345" s="3">
        <f>IFERROR(XLOOKUP(A345,'Intake Responses'!$A:$A,'Intake Responses'!$S:$S),"")</f>
        <v/>
      </c>
      <c r="S345" s="3" t="n"/>
      <c r="T345" s="3" t="n"/>
      <c r="U345" s="3" t="n"/>
      <c r="V345" s="3">
        <f>IFERROR(MIN(5,ROUND(((M345+O345)/2)+(IF(J345&gt;=20,2,IF(J345&gt;=10,1.5,IF(J345&gt;=5,1,IF(J345&gt;=1,0.5,0))))),1)),0)</f>
        <v/>
      </c>
      <c r="W345" s="3">
        <f>IFERROR(SWITCH(F345,"Multiple times per day",5,"Daily",4,"Weekly",3,"Monthly",2,"Quarterly",1,"Ad hoc",1,"Unknown",0),0)</f>
        <v/>
      </c>
      <c r="X345" s="3">
        <f>IFERROR(ROUND(AVERAGE(L345,N345),1),0)</f>
        <v/>
      </c>
      <c r="Y345" s="3">
        <f>IFERROR(SWITCH(U345,"High",3,"Medium",2,"Low",0,"Unknown",1,1)+IF(Q345="Yes",2,IF(Q345="Unsure",1,0)),0)</f>
        <v/>
      </c>
      <c r="Z345" s="3">
        <f>IFERROR(ROUND((V345*2)+(W345*1)+(X345*2)+(IF(T345="Easy",2,IF(T345="Medium",1,IF(T345="Hard",-1,0))))-(Y345*2),1),0)</f>
        <v/>
      </c>
      <c r="AA345" s="3">
        <f>IFERROR(IF(S345="Not a fit","Not a Fit",IF(Y345&gt;=5,"High Risk / Needs Review",IF(AND(Z345&gt;=18,T345="Easy"),"Quick Win",IF(AND(Z345&gt;=18,T345&lt;&gt;"Easy"),"Strategic Project",IF(Z345&gt;=10,"Discovery Needed","Process Issue"))))),"")</f>
        <v/>
      </c>
      <c r="AB345" s="3">
        <f>IFERROR(SWITCH(AA345,"Quick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5" s="3" t="n"/>
      <c r="AD345" s="3" t="n"/>
      <c r="AE345" s="3" t="n"/>
    </row>
    <row r="346" ht="25" customHeight="1">
      <c r="A346" s="2" t="n"/>
      <c r="B346" s="2">
        <f>IFERROR(XLOOKUP(A346,'Intake Responses'!$A:$A,'Intake Responses'!$E:$E),"")</f>
        <v/>
      </c>
      <c r="C346" s="2">
        <f>IFERROR(XLOOKUP(A346,'Intake Responses'!$A:$A,'Intake Responses'!$D:$D),"")</f>
        <v/>
      </c>
      <c r="D346" s="2">
        <f>IFERROR(XLOOKUP(A346,'Intake Responses'!$A:$A,'Intake Responses'!$F:$F),"")</f>
        <v/>
      </c>
      <c r="E346" s="2" t="n"/>
      <c r="F346" s="2">
        <f>IFERROR(XLOOKUP(A346,'Intake Responses'!$A:$A,'Intake Responses'!$M:$M),"")</f>
        <v/>
      </c>
      <c r="G346" s="2">
        <f>IFERROR(XLOOKUP(A346,'Intake Responses'!$A:$A,'Intake Responses'!$N:$N),"")</f>
        <v/>
      </c>
      <c r="H346" s="2">
        <f>IFERROR(XLOOKUP(A346,'Intake Responses'!$A:$A,'Intake Responses'!$O:$O),"")</f>
        <v/>
      </c>
      <c r="I346" s="2">
        <f>IFERROR(SWITCH(F346,"Multiple times per day",60,"Daily",20,"Weekly",4,"Monthly",1,"Quarterly",0.33,"Ad hoc",0.5,"Unknown",0),0)</f>
        <v/>
      </c>
      <c r="J346" s="2">
        <f>IFERROR((G346*H346*I346)/60,0)</f>
        <v/>
      </c>
      <c r="K346" s="2">
        <f>IFERROR(J346*12,0)</f>
        <v/>
      </c>
      <c r="L346" s="2">
        <f>IFERROR(XLOOKUP(A346,'Intake Responses'!$A:$A,'Intake Responses'!$T:$T),"")</f>
        <v/>
      </c>
      <c r="M346" s="2">
        <f>IFERROR(XLOOKUP(A346,'Intake Responses'!$A:$A,'Intake Responses'!$U:$U),"")</f>
        <v/>
      </c>
      <c r="N346" s="2">
        <f>IFERROR(XLOOKUP(A346,'Intake Responses'!$A:$A,'Intake Responses'!$V:$V),"")</f>
        <v/>
      </c>
      <c r="O346" s="2">
        <f>IFERROR(XLOOKUP(A346,'Intake Responses'!$A:$A,'Intake Responses'!$W:$W),"")</f>
        <v/>
      </c>
      <c r="P346" s="2">
        <f>IFERROR(XLOOKUP(A346,'Intake Responses'!$A:$A,'Intake Responses'!$X:$X),"")</f>
        <v/>
      </c>
      <c r="Q346" s="2">
        <f>IFERROR(XLOOKUP(A346,'Intake Responses'!$A:$A,'Intake Responses'!$AF:$AF),"")</f>
        <v/>
      </c>
      <c r="R346" s="2">
        <f>IFERROR(XLOOKUP(A346,'Intake Responses'!$A:$A,'Intake Responses'!$S:$S),"")</f>
        <v/>
      </c>
      <c r="S346" s="2" t="n"/>
      <c r="T346" s="2" t="n"/>
      <c r="U346" s="2" t="n"/>
      <c r="V346" s="2">
        <f>IFERROR(MIN(5,ROUND(((M346+O346)/2)+(IF(J346&gt;=20,2,IF(J346&gt;=10,1.5,IF(J346&gt;=5,1,IF(J346&gt;=1,0.5,0))))),1)),0)</f>
        <v/>
      </c>
      <c r="W346" s="2">
        <f>IFERROR(SWITCH(F346,"Multiple times per day",5,"Daily",4,"Weekly",3,"Monthly",2,"Quarterly",1,"Ad hoc",1,"Unknown",0),0)</f>
        <v/>
      </c>
      <c r="X346" s="2">
        <f>IFERROR(ROUND(AVERAGE(L346,N346),1),0)</f>
        <v/>
      </c>
      <c r="Y346" s="2">
        <f>IFERROR(SWITCH(U346,"High",3,"Medium",2,"Low",0,"Unknown",1,1)+IF(Q346="Yes",2,IF(Q346="Unsure",1,0)),0)</f>
        <v/>
      </c>
      <c r="Z346" s="2">
        <f>IFERROR(ROUND((V346*2)+(W346*1)+(X346*2)+(IF(T346="Easy",2,IF(T346="Medium",1,IF(T346="Hard",-1,0))))-(Y346*2),1),0)</f>
        <v/>
      </c>
      <c r="AA346" s="2">
        <f>IFERROR(IF(S346="Not a fit","Not a Fit",IF(Y346&gt;=5,"High Risk / Needs Review",IF(AND(Z346&gt;=18,T346="Easy"),"Quick Win",IF(AND(Z346&gt;=18,T346&lt;&gt;"Easy"),"Strategic Project",IF(Z346&gt;=10,"Discovery Needed","Process Issue"))))),"")</f>
        <v/>
      </c>
      <c r="AB346" s="2">
        <f>IFERROR(SWITCH(AA346,"Quick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6" s="2" t="n"/>
      <c r="AD346" s="2" t="n"/>
      <c r="AE346" s="2" t="n"/>
    </row>
    <row r="347" ht="25" customHeight="1">
      <c r="A347" s="3" t="n"/>
      <c r="B347" s="3">
        <f>IFERROR(XLOOKUP(A347,'Intake Responses'!$A:$A,'Intake Responses'!$E:$E),"")</f>
        <v/>
      </c>
      <c r="C347" s="3">
        <f>IFERROR(XLOOKUP(A347,'Intake Responses'!$A:$A,'Intake Responses'!$D:$D),"")</f>
        <v/>
      </c>
      <c r="D347" s="3">
        <f>IFERROR(XLOOKUP(A347,'Intake Responses'!$A:$A,'Intake Responses'!$F:$F),"")</f>
        <v/>
      </c>
      <c r="E347" s="3" t="n"/>
      <c r="F347" s="3">
        <f>IFERROR(XLOOKUP(A347,'Intake Responses'!$A:$A,'Intake Responses'!$M:$M),"")</f>
        <v/>
      </c>
      <c r="G347" s="3">
        <f>IFERROR(XLOOKUP(A347,'Intake Responses'!$A:$A,'Intake Responses'!$N:$N),"")</f>
        <v/>
      </c>
      <c r="H347" s="3">
        <f>IFERROR(XLOOKUP(A347,'Intake Responses'!$A:$A,'Intake Responses'!$O:$O),"")</f>
        <v/>
      </c>
      <c r="I347" s="3">
        <f>IFERROR(SWITCH(F347,"Multiple times per day",60,"Daily",20,"Weekly",4,"Monthly",1,"Quarterly",0.33,"Ad hoc",0.5,"Unknown",0),0)</f>
        <v/>
      </c>
      <c r="J347" s="3">
        <f>IFERROR((G347*H347*I347)/60,0)</f>
        <v/>
      </c>
      <c r="K347" s="3">
        <f>IFERROR(J347*12,0)</f>
        <v/>
      </c>
      <c r="L347" s="3">
        <f>IFERROR(XLOOKUP(A347,'Intake Responses'!$A:$A,'Intake Responses'!$T:$T),"")</f>
        <v/>
      </c>
      <c r="M347" s="3">
        <f>IFERROR(XLOOKUP(A347,'Intake Responses'!$A:$A,'Intake Responses'!$U:$U),"")</f>
        <v/>
      </c>
      <c r="N347" s="3">
        <f>IFERROR(XLOOKUP(A347,'Intake Responses'!$A:$A,'Intake Responses'!$V:$V),"")</f>
        <v/>
      </c>
      <c r="O347" s="3">
        <f>IFERROR(XLOOKUP(A347,'Intake Responses'!$A:$A,'Intake Responses'!$W:$W),"")</f>
        <v/>
      </c>
      <c r="P347" s="3">
        <f>IFERROR(XLOOKUP(A347,'Intake Responses'!$A:$A,'Intake Responses'!$X:$X),"")</f>
        <v/>
      </c>
      <c r="Q347" s="3">
        <f>IFERROR(XLOOKUP(A347,'Intake Responses'!$A:$A,'Intake Responses'!$AF:$AF),"")</f>
        <v/>
      </c>
      <c r="R347" s="3">
        <f>IFERROR(XLOOKUP(A347,'Intake Responses'!$A:$A,'Intake Responses'!$S:$S),"")</f>
        <v/>
      </c>
      <c r="S347" s="3" t="n"/>
      <c r="T347" s="3" t="n"/>
      <c r="U347" s="3" t="n"/>
      <c r="V347" s="3">
        <f>IFERROR(MIN(5,ROUND(((M347+O347)/2)+(IF(J347&gt;=20,2,IF(J347&gt;=10,1.5,IF(J347&gt;=5,1,IF(J347&gt;=1,0.5,0))))),1)),0)</f>
        <v/>
      </c>
      <c r="W347" s="3">
        <f>IFERROR(SWITCH(F347,"Multiple times per day",5,"Daily",4,"Weekly",3,"Monthly",2,"Quarterly",1,"Ad hoc",1,"Unknown",0),0)</f>
        <v/>
      </c>
      <c r="X347" s="3">
        <f>IFERROR(ROUND(AVERAGE(L347,N347),1),0)</f>
        <v/>
      </c>
      <c r="Y347" s="3">
        <f>IFERROR(SWITCH(U347,"High",3,"Medium",2,"Low",0,"Unknown",1,1)+IF(Q347="Yes",2,IF(Q347="Unsure",1,0)),0)</f>
        <v/>
      </c>
      <c r="Z347" s="3">
        <f>IFERROR(ROUND((V347*2)+(W347*1)+(X347*2)+(IF(T347="Easy",2,IF(T347="Medium",1,IF(T347="Hard",-1,0))))-(Y347*2),1),0)</f>
        <v/>
      </c>
      <c r="AA347" s="3">
        <f>IFERROR(IF(S347="Not a fit","Not a Fit",IF(Y347&gt;=5,"High Risk / Needs Review",IF(AND(Z347&gt;=18,T347="Easy"),"Quick Win",IF(AND(Z347&gt;=18,T347&lt;&gt;"Easy"),"Strategic Project",IF(Z347&gt;=10,"Discovery Needed","Process Issue"))))),"")</f>
        <v/>
      </c>
      <c r="AB347" s="3">
        <f>IFERROR(SWITCH(AA347,"Quick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7" s="3" t="n"/>
      <c r="AD347" s="3" t="n"/>
      <c r="AE347" s="3" t="n"/>
    </row>
    <row r="348" ht="25" customHeight="1">
      <c r="A348" s="2" t="n"/>
      <c r="B348" s="2">
        <f>IFERROR(XLOOKUP(A348,'Intake Responses'!$A:$A,'Intake Responses'!$E:$E),"")</f>
        <v/>
      </c>
      <c r="C348" s="2">
        <f>IFERROR(XLOOKUP(A348,'Intake Responses'!$A:$A,'Intake Responses'!$D:$D),"")</f>
        <v/>
      </c>
      <c r="D348" s="2">
        <f>IFERROR(XLOOKUP(A348,'Intake Responses'!$A:$A,'Intake Responses'!$F:$F),"")</f>
        <v/>
      </c>
      <c r="E348" s="2" t="n"/>
      <c r="F348" s="2">
        <f>IFERROR(XLOOKUP(A348,'Intake Responses'!$A:$A,'Intake Responses'!$M:$M),"")</f>
        <v/>
      </c>
      <c r="G348" s="2">
        <f>IFERROR(XLOOKUP(A348,'Intake Responses'!$A:$A,'Intake Responses'!$N:$N),"")</f>
        <v/>
      </c>
      <c r="H348" s="2">
        <f>IFERROR(XLOOKUP(A348,'Intake Responses'!$A:$A,'Intake Responses'!$O:$O),"")</f>
        <v/>
      </c>
      <c r="I348" s="2">
        <f>IFERROR(SWITCH(F348,"Multiple times per day",60,"Daily",20,"Weekly",4,"Monthly",1,"Quarterly",0.33,"Ad hoc",0.5,"Unknown",0),0)</f>
        <v/>
      </c>
      <c r="J348" s="2">
        <f>IFERROR((G348*H348*I348)/60,0)</f>
        <v/>
      </c>
      <c r="K348" s="2">
        <f>IFERROR(J348*12,0)</f>
        <v/>
      </c>
      <c r="L348" s="2">
        <f>IFERROR(XLOOKUP(A348,'Intake Responses'!$A:$A,'Intake Responses'!$T:$T),"")</f>
        <v/>
      </c>
      <c r="M348" s="2">
        <f>IFERROR(XLOOKUP(A348,'Intake Responses'!$A:$A,'Intake Responses'!$U:$U),"")</f>
        <v/>
      </c>
      <c r="N348" s="2">
        <f>IFERROR(XLOOKUP(A348,'Intake Responses'!$A:$A,'Intake Responses'!$V:$V),"")</f>
        <v/>
      </c>
      <c r="O348" s="2">
        <f>IFERROR(XLOOKUP(A348,'Intake Responses'!$A:$A,'Intake Responses'!$W:$W),"")</f>
        <v/>
      </c>
      <c r="P348" s="2">
        <f>IFERROR(XLOOKUP(A348,'Intake Responses'!$A:$A,'Intake Responses'!$X:$X),"")</f>
        <v/>
      </c>
      <c r="Q348" s="2">
        <f>IFERROR(XLOOKUP(A348,'Intake Responses'!$A:$A,'Intake Responses'!$AF:$AF),"")</f>
        <v/>
      </c>
      <c r="R348" s="2">
        <f>IFERROR(XLOOKUP(A348,'Intake Responses'!$A:$A,'Intake Responses'!$S:$S),"")</f>
        <v/>
      </c>
      <c r="S348" s="2" t="n"/>
      <c r="T348" s="2" t="n"/>
      <c r="U348" s="2" t="n"/>
      <c r="V348" s="2">
        <f>IFERROR(MIN(5,ROUND(((M348+O348)/2)+(IF(J348&gt;=20,2,IF(J348&gt;=10,1.5,IF(J348&gt;=5,1,IF(J348&gt;=1,0.5,0))))),1)),0)</f>
        <v/>
      </c>
      <c r="W348" s="2">
        <f>IFERROR(SWITCH(F348,"Multiple times per day",5,"Daily",4,"Weekly",3,"Monthly",2,"Quarterly",1,"Ad hoc",1,"Unknown",0),0)</f>
        <v/>
      </c>
      <c r="X348" s="2">
        <f>IFERROR(ROUND(AVERAGE(L348,N348),1),0)</f>
        <v/>
      </c>
      <c r="Y348" s="2">
        <f>IFERROR(SWITCH(U348,"High",3,"Medium",2,"Low",0,"Unknown",1,1)+IF(Q348="Yes",2,IF(Q348="Unsure",1,0)),0)</f>
        <v/>
      </c>
      <c r="Z348" s="2">
        <f>IFERROR(ROUND((V348*2)+(W348*1)+(X348*2)+(IF(T348="Easy",2,IF(T348="Medium",1,IF(T348="Hard",-1,0))))-(Y348*2),1),0)</f>
        <v/>
      </c>
      <c r="AA348" s="2">
        <f>IFERROR(IF(S348="Not a fit","Not a Fit",IF(Y348&gt;=5,"High Risk / Needs Review",IF(AND(Z348&gt;=18,T348="Easy"),"Quick Win",IF(AND(Z348&gt;=18,T348&lt;&gt;"Easy"),"Strategic Project",IF(Z348&gt;=10,"Discovery Needed","Process Issue"))))),"")</f>
        <v/>
      </c>
      <c r="AB348" s="2">
        <f>IFERROR(SWITCH(AA348,"Quick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8" s="2" t="n"/>
      <c r="AD348" s="2" t="n"/>
      <c r="AE348" s="2" t="n"/>
    </row>
    <row r="349" ht="25" customHeight="1">
      <c r="A349" s="3" t="n"/>
      <c r="B349" s="3">
        <f>IFERROR(XLOOKUP(A349,'Intake Responses'!$A:$A,'Intake Responses'!$E:$E),"")</f>
        <v/>
      </c>
      <c r="C349" s="3">
        <f>IFERROR(XLOOKUP(A349,'Intake Responses'!$A:$A,'Intake Responses'!$D:$D),"")</f>
        <v/>
      </c>
      <c r="D349" s="3">
        <f>IFERROR(XLOOKUP(A349,'Intake Responses'!$A:$A,'Intake Responses'!$F:$F),"")</f>
        <v/>
      </c>
      <c r="E349" s="3" t="n"/>
      <c r="F349" s="3">
        <f>IFERROR(XLOOKUP(A349,'Intake Responses'!$A:$A,'Intake Responses'!$M:$M),"")</f>
        <v/>
      </c>
      <c r="G349" s="3">
        <f>IFERROR(XLOOKUP(A349,'Intake Responses'!$A:$A,'Intake Responses'!$N:$N),"")</f>
        <v/>
      </c>
      <c r="H349" s="3">
        <f>IFERROR(XLOOKUP(A349,'Intake Responses'!$A:$A,'Intake Responses'!$O:$O),"")</f>
        <v/>
      </c>
      <c r="I349" s="3">
        <f>IFERROR(SWITCH(F349,"Multiple times per day",60,"Daily",20,"Weekly",4,"Monthly",1,"Quarterly",0.33,"Ad hoc",0.5,"Unknown",0),0)</f>
        <v/>
      </c>
      <c r="J349" s="3">
        <f>IFERROR((G349*H349*I349)/60,0)</f>
        <v/>
      </c>
      <c r="K349" s="3">
        <f>IFERROR(J349*12,0)</f>
        <v/>
      </c>
      <c r="L349" s="3">
        <f>IFERROR(XLOOKUP(A349,'Intake Responses'!$A:$A,'Intake Responses'!$T:$T),"")</f>
        <v/>
      </c>
      <c r="M349" s="3">
        <f>IFERROR(XLOOKUP(A349,'Intake Responses'!$A:$A,'Intake Responses'!$U:$U),"")</f>
        <v/>
      </c>
      <c r="N349" s="3">
        <f>IFERROR(XLOOKUP(A349,'Intake Responses'!$A:$A,'Intake Responses'!$V:$V),"")</f>
        <v/>
      </c>
      <c r="O349" s="3">
        <f>IFERROR(XLOOKUP(A349,'Intake Responses'!$A:$A,'Intake Responses'!$W:$W),"")</f>
        <v/>
      </c>
      <c r="P349" s="3">
        <f>IFERROR(XLOOKUP(A349,'Intake Responses'!$A:$A,'Intake Responses'!$X:$X),"")</f>
        <v/>
      </c>
      <c r="Q349" s="3">
        <f>IFERROR(XLOOKUP(A349,'Intake Responses'!$A:$A,'Intake Responses'!$AF:$AF),"")</f>
        <v/>
      </c>
      <c r="R349" s="3">
        <f>IFERROR(XLOOKUP(A349,'Intake Responses'!$A:$A,'Intake Responses'!$S:$S),"")</f>
        <v/>
      </c>
      <c r="S349" s="3" t="n"/>
      <c r="T349" s="3" t="n"/>
      <c r="U349" s="3" t="n"/>
      <c r="V349" s="3">
        <f>IFERROR(MIN(5,ROUND(((M349+O349)/2)+(IF(J349&gt;=20,2,IF(J349&gt;=10,1.5,IF(J349&gt;=5,1,IF(J349&gt;=1,0.5,0))))),1)),0)</f>
        <v/>
      </c>
      <c r="W349" s="3">
        <f>IFERROR(SWITCH(F349,"Multiple times per day",5,"Daily",4,"Weekly",3,"Monthly",2,"Quarterly",1,"Ad hoc",1,"Unknown",0),0)</f>
        <v/>
      </c>
      <c r="X349" s="3">
        <f>IFERROR(ROUND(AVERAGE(L349,N349),1),0)</f>
        <v/>
      </c>
      <c r="Y349" s="3">
        <f>IFERROR(SWITCH(U349,"High",3,"Medium",2,"Low",0,"Unknown",1,1)+IF(Q349="Yes",2,IF(Q349="Unsure",1,0)),0)</f>
        <v/>
      </c>
      <c r="Z349" s="3">
        <f>IFERROR(ROUND((V349*2)+(W349*1)+(X349*2)+(IF(T349="Easy",2,IF(T349="Medium",1,IF(T349="Hard",-1,0))))-(Y349*2),1),0)</f>
        <v/>
      </c>
      <c r="AA349" s="3">
        <f>IFERROR(IF(S349="Not a fit","Not a Fit",IF(Y349&gt;=5,"High Risk / Needs Review",IF(AND(Z349&gt;=18,T349="Easy"),"Quick Win",IF(AND(Z349&gt;=18,T349&lt;&gt;"Easy"),"Strategic Project",IF(Z349&gt;=10,"Discovery Needed","Process Issue"))))),"")</f>
        <v/>
      </c>
      <c r="AB349" s="3">
        <f>IFERROR(SWITCH(AA349,"Quick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49" s="3" t="n"/>
      <c r="AD349" s="3" t="n"/>
      <c r="AE349" s="3" t="n"/>
    </row>
    <row r="350" ht="25" customHeight="1">
      <c r="A350" s="2" t="n"/>
      <c r="B350" s="2">
        <f>IFERROR(XLOOKUP(A350,'Intake Responses'!$A:$A,'Intake Responses'!$E:$E),"")</f>
        <v/>
      </c>
      <c r="C350" s="2">
        <f>IFERROR(XLOOKUP(A350,'Intake Responses'!$A:$A,'Intake Responses'!$D:$D),"")</f>
        <v/>
      </c>
      <c r="D350" s="2">
        <f>IFERROR(XLOOKUP(A350,'Intake Responses'!$A:$A,'Intake Responses'!$F:$F),"")</f>
        <v/>
      </c>
      <c r="E350" s="2" t="n"/>
      <c r="F350" s="2">
        <f>IFERROR(XLOOKUP(A350,'Intake Responses'!$A:$A,'Intake Responses'!$M:$M),"")</f>
        <v/>
      </c>
      <c r="G350" s="2">
        <f>IFERROR(XLOOKUP(A350,'Intake Responses'!$A:$A,'Intake Responses'!$N:$N),"")</f>
        <v/>
      </c>
      <c r="H350" s="2">
        <f>IFERROR(XLOOKUP(A350,'Intake Responses'!$A:$A,'Intake Responses'!$O:$O),"")</f>
        <v/>
      </c>
      <c r="I350" s="2">
        <f>IFERROR(SWITCH(F350,"Multiple times per day",60,"Daily",20,"Weekly",4,"Monthly",1,"Quarterly",0.33,"Ad hoc",0.5,"Unknown",0),0)</f>
        <v/>
      </c>
      <c r="J350" s="2">
        <f>IFERROR((G350*H350*I350)/60,0)</f>
        <v/>
      </c>
      <c r="K350" s="2">
        <f>IFERROR(J350*12,0)</f>
        <v/>
      </c>
      <c r="L350" s="2">
        <f>IFERROR(XLOOKUP(A350,'Intake Responses'!$A:$A,'Intake Responses'!$T:$T),"")</f>
        <v/>
      </c>
      <c r="M350" s="2">
        <f>IFERROR(XLOOKUP(A350,'Intake Responses'!$A:$A,'Intake Responses'!$U:$U),"")</f>
        <v/>
      </c>
      <c r="N350" s="2">
        <f>IFERROR(XLOOKUP(A350,'Intake Responses'!$A:$A,'Intake Responses'!$V:$V),"")</f>
        <v/>
      </c>
      <c r="O350" s="2">
        <f>IFERROR(XLOOKUP(A350,'Intake Responses'!$A:$A,'Intake Responses'!$W:$W),"")</f>
        <v/>
      </c>
      <c r="P350" s="2">
        <f>IFERROR(XLOOKUP(A350,'Intake Responses'!$A:$A,'Intake Responses'!$X:$X),"")</f>
        <v/>
      </c>
      <c r="Q350" s="2">
        <f>IFERROR(XLOOKUP(A350,'Intake Responses'!$A:$A,'Intake Responses'!$AF:$AF),"")</f>
        <v/>
      </c>
      <c r="R350" s="2">
        <f>IFERROR(XLOOKUP(A350,'Intake Responses'!$A:$A,'Intake Responses'!$S:$S),"")</f>
        <v/>
      </c>
      <c r="S350" s="2" t="n"/>
      <c r="T350" s="2" t="n"/>
      <c r="U350" s="2" t="n"/>
      <c r="V350" s="2">
        <f>IFERROR(MIN(5,ROUND(((M350+O350)/2)+(IF(J350&gt;=20,2,IF(J350&gt;=10,1.5,IF(J350&gt;=5,1,IF(J350&gt;=1,0.5,0))))),1)),0)</f>
        <v/>
      </c>
      <c r="W350" s="2">
        <f>IFERROR(SWITCH(F350,"Multiple times per day",5,"Daily",4,"Weekly",3,"Monthly",2,"Quarterly",1,"Ad hoc",1,"Unknown",0),0)</f>
        <v/>
      </c>
      <c r="X350" s="2">
        <f>IFERROR(ROUND(AVERAGE(L350,N350),1),0)</f>
        <v/>
      </c>
      <c r="Y350" s="2">
        <f>IFERROR(SWITCH(U350,"High",3,"Medium",2,"Low",0,"Unknown",1,1)+IF(Q350="Yes",2,IF(Q350="Unsure",1,0)),0)</f>
        <v/>
      </c>
      <c r="Z350" s="2">
        <f>IFERROR(ROUND((V350*2)+(W350*1)+(X350*2)+(IF(T350="Easy",2,IF(T350="Medium",1,IF(T350="Hard",-1,0))))-(Y350*2),1),0)</f>
        <v/>
      </c>
      <c r="AA350" s="2">
        <f>IFERROR(IF(S350="Not a fit","Not a Fit",IF(Y350&gt;=5,"High Risk / Needs Review",IF(AND(Z350&gt;=18,T350="Easy"),"Quick Win",IF(AND(Z350&gt;=18,T350&lt;&gt;"Easy"),"Strategic Project",IF(Z350&gt;=10,"Discovery Needed","Process Issue"))))),"")</f>
        <v/>
      </c>
      <c r="AB350" s="2">
        <f>IFERROR(SWITCH(AA350,"Quick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0" s="2" t="n"/>
      <c r="AD350" s="2" t="n"/>
      <c r="AE350" s="2" t="n"/>
    </row>
    <row r="351" ht="25" customHeight="1">
      <c r="A351" s="3" t="n"/>
      <c r="B351" s="3">
        <f>IFERROR(XLOOKUP(A351,'Intake Responses'!$A:$A,'Intake Responses'!$E:$E),"")</f>
        <v/>
      </c>
      <c r="C351" s="3">
        <f>IFERROR(XLOOKUP(A351,'Intake Responses'!$A:$A,'Intake Responses'!$D:$D),"")</f>
        <v/>
      </c>
      <c r="D351" s="3">
        <f>IFERROR(XLOOKUP(A351,'Intake Responses'!$A:$A,'Intake Responses'!$F:$F),"")</f>
        <v/>
      </c>
      <c r="E351" s="3" t="n"/>
      <c r="F351" s="3">
        <f>IFERROR(XLOOKUP(A351,'Intake Responses'!$A:$A,'Intake Responses'!$M:$M),"")</f>
        <v/>
      </c>
      <c r="G351" s="3">
        <f>IFERROR(XLOOKUP(A351,'Intake Responses'!$A:$A,'Intake Responses'!$N:$N),"")</f>
        <v/>
      </c>
      <c r="H351" s="3">
        <f>IFERROR(XLOOKUP(A351,'Intake Responses'!$A:$A,'Intake Responses'!$O:$O),"")</f>
        <v/>
      </c>
      <c r="I351" s="3">
        <f>IFERROR(SWITCH(F351,"Multiple times per day",60,"Daily",20,"Weekly",4,"Monthly",1,"Quarterly",0.33,"Ad hoc",0.5,"Unknown",0),0)</f>
        <v/>
      </c>
      <c r="J351" s="3">
        <f>IFERROR((G351*H351*I351)/60,0)</f>
        <v/>
      </c>
      <c r="K351" s="3">
        <f>IFERROR(J351*12,0)</f>
        <v/>
      </c>
      <c r="L351" s="3">
        <f>IFERROR(XLOOKUP(A351,'Intake Responses'!$A:$A,'Intake Responses'!$T:$T),"")</f>
        <v/>
      </c>
      <c r="M351" s="3">
        <f>IFERROR(XLOOKUP(A351,'Intake Responses'!$A:$A,'Intake Responses'!$U:$U),"")</f>
        <v/>
      </c>
      <c r="N351" s="3">
        <f>IFERROR(XLOOKUP(A351,'Intake Responses'!$A:$A,'Intake Responses'!$V:$V),"")</f>
        <v/>
      </c>
      <c r="O351" s="3">
        <f>IFERROR(XLOOKUP(A351,'Intake Responses'!$A:$A,'Intake Responses'!$W:$W),"")</f>
        <v/>
      </c>
      <c r="P351" s="3">
        <f>IFERROR(XLOOKUP(A351,'Intake Responses'!$A:$A,'Intake Responses'!$X:$X),"")</f>
        <v/>
      </c>
      <c r="Q351" s="3">
        <f>IFERROR(XLOOKUP(A351,'Intake Responses'!$A:$A,'Intake Responses'!$AF:$AF),"")</f>
        <v/>
      </c>
      <c r="R351" s="3">
        <f>IFERROR(XLOOKUP(A351,'Intake Responses'!$A:$A,'Intake Responses'!$S:$S),"")</f>
        <v/>
      </c>
      <c r="S351" s="3" t="n"/>
      <c r="T351" s="3" t="n"/>
      <c r="U351" s="3" t="n"/>
      <c r="V351" s="3">
        <f>IFERROR(MIN(5,ROUND(((M351+O351)/2)+(IF(J351&gt;=20,2,IF(J351&gt;=10,1.5,IF(J351&gt;=5,1,IF(J351&gt;=1,0.5,0))))),1)),0)</f>
        <v/>
      </c>
      <c r="W351" s="3">
        <f>IFERROR(SWITCH(F351,"Multiple times per day",5,"Daily",4,"Weekly",3,"Monthly",2,"Quarterly",1,"Ad hoc",1,"Unknown",0),0)</f>
        <v/>
      </c>
      <c r="X351" s="3">
        <f>IFERROR(ROUND(AVERAGE(L351,N351),1),0)</f>
        <v/>
      </c>
      <c r="Y351" s="3">
        <f>IFERROR(SWITCH(U351,"High",3,"Medium",2,"Low",0,"Unknown",1,1)+IF(Q351="Yes",2,IF(Q351="Unsure",1,0)),0)</f>
        <v/>
      </c>
      <c r="Z351" s="3">
        <f>IFERROR(ROUND((V351*2)+(W351*1)+(X351*2)+(IF(T351="Easy",2,IF(T351="Medium",1,IF(T351="Hard",-1,0))))-(Y351*2),1),0)</f>
        <v/>
      </c>
      <c r="AA351" s="3">
        <f>IFERROR(IF(S351="Not a fit","Not a Fit",IF(Y351&gt;=5,"High Risk / Needs Review",IF(AND(Z351&gt;=18,T351="Easy"),"Quick Win",IF(AND(Z351&gt;=18,T351&lt;&gt;"Easy"),"Strategic Project",IF(Z351&gt;=10,"Discovery Needed","Process Issue"))))),"")</f>
        <v/>
      </c>
      <c r="AB351" s="3">
        <f>IFERROR(SWITCH(AA351,"Quick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1" s="3" t="n"/>
      <c r="AD351" s="3" t="n"/>
      <c r="AE351" s="3" t="n"/>
    </row>
    <row r="352" ht="25" customHeight="1">
      <c r="A352" s="2" t="n"/>
      <c r="B352" s="2">
        <f>IFERROR(XLOOKUP(A352,'Intake Responses'!$A:$A,'Intake Responses'!$E:$E),"")</f>
        <v/>
      </c>
      <c r="C352" s="2">
        <f>IFERROR(XLOOKUP(A352,'Intake Responses'!$A:$A,'Intake Responses'!$D:$D),"")</f>
        <v/>
      </c>
      <c r="D352" s="2">
        <f>IFERROR(XLOOKUP(A352,'Intake Responses'!$A:$A,'Intake Responses'!$F:$F),"")</f>
        <v/>
      </c>
      <c r="E352" s="2" t="n"/>
      <c r="F352" s="2">
        <f>IFERROR(XLOOKUP(A352,'Intake Responses'!$A:$A,'Intake Responses'!$M:$M),"")</f>
        <v/>
      </c>
      <c r="G352" s="2">
        <f>IFERROR(XLOOKUP(A352,'Intake Responses'!$A:$A,'Intake Responses'!$N:$N),"")</f>
        <v/>
      </c>
      <c r="H352" s="2">
        <f>IFERROR(XLOOKUP(A352,'Intake Responses'!$A:$A,'Intake Responses'!$O:$O),"")</f>
        <v/>
      </c>
      <c r="I352" s="2">
        <f>IFERROR(SWITCH(F352,"Multiple times per day",60,"Daily",20,"Weekly",4,"Monthly",1,"Quarterly",0.33,"Ad hoc",0.5,"Unknown",0),0)</f>
        <v/>
      </c>
      <c r="J352" s="2">
        <f>IFERROR((G352*H352*I352)/60,0)</f>
        <v/>
      </c>
      <c r="K352" s="2">
        <f>IFERROR(J352*12,0)</f>
        <v/>
      </c>
      <c r="L352" s="2">
        <f>IFERROR(XLOOKUP(A352,'Intake Responses'!$A:$A,'Intake Responses'!$T:$T),"")</f>
        <v/>
      </c>
      <c r="M352" s="2">
        <f>IFERROR(XLOOKUP(A352,'Intake Responses'!$A:$A,'Intake Responses'!$U:$U),"")</f>
        <v/>
      </c>
      <c r="N352" s="2">
        <f>IFERROR(XLOOKUP(A352,'Intake Responses'!$A:$A,'Intake Responses'!$V:$V),"")</f>
        <v/>
      </c>
      <c r="O352" s="2">
        <f>IFERROR(XLOOKUP(A352,'Intake Responses'!$A:$A,'Intake Responses'!$W:$W),"")</f>
        <v/>
      </c>
      <c r="P352" s="2">
        <f>IFERROR(XLOOKUP(A352,'Intake Responses'!$A:$A,'Intake Responses'!$X:$X),"")</f>
        <v/>
      </c>
      <c r="Q352" s="2">
        <f>IFERROR(XLOOKUP(A352,'Intake Responses'!$A:$A,'Intake Responses'!$AF:$AF),"")</f>
        <v/>
      </c>
      <c r="R352" s="2">
        <f>IFERROR(XLOOKUP(A352,'Intake Responses'!$A:$A,'Intake Responses'!$S:$S),"")</f>
        <v/>
      </c>
      <c r="S352" s="2" t="n"/>
      <c r="T352" s="2" t="n"/>
      <c r="U352" s="2" t="n"/>
      <c r="V352" s="2">
        <f>IFERROR(MIN(5,ROUND(((M352+O352)/2)+(IF(J352&gt;=20,2,IF(J352&gt;=10,1.5,IF(J352&gt;=5,1,IF(J352&gt;=1,0.5,0))))),1)),0)</f>
        <v/>
      </c>
      <c r="W352" s="2">
        <f>IFERROR(SWITCH(F352,"Multiple times per day",5,"Daily",4,"Weekly",3,"Monthly",2,"Quarterly",1,"Ad hoc",1,"Unknown",0),0)</f>
        <v/>
      </c>
      <c r="X352" s="2">
        <f>IFERROR(ROUND(AVERAGE(L352,N352),1),0)</f>
        <v/>
      </c>
      <c r="Y352" s="2">
        <f>IFERROR(SWITCH(U352,"High",3,"Medium",2,"Low",0,"Unknown",1,1)+IF(Q352="Yes",2,IF(Q352="Unsure",1,0)),0)</f>
        <v/>
      </c>
      <c r="Z352" s="2">
        <f>IFERROR(ROUND((V352*2)+(W352*1)+(X352*2)+(IF(T352="Easy",2,IF(T352="Medium",1,IF(T352="Hard",-1,0))))-(Y352*2),1),0)</f>
        <v/>
      </c>
      <c r="AA352" s="2">
        <f>IFERROR(IF(S352="Not a fit","Not a Fit",IF(Y352&gt;=5,"High Risk / Needs Review",IF(AND(Z352&gt;=18,T352="Easy"),"Quick Win",IF(AND(Z352&gt;=18,T352&lt;&gt;"Easy"),"Strategic Project",IF(Z352&gt;=10,"Discovery Needed","Process Issue"))))),"")</f>
        <v/>
      </c>
      <c r="AB352" s="2">
        <f>IFERROR(SWITCH(AA352,"Quick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2" s="2" t="n"/>
      <c r="AD352" s="2" t="n"/>
      <c r="AE352" s="2" t="n"/>
    </row>
    <row r="353" ht="25" customHeight="1">
      <c r="A353" s="3" t="n"/>
      <c r="B353" s="3">
        <f>IFERROR(XLOOKUP(A353,'Intake Responses'!$A:$A,'Intake Responses'!$E:$E),"")</f>
        <v/>
      </c>
      <c r="C353" s="3">
        <f>IFERROR(XLOOKUP(A353,'Intake Responses'!$A:$A,'Intake Responses'!$D:$D),"")</f>
        <v/>
      </c>
      <c r="D353" s="3">
        <f>IFERROR(XLOOKUP(A353,'Intake Responses'!$A:$A,'Intake Responses'!$F:$F),"")</f>
        <v/>
      </c>
      <c r="E353" s="3" t="n"/>
      <c r="F353" s="3">
        <f>IFERROR(XLOOKUP(A353,'Intake Responses'!$A:$A,'Intake Responses'!$M:$M),"")</f>
        <v/>
      </c>
      <c r="G353" s="3">
        <f>IFERROR(XLOOKUP(A353,'Intake Responses'!$A:$A,'Intake Responses'!$N:$N),"")</f>
        <v/>
      </c>
      <c r="H353" s="3">
        <f>IFERROR(XLOOKUP(A353,'Intake Responses'!$A:$A,'Intake Responses'!$O:$O),"")</f>
        <v/>
      </c>
      <c r="I353" s="3">
        <f>IFERROR(SWITCH(F353,"Multiple times per day",60,"Daily",20,"Weekly",4,"Monthly",1,"Quarterly",0.33,"Ad hoc",0.5,"Unknown",0),0)</f>
        <v/>
      </c>
      <c r="J353" s="3">
        <f>IFERROR((G353*H353*I353)/60,0)</f>
        <v/>
      </c>
      <c r="K353" s="3">
        <f>IFERROR(J353*12,0)</f>
        <v/>
      </c>
      <c r="L353" s="3">
        <f>IFERROR(XLOOKUP(A353,'Intake Responses'!$A:$A,'Intake Responses'!$T:$T),"")</f>
        <v/>
      </c>
      <c r="M353" s="3">
        <f>IFERROR(XLOOKUP(A353,'Intake Responses'!$A:$A,'Intake Responses'!$U:$U),"")</f>
        <v/>
      </c>
      <c r="N353" s="3">
        <f>IFERROR(XLOOKUP(A353,'Intake Responses'!$A:$A,'Intake Responses'!$V:$V),"")</f>
        <v/>
      </c>
      <c r="O353" s="3">
        <f>IFERROR(XLOOKUP(A353,'Intake Responses'!$A:$A,'Intake Responses'!$W:$W),"")</f>
        <v/>
      </c>
      <c r="P353" s="3">
        <f>IFERROR(XLOOKUP(A353,'Intake Responses'!$A:$A,'Intake Responses'!$X:$X),"")</f>
        <v/>
      </c>
      <c r="Q353" s="3">
        <f>IFERROR(XLOOKUP(A353,'Intake Responses'!$A:$A,'Intake Responses'!$AF:$AF),"")</f>
        <v/>
      </c>
      <c r="R353" s="3">
        <f>IFERROR(XLOOKUP(A353,'Intake Responses'!$A:$A,'Intake Responses'!$S:$S),"")</f>
        <v/>
      </c>
      <c r="S353" s="3" t="n"/>
      <c r="T353" s="3" t="n"/>
      <c r="U353" s="3" t="n"/>
      <c r="V353" s="3">
        <f>IFERROR(MIN(5,ROUND(((M353+O353)/2)+(IF(J353&gt;=20,2,IF(J353&gt;=10,1.5,IF(J353&gt;=5,1,IF(J353&gt;=1,0.5,0))))),1)),0)</f>
        <v/>
      </c>
      <c r="W353" s="3">
        <f>IFERROR(SWITCH(F353,"Multiple times per day",5,"Daily",4,"Weekly",3,"Monthly",2,"Quarterly",1,"Ad hoc",1,"Unknown",0),0)</f>
        <v/>
      </c>
      <c r="X353" s="3">
        <f>IFERROR(ROUND(AVERAGE(L353,N353),1),0)</f>
        <v/>
      </c>
      <c r="Y353" s="3">
        <f>IFERROR(SWITCH(U353,"High",3,"Medium",2,"Low",0,"Unknown",1,1)+IF(Q353="Yes",2,IF(Q353="Unsure",1,0)),0)</f>
        <v/>
      </c>
      <c r="Z353" s="3">
        <f>IFERROR(ROUND((V353*2)+(W353*1)+(X353*2)+(IF(T353="Easy",2,IF(T353="Medium",1,IF(T353="Hard",-1,0))))-(Y353*2),1),0)</f>
        <v/>
      </c>
      <c r="AA353" s="3">
        <f>IFERROR(IF(S353="Not a fit","Not a Fit",IF(Y353&gt;=5,"High Risk / Needs Review",IF(AND(Z353&gt;=18,T353="Easy"),"Quick Win",IF(AND(Z353&gt;=18,T353&lt;&gt;"Easy"),"Strategic Project",IF(Z353&gt;=10,"Discovery Needed","Process Issue"))))),"")</f>
        <v/>
      </c>
      <c r="AB353" s="3">
        <f>IFERROR(SWITCH(AA353,"Quick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3" s="3" t="n"/>
      <c r="AD353" s="3" t="n"/>
      <c r="AE353" s="3" t="n"/>
    </row>
    <row r="354" ht="25" customHeight="1">
      <c r="A354" s="2" t="n"/>
      <c r="B354" s="2">
        <f>IFERROR(XLOOKUP(A354,'Intake Responses'!$A:$A,'Intake Responses'!$E:$E),"")</f>
        <v/>
      </c>
      <c r="C354" s="2">
        <f>IFERROR(XLOOKUP(A354,'Intake Responses'!$A:$A,'Intake Responses'!$D:$D),"")</f>
        <v/>
      </c>
      <c r="D354" s="2">
        <f>IFERROR(XLOOKUP(A354,'Intake Responses'!$A:$A,'Intake Responses'!$F:$F),"")</f>
        <v/>
      </c>
      <c r="E354" s="2" t="n"/>
      <c r="F354" s="2">
        <f>IFERROR(XLOOKUP(A354,'Intake Responses'!$A:$A,'Intake Responses'!$M:$M),"")</f>
        <v/>
      </c>
      <c r="G354" s="2">
        <f>IFERROR(XLOOKUP(A354,'Intake Responses'!$A:$A,'Intake Responses'!$N:$N),"")</f>
        <v/>
      </c>
      <c r="H354" s="2">
        <f>IFERROR(XLOOKUP(A354,'Intake Responses'!$A:$A,'Intake Responses'!$O:$O),"")</f>
        <v/>
      </c>
      <c r="I354" s="2">
        <f>IFERROR(SWITCH(F354,"Multiple times per day",60,"Daily",20,"Weekly",4,"Monthly",1,"Quarterly",0.33,"Ad hoc",0.5,"Unknown",0),0)</f>
        <v/>
      </c>
      <c r="J354" s="2">
        <f>IFERROR((G354*H354*I354)/60,0)</f>
        <v/>
      </c>
      <c r="K354" s="2">
        <f>IFERROR(J354*12,0)</f>
        <v/>
      </c>
      <c r="L354" s="2">
        <f>IFERROR(XLOOKUP(A354,'Intake Responses'!$A:$A,'Intake Responses'!$T:$T),"")</f>
        <v/>
      </c>
      <c r="M354" s="2">
        <f>IFERROR(XLOOKUP(A354,'Intake Responses'!$A:$A,'Intake Responses'!$U:$U),"")</f>
        <v/>
      </c>
      <c r="N354" s="2">
        <f>IFERROR(XLOOKUP(A354,'Intake Responses'!$A:$A,'Intake Responses'!$V:$V),"")</f>
        <v/>
      </c>
      <c r="O354" s="2">
        <f>IFERROR(XLOOKUP(A354,'Intake Responses'!$A:$A,'Intake Responses'!$W:$W),"")</f>
        <v/>
      </c>
      <c r="P354" s="2">
        <f>IFERROR(XLOOKUP(A354,'Intake Responses'!$A:$A,'Intake Responses'!$X:$X),"")</f>
        <v/>
      </c>
      <c r="Q354" s="2">
        <f>IFERROR(XLOOKUP(A354,'Intake Responses'!$A:$A,'Intake Responses'!$AF:$AF),"")</f>
        <v/>
      </c>
      <c r="R354" s="2">
        <f>IFERROR(XLOOKUP(A354,'Intake Responses'!$A:$A,'Intake Responses'!$S:$S),"")</f>
        <v/>
      </c>
      <c r="S354" s="2" t="n"/>
      <c r="T354" s="2" t="n"/>
      <c r="U354" s="2" t="n"/>
      <c r="V354" s="2">
        <f>IFERROR(MIN(5,ROUND(((M354+O354)/2)+(IF(J354&gt;=20,2,IF(J354&gt;=10,1.5,IF(J354&gt;=5,1,IF(J354&gt;=1,0.5,0))))),1)),0)</f>
        <v/>
      </c>
      <c r="W354" s="2">
        <f>IFERROR(SWITCH(F354,"Multiple times per day",5,"Daily",4,"Weekly",3,"Monthly",2,"Quarterly",1,"Ad hoc",1,"Unknown",0),0)</f>
        <v/>
      </c>
      <c r="X354" s="2">
        <f>IFERROR(ROUND(AVERAGE(L354,N354),1),0)</f>
        <v/>
      </c>
      <c r="Y354" s="2">
        <f>IFERROR(SWITCH(U354,"High",3,"Medium",2,"Low",0,"Unknown",1,1)+IF(Q354="Yes",2,IF(Q354="Unsure",1,0)),0)</f>
        <v/>
      </c>
      <c r="Z354" s="2">
        <f>IFERROR(ROUND((V354*2)+(W354*1)+(X354*2)+(IF(T354="Easy",2,IF(T354="Medium",1,IF(T354="Hard",-1,0))))-(Y354*2),1),0)</f>
        <v/>
      </c>
      <c r="AA354" s="2">
        <f>IFERROR(IF(S354="Not a fit","Not a Fit",IF(Y354&gt;=5,"High Risk / Needs Review",IF(AND(Z354&gt;=18,T354="Easy"),"Quick Win",IF(AND(Z354&gt;=18,T354&lt;&gt;"Easy"),"Strategic Project",IF(Z354&gt;=10,"Discovery Needed","Process Issue"))))),"")</f>
        <v/>
      </c>
      <c r="AB354" s="2">
        <f>IFERROR(SWITCH(AA354,"Quick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4" s="2" t="n"/>
      <c r="AD354" s="2" t="n"/>
      <c r="AE354" s="2" t="n"/>
    </row>
    <row r="355" ht="25" customHeight="1">
      <c r="A355" s="3" t="n"/>
      <c r="B355" s="3">
        <f>IFERROR(XLOOKUP(A355,'Intake Responses'!$A:$A,'Intake Responses'!$E:$E),"")</f>
        <v/>
      </c>
      <c r="C355" s="3">
        <f>IFERROR(XLOOKUP(A355,'Intake Responses'!$A:$A,'Intake Responses'!$D:$D),"")</f>
        <v/>
      </c>
      <c r="D355" s="3">
        <f>IFERROR(XLOOKUP(A355,'Intake Responses'!$A:$A,'Intake Responses'!$F:$F),"")</f>
        <v/>
      </c>
      <c r="E355" s="3" t="n"/>
      <c r="F355" s="3">
        <f>IFERROR(XLOOKUP(A355,'Intake Responses'!$A:$A,'Intake Responses'!$M:$M),"")</f>
        <v/>
      </c>
      <c r="G355" s="3">
        <f>IFERROR(XLOOKUP(A355,'Intake Responses'!$A:$A,'Intake Responses'!$N:$N),"")</f>
        <v/>
      </c>
      <c r="H355" s="3">
        <f>IFERROR(XLOOKUP(A355,'Intake Responses'!$A:$A,'Intake Responses'!$O:$O),"")</f>
        <v/>
      </c>
      <c r="I355" s="3">
        <f>IFERROR(SWITCH(F355,"Multiple times per day",60,"Daily",20,"Weekly",4,"Monthly",1,"Quarterly",0.33,"Ad hoc",0.5,"Unknown",0),0)</f>
        <v/>
      </c>
      <c r="J355" s="3">
        <f>IFERROR((G355*H355*I355)/60,0)</f>
        <v/>
      </c>
      <c r="K355" s="3">
        <f>IFERROR(J355*12,0)</f>
        <v/>
      </c>
      <c r="L355" s="3">
        <f>IFERROR(XLOOKUP(A355,'Intake Responses'!$A:$A,'Intake Responses'!$T:$T),"")</f>
        <v/>
      </c>
      <c r="M355" s="3">
        <f>IFERROR(XLOOKUP(A355,'Intake Responses'!$A:$A,'Intake Responses'!$U:$U),"")</f>
        <v/>
      </c>
      <c r="N355" s="3">
        <f>IFERROR(XLOOKUP(A355,'Intake Responses'!$A:$A,'Intake Responses'!$V:$V),"")</f>
        <v/>
      </c>
      <c r="O355" s="3">
        <f>IFERROR(XLOOKUP(A355,'Intake Responses'!$A:$A,'Intake Responses'!$W:$W),"")</f>
        <v/>
      </c>
      <c r="P355" s="3">
        <f>IFERROR(XLOOKUP(A355,'Intake Responses'!$A:$A,'Intake Responses'!$X:$X),"")</f>
        <v/>
      </c>
      <c r="Q355" s="3">
        <f>IFERROR(XLOOKUP(A355,'Intake Responses'!$A:$A,'Intake Responses'!$AF:$AF),"")</f>
        <v/>
      </c>
      <c r="R355" s="3">
        <f>IFERROR(XLOOKUP(A355,'Intake Responses'!$A:$A,'Intake Responses'!$S:$S),"")</f>
        <v/>
      </c>
      <c r="S355" s="3" t="n"/>
      <c r="T355" s="3" t="n"/>
      <c r="U355" s="3" t="n"/>
      <c r="V355" s="3">
        <f>IFERROR(MIN(5,ROUND(((M355+O355)/2)+(IF(J355&gt;=20,2,IF(J355&gt;=10,1.5,IF(J355&gt;=5,1,IF(J355&gt;=1,0.5,0))))),1)),0)</f>
        <v/>
      </c>
      <c r="W355" s="3">
        <f>IFERROR(SWITCH(F355,"Multiple times per day",5,"Daily",4,"Weekly",3,"Monthly",2,"Quarterly",1,"Ad hoc",1,"Unknown",0),0)</f>
        <v/>
      </c>
      <c r="X355" s="3">
        <f>IFERROR(ROUND(AVERAGE(L355,N355),1),0)</f>
        <v/>
      </c>
      <c r="Y355" s="3">
        <f>IFERROR(SWITCH(U355,"High",3,"Medium",2,"Low",0,"Unknown",1,1)+IF(Q355="Yes",2,IF(Q355="Unsure",1,0)),0)</f>
        <v/>
      </c>
      <c r="Z355" s="3">
        <f>IFERROR(ROUND((V355*2)+(W355*1)+(X355*2)+(IF(T355="Easy",2,IF(T355="Medium",1,IF(T355="Hard",-1,0))))-(Y355*2),1),0)</f>
        <v/>
      </c>
      <c r="AA355" s="3">
        <f>IFERROR(IF(S355="Not a fit","Not a Fit",IF(Y355&gt;=5,"High Risk / Needs Review",IF(AND(Z355&gt;=18,T355="Easy"),"Quick Win",IF(AND(Z355&gt;=18,T355&lt;&gt;"Easy"),"Strategic Project",IF(Z355&gt;=10,"Discovery Needed","Process Issue"))))),"")</f>
        <v/>
      </c>
      <c r="AB355" s="3">
        <f>IFERROR(SWITCH(AA355,"Quick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5" s="3" t="n"/>
      <c r="AD355" s="3" t="n"/>
      <c r="AE355" s="3" t="n"/>
    </row>
    <row r="356" ht="25" customHeight="1">
      <c r="A356" s="2" t="n"/>
      <c r="B356" s="2">
        <f>IFERROR(XLOOKUP(A356,'Intake Responses'!$A:$A,'Intake Responses'!$E:$E),"")</f>
        <v/>
      </c>
      <c r="C356" s="2">
        <f>IFERROR(XLOOKUP(A356,'Intake Responses'!$A:$A,'Intake Responses'!$D:$D),"")</f>
        <v/>
      </c>
      <c r="D356" s="2">
        <f>IFERROR(XLOOKUP(A356,'Intake Responses'!$A:$A,'Intake Responses'!$F:$F),"")</f>
        <v/>
      </c>
      <c r="E356" s="2" t="n"/>
      <c r="F356" s="2">
        <f>IFERROR(XLOOKUP(A356,'Intake Responses'!$A:$A,'Intake Responses'!$M:$M),"")</f>
        <v/>
      </c>
      <c r="G356" s="2">
        <f>IFERROR(XLOOKUP(A356,'Intake Responses'!$A:$A,'Intake Responses'!$N:$N),"")</f>
        <v/>
      </c>
      <c r="H356" s="2">
        <f>IFERROR(XLOOKUP(A356,'Intake Responses'!$A:$A,'Intake Responses'!$O:$O),"")</f>
        <v/>
      </c>
      <c r="I356" s="2">
        <f>IFERROR(SWITCH(F356,"Multiple times per day",60,"Daily",20,"Weekly",4,"Monthly",1,"Quarterly",0.33,"Ad hoc",0.5,"Unknown",0),0)</f>
        <v/>
      </c>
      <c r="J356" s="2">
        <f>IFERROR((G356*H356*I356)/60,0)</f>
        <v/>
      </c>
      <c r="K356" s="2">
        <f>IFERROR(J356*12,0)</f>
        <v/>
      </c>
      <c r="L356" s="2">
        <f>IFERROR(XLOOKUP(A356,'Intake Responses'!$A:$A,'Intake Responses'!$T:$T),"")</f>
        <v/>
      </c>
      <c r="M356" s="2">
        <f>IFERROR(XLOOKUP(A356,'Intake Responses'!$A:$A,'Intake Responses'!$U:$U),"")</f>
        <v/>
      </c>
      <c r="N356" s="2">
        <f>IFERROR(XLOOKUP(A356,'Intake Responses'!$A:$A,'Intake Responses'!$V:$V),"")</f>
        <v/>
      </c>
      <c r="O356" s="2">
        <f>IFERROR(XLOOKUP(A356,'Intake Responses'!$A:$A,'Intake Responses'!$W:$W),"")</f>
        <v/>
      </c>
      <c r="P356" s="2">
        <f>IFERROR(XLOOKUP(A356,'Intake Responses'!$A:$A,'Intake Responses'!$X:$X),"")</f>
        <v/>
      </c>
      <c r="Q356" s="2">
        <f>IFERROR(XLOOKUP(A356,'Intake Responses'!$A:$A,'Intake Responses'!$AF:$AF),"")</f>
        <v/>
      </c>
      <c r="R356" s="2">
        <f>IFERROR(XLOOKUP(A356,'Intake Responses'!$A:$A,'Intake Responses'!$S:$S),"")</f>
        <v/>
      </c>
      <c r="S356" s="2" t="n"/>
      <c r="T356" s="2" t="n"/>
      <c r="U356" s="2" t="n"/>
      <c r="V356" s="2">
        <f>IFERROR(MIN(5,ROUND(((M356+O356)/2)+(IF(J356&gt;=20,2,IF(J356&gt;=10,1.5,IF(J356&gt;=5,1,IF(J356&gt;=1,0.5,0))))),1)),0)</f>
        <v/>
      </c>
      <c r="W356" s="2">
        <f>IFERROR(SWITCH(F356,"Multiple times per day",5,"Daily",4,"Weekly",3,"Monthly",2,"Quarterly",1,"Ad hoc",1,"Unknown",0),0)</f>
        <v/>
      </c>
      <c r="X356" s="2">
        <f>IFERROR(ROUND(AVERAGE(L356,N356),1),0)</f>
        <v/>
      </c>
      <c r="Y356" s="2">
        <f>IFERROR(SWITCH(U356,"High",3,"Medium",2,"Low",0,"Unknown",1,1)+IF(Q356="Yes",2,IF(Q356="Unsure",1,0)),0)</f>
        <v/>
      </c>
      <c r="Z356" s="2">
        <f>IFERROR(ROUND((V356*2)+(W356*1)+(X356*2)+(IF(T356="Easy",2,IF(T356="Medium",1,IF(T356="Hard",-1,0))))-(Y356*2),1),0)</f>
        <v/>
      </c>
      <c r="AA356" s="2">
        <f>IFERROR(IF(S356="Not a fit","Not a Fit",IF(Y356&gt;=5,"High Risk / Needs Review",IF(AND(Z356&gt;=18,T356="Easy"),"Quick Win",IF(AND(Z356&gt;=18,T356&lt;&gt;"Easy"),"Strategic Project",IF(Z356&gt;=10,"Discovery Needed","Process Issue"))))),"")</f>
        <v/>
      </c>
      <c r="AB356" s="2">
        <f>IFERROR(SWITCH(AA356,"Quick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6" s="2" t="n"/>
      <c r="AD356" s="2" t="n"/>
      <c r="AE356" s="2" t="n"/>
    </row>
    <row r="357" ht="25" customHeight="1">
      <c r="A357" s="3" t="n"/>
      <c r="B357" s="3">
        <f>IFERROR(XLOOKUP(A357,'Intake Responses'!$A:$A,'Intake Responses'!$E:$E),"")</f>
        <v/>
      </c>
      <c r="C357" s="3">
        <f>IFERROR(XLOOKUP(A357,'Intake Responses'!$A:$A,'Intake Responses'!$D:$D),"")</f>
        <v/>
      </c>
      <c r="D357" s="3">
        <f>IFERROR(XLOOKUP(A357,'Intake Responses'!$A:$A,'Intake Responses'!$F:$F),"")</f>
        <v/>
      </c>
      <c r="E357" s="3" t="n"/>
      <c r="F357" s="3">
        <f>IFERROR(XLOOKUP(A357,'Intake Responses'!$A:$A,'Intake Responses'!$M:$M),"")</f>
        <v/>
      </c>
      <c r="G357" s="3">
        <f>IFERROR(XLOOKUP(A357,'Intake Responses'!$A:$A,'Intake Responses'!$N:$N),"")</f>
        <v/>
      </c>
      <c r="H357" s="3">
        <f>IFERROR(XLOOKUP(A357,'Intake Responses'!$A:$A,'Intake Responses'!$O:$O),"")</f>
        <v/>
      </c>
      <c r="I357" s="3">
        <f>IFERROR(SWITCH(F357,"Multiple times per day",60,"Daily",20,"Weekly",4,"Monthly",1,"Quarterly",0.33,"Ad hoc",0.5,"Unknown",0),0)</f>
        <v/>
      </c>
      <c r="J357" s="3">
        <f>IFERROR((G357*H357*I357)/60,0)</f>
        <v/>
      </c>
      <c r="K357" s="3">
        <f>IFERROR(J357*12,0)</f>
        <v/>
      </c>
      <c r="L357" s="3">
        <f>IFERROR(XLOOKUP(A357,'Intake Responses'!$A:$A,'Intake Responses'!$T:$T),"")</f>
        <v/>
      </c>
      <c r="M357" s="3">
        <f>IFERROR(XLOOKUP(A357,'Intake Responses'!$A:$A,'Intake Responses'!$U:$U),"")</f>
        <v/>
      </c>
      <c r="N357" s="3">
        <f>IFERROR(XLOOKUP(A357,'Intake Responses'!$A:$A,'Intake Responses'!$V:$V),"")</f>
        <v/>
      </c>
      <c r="O357" s="3">
        <f>IFERROR(XLOOKUP(A357,'Intake Responses'!$A:$A,'Intake Responses'!$W:$W),"")</f>
        <v/>
      </c>
      <c r="P357" s="3">
        <f>IFERROR(XLOOKUP(A357,'Intake Responses'!$A:$A,'Intake Responses'!$X:$X),"")</f>
        <v/>
      </c>
      <c r="Q357" s="3">
        <f>IFERROR(XLOOKUP(A357,'Intake Responses'!$A:$A,'Intake Responses'!$AF:$AF),"")</f>
        <v/>
      </c>
      <c r="R357" s="3">
        <f>IFERROR(XLOOKUP(A357,'Intake Responses'!$A:$A,'Intake Responses'!$S:$S),"")</f>
        <v/>
      </c>
      <c r="S357" s="3" t="n"/>
      <c r="T357" s="3" t="n"/>
      <c r="U357" s="3" t="n"/>
      <c r="V357" s="3">
        <f>IFERROR(MIN(5,ROUND(((M357+O357)/2)+(IF(J357&gt;=20,2,IF(J357&gt;=10,1.5,IF(J357&gt;=5,1,IF(J357&gt;=1,0.5,0))))),1)),0)</f>
        <v/>
      </c>
      <c r="W357" s="3">
        <f>IFERROR(SWITCH(F357,"Multiple times per day",5,"Daily",4,"Weekly",3,"Monthly",2,"Quarterly",1,"Ad hoc",1,"Unknown",0),0)</f>
        <v/>
      </c>
      <c r="X357" s="3">
        <f>IFERROR(ROUND(AVERAGE(L357,N357),1),0)</f>
        <v/>
      </c>
      <c r="Y357" s="3">
        <f>IFERROR(SWITCH(U357,"High",3,"Medium",2,"Low",0,"Unknown",1,1)+IF(Q357="Yes",2,IF(Q357="Unsure",1,0)),0)</f>
        <v/>
      </c>
      <c r="Z357" s="3">
        <f>IFERROR(ROUND((V357*2)+(W357*1)+(X357*2)+(IF(T357="Easy",2,IF(T357="Medium",1,IF(T357="Hard",-1,0))))-(Y357*2),1),0)</f>
        <v/>
      </c>
      <c r="AA357" s="3">
        <f>IFERROR(IF(S357="Not a fit","Not a Fit",IF(Y357&gt;=5,"High Risk / Needs Review",IF(AND(Z357&gt;=18,T357="Easy"),"Quick Win",IF(AND(Z357&gt;=18,T357&lt;&gt;"Easy"),"Strategic Project",IF(Z357&gt;=10,"Discovery Needed","Process Issue"))))),"")</f>
        <v/>
      </c>
      <c r="AB357" s="3">
        <f>IFERROR(SWITCH(AA357,"Quick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7" s="3" t="n"/>
      <c r="AD357" s="3" t="n"/>
      <c r="AE357" s="3" t="n"/>
    </row>
    <row r="358" ht="25" customHeight="1">
      <c r="A358" s="2" t="n"/>
      <c r="B358" s="2">
        <f>IFERROR(XLOOKUP(A358,'Intake Responses'!$A:$A,'Intake Responses'!$E:$E),"")</f>
        <v/>
      </c>
      <c r="C358" s="2">
        <f>IFERROR(XLOOKUP(A358,'Intake Responses'!$A:$A,'Intake Responses'!$D:$D),"")</f>
        <v/>
      </c>
      <c r="D358" s="2">
        <f>IFERROR(XLOOKUP(A358,'Intake Responses'!$A:$A,'Intake Responses'!$F:$F),"")</f>
        <v/>
      </c>
      <c r="E358" s="2" t="n"/>
      <c r="F358" s="2">
        <f>IFERROR(XLOOKUP(A358,'Intake Responses'!$A:$A,'Intake Responses'!$M:$M),"")</f>
        <v/>
      </c>
      <c r="G358" s="2">
        <f>IFERROR(XLOOKUP(A358,'Intake Responses'!$A:$A,'Intake Responses'!$N:$N),"")</f>
        <v/>
      </c>
      <c r="H358" s="2">
        <f>IFERROR(XLOOKUP(A358,'Intake Responses'!$A:$A,'Intake Responses'!$O:$O),"")</f>
        <v/>
      </c>
      <c r="I358" s="2">
        <f>IFERROR(SWITCH(F358,"Multiple times per day",60,"Daily",20,"Weekly",4,"Monthly",1,"Quarterly",0.33,"Ad hoc",0.5,"Unknown",0),0)</f>
        <v/>
      </c>
      <c r="J358" s="2">
        <f>IFERROR((G358*H358*I358)/60,0)</f>
        <v/>
      </c>
      <c r="K358" s="2">
        <f>IFERROR(J358*12,0)</f>
        <v/>
      </c>
      <c r="L358" s="2">
        <f>IFERROR(XLOOKUP(A358,'Intake Responses'!$A:$A,'Intake Responses'!$T:$T),"")</f>
        <v/>
      </c>
      <c r="M358" s="2">
        <f>IFERROR(XLOOKUP(A358,'Intake Responses'!$A:$A,'Intake Responses'!$U:$U),"")</f>
        <v/>
      </c>
      <c r="N358" s="2">
        <f>IFERROR(XLOOKUP(A358,'Intake Responses'!$A:$A,'Intake Responses'!$V:$V),"")</f>
        <v/>
      </c>
      <c r="O358" s="2">
        <f>IFERROR(XLOOKUP(A358,'Intake Responses'!$A:$A,'Intake Responses'!$W:$W),"")</f>
        <v/>
      </c>
      <c r="P358" s="2">
        <f>IFERROR(XLOOKUP(A358,'Intake Responses'!$A:$A,'Intake Responses'!$X:$X),"")</f>
        <v/>
      </c>
      <c r="Q358" s="2">
        <f>IFERROR(XLOOKUP(A358,'Intake Responses'!$A:$A,'Intake Responses'!$AF:$AF),"")</f>
        <v/>
      </c>
      <c r="R358" s="2">
        <f>IFERROR(XLOOKUP(A358,'Intake Responses'!$A:$A,'Intake Responses'!$S:$S),"")</f>
        <v/>
      </c>
      <c r="S358" s="2" t="n"/>
      <c r="T358" s="2" t="n"/>
      <c r="U358" s="2" t="n"/>
      <c r="V358" s="2">
        <f>IFERROR(MIN(5,ROUND(((M358+O358)/2)+(IF(J358&gt;=20,2,IF(J358&gt;=10,1.5,IF(J358&gt;=5,1,IF(J358&gt;=1,0.5,0))))),1)),0)</f>
        <v/>
      </c>
      <c r="W358" s="2">
        <f>IFERROR(SWITCH(F358,"Multiple times per day",5,"Daily",4,"Weekly",3,"Monthly",2,"Quarterly",1,"Ad hoc",1,"Unknown",0),0)</f>
        <v/>
      </c>
      <c r="X358" s="2">
        <f>IFERROR(ROUND(AVERAGE(L358,N358),1),0)</f>
        <v/>
      </c>
      <c r="Y358" s="2">
        <f>IFERROR(SWITCH(U358,"High",3,"Medium",2,"Low",0,"Unknown",1,1)+IF(Q358="Yes",2,IF(Q358="Unsure",1,0)),0)</f>
        <v/>
      </c>
      <c r="Z358" s="2">
        <f>IFERROR(ROUND((V358*2)+(W358*1)+(X358*2)+(IF(T358="Easy",2,IF(T358="Medium",1,IF(T358="Hard",-1,0))))-(Y358*2),1),0)</f>
        <v/>
      </c>
      <c r="AA358" s="2">
        <f>IFERROR(IF(S358="Not a fit","Not a Fit",IF(Y358&gt;=5,"High Risk / Needs Review",IF(AND(Z358&gt;=18,T358="Easy"),"Quick Win",IF(AND(Z358&gt;=18,T358&lt;&gt;"Easy"),"Strategic Project",IF(Z358&gt;=10,"Discovery Needed","Process Issue"))))),"")</f>
        <v/>
      </c>
      <c r="AB358" s="2">
        <f>IFERROR(SWITCH(AA358,"Quick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8" s="2" t="n"/>
      <c r="AD358" s="2" t="n"/>
      <c r="AE358" s="2" t="n"/>
    </row>
    <row r="359" ht="25" customHeight="1">
      <c r="A359" s="3" t="n"/>
      <c r="B359" s="3">
        <f>IFERROR(XLOOKUP(A359,'Intake Responses'!$A:$A,'Intake Responses'!$E:$E),"")</f>
        <v/>
      </c>
      <c r="C359" s="3">
        <f>IFERROR(XLOOKUP(A359,'Intake Responses'!$A:$A,'Intake Responses'!$D:$D),"")</f>
        <v/>
      </c>
      <c r="D359" s="3">
        <f>IFERROR(XLOOKUP(A359,'Intake Responses'!$A:$A,'Intake Responses'!$F:$F),"")</f>
        <v/>
      </c>
      <c r="E359" s="3" t="n"/>
      <c r="F359" s="3">
        <f>IFERROR(XLOOKUP(A359,'Intake Responses'!$A:$A,'Intake Responses'!$M:$M),"")</f>
        <v/>
      </c>
      <c r="G359" s="3">
        <f>IFERROR(XLOOKUP(A359,'Intake Responses'!$A:$A,'Intake Responses'!$N:$N),"")</f>
        <v/>
      </c>
      <c r="H359" s="3">
        <f>IFERROR(XLOOKUP(A359,'Intake Responses'!$A:$A,'Intake Responses'!$O:$O),"")</f>
        <v/>
      </c>
      <c r="I359" s="3">
        <f>IFERROR(SWITCH(F359,"Multiple times per day",60,"Daily",20,"Weekly",4,"Monthly",1,"Quarterly",0.33,"Ad hoc",0.5,"Unknown",0),0)</f>
        <v/>
      </c>
      <c r="J359" s="3">
        <f>IFERROR((G359*H359*I359)/60,0)</f>
        <v/>
      </c>
      <c r="K359" s="3">
        <f>IFERROR(J359*12,0)</f>
        <v/>
      </c>
      <c r="L359" s="3">
        <f>IFERROR(XLOOKUP(A359,'Intake Responses'!$A:$A,'Intake Responses'!$T:$T),"")</f>
        <v/>
      </c>
      <c r="M359" s="3">
        <f>IFERROR(XLOOKUP(A359,'Intake Responses'!$A:$A,'Intake Responses'!$U:$U),"")</f>
        <v/>
      </c>
      <c r="N359" s="3">
        <f>IFERROR(XLOOKUP(A359,'Intake Responses'!$A:$A,'Intake Responses'!$V:$V),"")</f>
        <v/>
      </c>
      <c r="O359" s="3">
        <f>IFERROR(XLOOKUP(A359,'Intake Responses'!$A:$A,'Intake Responses'!$W:$W),"")</f>
        <v/>
      </c>
      <c r="P359" s="3">
        <f>IFERROR(XLOOKUP(A359,'Intake Responses'!$A:$A,'Intake Responses'!$X:$X),"")</f>
        <v/>
      </c>
      <c r="Q359" s="3">
        <f>IFERROR(XLOOKUP(A359,'Intake Responses'!$A:$A,'Intake Responses'!$AF:$AF),"")</f>
        <v/>
      </c>
      <c r="R359" s="3">
        <f>IFERROR(XLOOKUP(A359,'Intake Responses'!$A:$A,'Intake Responses'!$S:$S),"")</f>
        <v/>
      </c>
      <c r="S359" s="3" t="n"/>
      <c r="T359" s="3" t="n"/>
      <c r="U359" s="3" t="n"/>
      <c r="V359" s="3">
        <f>IFERROR(MIN(5,ROUND(((M359+O359)/2)+(IF(J359&gt;=20,2,IF(J359&gt;=10,1.5,IF(J359&gt;=5,1,IF(J359&gt;=1,0.5,0))))),1)),0)</f>
        <v/>
      </c>
      <c r="W359" s="3">
        <f>IFERROR(SWITCH(F359,"Multiple times per day",5,"Daily",4,"Weekly",3,"Monthly",2,"Quarterly",1,"Ad hoc",1,"Unknown",0),0)</f>
        <v/>
      </c>
      <c r="X359" s="3">
        <f>IFERROR(ROUND(AVERAGE(L359,N359),1),0)</f>
        <v/>
      </c>
      <c r="Y359" s="3">
        <f>IFERROR(SWITCH(U359,"High",3,"Medium",2,"Low",0,"Unknown",1,1)+IF(Q359="Yes",2,IF(Q359="Unsure",1,0)),0)</f>
        <v/>
      </c>
      <c r="Z359" s="3">
        <f>IFERROR(ROUND((V359*2)+(W359*1)+(X359*2)+(IF(T359="Easy",2,IF(T359="Medium",1,IF(T359="Hard",-1,0))))-(Y359*2),1),0)</f>
        <v/>
      </c>
      <c r="AA359" s="3">
        <f>IFERROR(IF(S359="Not a fit","Not a Fit",IF(Y359&gt;=5,"High Risk / Needs Review",IF(AND(Z359&gt;=18,T359="Easy"),"Quick Win",IF(AND(Z359&gt;=18,T359&lt;&gt;"Easy"),"Strategic Project",IF(Z359&gt;=10,"Discovery Needed","Process Issue"))))),"")</f>
        <v/>
      </c>
      <c r="AB359" s="3">
        <f>IFERROR(SWITCH(AA359,"Quick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59" s="3" t="n"/>
      <c r="AD359" s="3" t="n"/>
      <c r="AE359" s="3" t="n"/>
    </row>
    <row r="360" ht="25" customHeight="1">
      <c r="A360" s="2" t="n"/>
      <c r="B360" s="2">
        <f>IFERROR(XLOOKUP(A360,'Intake Responses'!$A:$A,'Intake Responses'!$E:$E),"")</f>
        <v/>
      </c>
      <c r="C360" s="2">
        <f>IFERROR(XLOOKUP(A360,'Intake Responses'!$A:$A,'Intake Responses'!$D:$D),"")</f>
        <v/>
      </c>
      <c r="D360" s="2">
        <f>IFERROR(XLOOKUP(A360,'Intake Responses'!$A:$A,'Intake Responses'!$F:$F),"")</f>
        <v/>
      </c>
      <c r="E360" s="2" t="n"/>
      <c r="F360" s="2">
        <f>IFERROR(XLOOKUP(A360,'Intake Responses'!$A:$A,'Intake Responses'!$M:$M),"")</f>
        <v/>
      </c>
      <c r="G360" s="2">
        <f>IFERROR(XLOOKUP(A360,'Intake Responses'!$A:$A,'Intake Responses'!$N:$N),"")</f>
        <v/>
      </c>
      <c r="H360" s="2">
        <f>IFERROR(XLOOKUP(A360,'Intake Responses'!$A:$A,'Intake Responses'!$O:$O),"")</f>
        <v/>
      </c>
      <c r="I360" s="2">
        <f>IFERROR(SWITCH(F360,"Multiple times per day",60,"Daily",20,"Weekly",4,"Monthly",1,"Quarterly",0.33,"Ad hoc",0.5,"Unknown",0),0)</f>
        <v/>
      </c>
      <c r="J360" s="2">
        <f>IFERROR((G360*H360*I360)/60,0)</f>
        <v/>
      </c>
      <c r="K360" s="2">
        <f>IFERROR(J360*12,0)</f>
        <v/>
      </c>
      <c r="L360" s="2">
        <f>IFERROR(XLOOKUP(A360,'Intake Responses'!$A:$A,'Intake Responses'!$T:$T),"")</f>
        <v/>
      </c>
      <c r="M360" s="2">
        <f>IFERROR(XLOOKUP(A360,'Intake Responses'!$A:$A,'Intake Responses'!$U:$U),"")</f>
        <v/>
      </c>
      <c r="N360" s="2">
        <f>IFERROR(XLOOKUP(A360,'Intake Responses'!$A:$A,'Intake Responses'!$V:$V),"")</f>
        <v/>
      </c>
      <c r="O360" s="2">
        <f>IFERROR(XLOOKUP(A360,'Intake Responses'!$A:$A,'Intake Responses'!$W:$W),"")</f>
        <v/>
      </c>
      <c r="P360" s="2">
        <f>IFERROR(XLOOKUP(A360,'Intake Responses'!$A:$A,'Intake Responses'!$X:$X),"")</f>
        <v/>
      </c>
      <c r="Q360" s="2">
        <f>IFERROR(XLOOKUP(A360,'Intake Responses'!$A:$A,'Intake Responses'!$AF:$AF),"")</f>
        <v/>
      </c>
      <c r="R360" s="2">
        <f>IFERROR(XLOOKUP(A360,'Intake Responses'!$A:$A,'Intake Responses'!$S:$S),"")</f>
        <v/>
      </c>
      <c r="S360" s="2" t="n"/>
      <c r="T360" s="2" t="n"/>
      <c r="U360" s="2" t="n"/>
      <c r="V360" s="2">
        <f>IFERROR(MIN(5,ROUND(((M360+O360)/2)+(IF(J360&gt;=20,2,IF(J360&gt;=10,1.5,IF(J360&gt;=5,1,IF(J360&gt;=1,0.5,0))))),1)),0)</f>
        <v/>
      </c>
      <c r="W360" s="2">
        <f>IFERROR(SWITCH(F360,"Multiple times per day",5,"Daily",4,"Weekly",3,"Monthly",2,"Quarterly",1,"Ad hoc",1,"Unknown",0),0)</f>
        <v/>
      </c>
      <c r="X360" s="2">
        <f>IFERROR(ROUND(AVERAGE(L360,N360),1),0)</f>
        <v/>
      </c>
      <c r="Y360" s="2">
        <f>IFERROR(SWITCH(U360,"High",3,"Medium",2,"Low",0,"Unknown",1,1)+IF(Q360="Yes",2,IF(Q360="Unsure",1,0)),0)</f>
        <v/>
      </c>
      <c r="Z360" s="2">
        <f>IFERROR(ROUND((V360*2)+(W360*1)+(X360*2)+(IF(T360="Easy",2,IF(T360="Medium",1,IF(T360="Hard",-1,0))))-(Y360*2),1),0)</f>
        <v/>
      </c>
      <c r="AA360" s="2">
        <f>IFERROR(IF(S360="Not a fit","Not a Fit",IF(Y360&gt;=5,"High Risk / Needs Review",IF(AND(Z360&gt;=18,T360="Easy"),"Quick Win",IF(AND(Z360&gt;=18,T360&lt;&gt;"Easy"),"Strategic Project",IF(Z360&gt;=10,"Discovery Needed","Process Issue"))))),"")</f>
        <v/>
      </c>
      <c r="AB360" s="2">
        <f>IFERROR(SWITCH(AA360,"Quick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0" s="2" t="n"/>
      <c r="AD360" s="2" t="n"/>
      <c r="AE360" s="2" t="n"/>
    </row>
    <row r="361" ht="25" customHeight="1">
      <c r="A361" s="3" t="n"/>
      <c r="B361" s="3">
        <f>IFERROR(XLOOKUP(A361,'Intake Responses'!$A:$A,'Intake Responses'!$E:$E),"")</f>
        <v/>
      </c>
      <c r="C361" s="3">
        <f>IFERROR(XLOOKUP(A361,'Intake Responses'!$A:$A,'Intake Responses'!$D:$D),"")</f>
        <v/>
      </c>
      <c r="D361" s="3">
        <f>IFERROR(XLOOKUP(A361,'Intake Responses'!$A:$A,'Intake Responses'!$F:$F),"")</f>
        <v/>
      </c>
      <c r="E361" s="3" t="n"/>
      <c r="F361" s="3">
        <f>IFERROR(XLOOKUP(A361,'Intake Responses'!$A:$A,'Intake Responses'!$M:$M),"")</f>
        <v/>
      </c>
      <c r="G361" s="3">
        <f>IFERROR(XLOOKUP(A361,'Intake Responses'!$A:$A,'Intake Responses'!$N:$N),"")</f>
        <v/>
      </c>
      <c r="H361" s="3">
        <f>IFERROR(XLOOKUP(A361,'Intake Responses'!$A:$A,'Intake Responses'!$O:$O),"")</f>
        <v/>
      </c>
      <c r="I361" s="3">
        <f>IFERROR(SWITCH(F361,"Multiple times per day",60,"Daily",20,"Weekly",4,"Monthly",1,"Quarterly",0.33,"Ad hoc",0.5,"Unknown",0),0)</f>
        <v/>
      </c>
      <c r="J361" s="3">
        <f>IFERROR((G361*H361*I361)/60,0)</f>
        <v/>
      </c>
      <c r="K361" s="3">
        <f>IFERROR(J361*12,0)</f>
        <v/>
      </c>
      <c r="L361" s="3">
        <f>IFERROR(XLOOKUP(A361,'Intake Responses'!$A:$A,'Intake Responses'!$T:$T),"")</f>
        <v/>
      </c>
      <c r="M361" s="3">
        <f>IFERROR(XLOOKUP(A361,'Intake Responses'!$A:$A,'Intake Responses'!$U:$U),"")</f>
        <v/>
      </c>
      <c r="N361" s="3">
        <f>IFERROR(XLOOKUP(A361,'Intake Responses'!$A:$A,'Intake Responses'!$V:$V),"")</f>
        <v/>
      </c>
      <c r="O361" s="3">
        <f>IFERROR(XLOOKUP(A361,'Intake Responses'!$A:$A,'Intake Responses'!$W:$W),"")</f>
        <v/>
      </c>
      <c r="P361" s="3">
        <f>IFERROR(XLOOKUP(A361,'Intake Responses'!$A:$A,'Intake Responses'!$X:$X),"")</f>
        <v/>
      </c>
      <c r="Q361" s="3">
        <f>IFERROR(XLOOKUP(A361,'Intake Responses'!$A:$A,'Intake Responses'!$AF:$AF),"")</f>
        <v/>
      </c>
      <c r="R361" s="3">
        <f>IFERROR(XLOOKUP(A361,'Intake Responses'!$A:$A,'Intake Responses'!$S:$S),"")</f>
        <v/>
      </c>
      <c r="S361" s="3" t="n"/>
      <c r="T361" s="3" t="n"/>
      <c r="U361" s="3" t="n"/>
      <c r="V361" s="3">
        <f>IFERROR(MIN(5,ROUND(((M361+O361)/2)+(IF(J361&gt;=20,2,IF(J361&gt;=10,1.5,IF(J361&gt;=5,1,IF(J361&gt;=1,0.5,0))))),1)),0)</f>
        <v/>
      </c>
      <c r="W361" s="3">
        <f>IFERROR(SWITCH(F361,"Multiple times per day",5,"Daily",4,"Weekly",3,"Monthly",2,"Quarterly",1,"Ad hoc",1,"Unknown",0),0)</f>
        <v/>
      </c>
      <c r="X361" s="3">
        <f>IFERROR(ROUND(AVERAGE(L361,N361),1),0)</f>
        <v/>
      </c>
      <c r="Y361" s="3">
        <f>IFERROR(SWITCH(U361,"High",3,"Medium",2,"Low",0,"Unknown",1,1)+IF(Q361="Yes",2,IF(Q361="Unsure",1,0)),0)</f>
        <v/>
      </c>
      <c r="Z361" s="3">
        <f>IFERROR(ROUND((V361*2)+(W361*1)+(X361*2)+(IF(T361="Easy",2,IF(T361="Medium",1,IF(T361="Hard",-1,0))))-(Y361*2),1),0)</f>
        <v/>
      </c>
      <c r="AA361" s="3">
        <f>IFERROR(IF(S361="Not a fit","Not a Fit",IF(Y361&gt;=5,"High Risk / Needs Review",IF(AND(Z361&gt;=18,T361="Easy"),"Quick Win",IF(AND(Z361&gt;=18,T361&lt;&gt;"Easy"),"Strategic Project",IF(Z361&gt;=10,"Discovery Needed","Process Issue"))))),"")</f>
        <v/>
      </c>
      <c r="AB361" s="3">
        <f>IFERROR(SWITCH(AA361,"Quick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1" s="3" t="n"/>
      <c r="AD361" s="3" t="n"/>
      <c r="AE361" s="3" t="n"/>
    </row>
    <row r="362" ht="25" customHeight="1">
      <c r="A362" s="2" t="n"/>
      <c r="B362" s="2">
        <f>IFERROR(XLOOKUP(A362,'Intake Responses'!$A:$A,'Intake Responses'!$E:$E),"")</f>
        <v/>
      </c>
      <c r="C362" s="2">
        <f>IFERROR(XLOOKUP(A362,'Intake Responses'!$A:$A,'Intake Responses'!$D:$D),"")</f>
        <v/>
      </c>
      <c r="D362" s="2">
        <f>IFERROR(XLOOKUP(A362,'Intake Responses'!$A:$A,'Intake Responses'!$F:$F),"")</f>
        <v/>
      </c>
      <c r="E362" s="2" t="n"/>
      <c r="F362" s="2">
        <f>IFERROR(XLOOKUP(A362,'Intake Responses'!$A:$A,'Intake Responses'!$M:$M),"")</f>
        <v/>
      </c>
      <c r="G362" s="2">
        <f>IFERROR(XLOOKUP(A362,'Intake Responses'!$A:$A,'Intake Responses'!$N:$N),"")</f>
        <v/>
      </c>
      <c r="H362" s="2">
        <f>IFERROR(XLOOKUP(A362,'Intake Responses'!$A:$A,'Intake Responses'!$O:$O),"")</f>
        <v/>
      </c>
      <c r="I362" s="2">
        <f>IFERROR(SWITCH(F362,"Multiple times per day",60,"Daily",20,"Weekly",4,"Monthly",1,"Quarterly",0.33,"Ad hoc",0.5,"Unknown",0),0)</f>
        <v/>
      </c>
      <c r="J362" s="2">
        <f>IFERROR((G362*H362*I362)/60,0)</f>
        <v/>
      </c>
      <c r="K362" s="2">
        <f>IFERROR(J362*12,0)</f>
        <v/>
      </c>
      <c r="L362" s="2">
        <f>IFERROR(XLOOKUP(A362,'Intake Responses'!$A:$A,'Intake Responses'!$T:$T),"")</f>
        <v/>
      </c>
      <c r="M362" s="2">
        <f>IFERROR(XLOOKUP(A362,'Intake Responses'!$A:$A,'Intake Responses'!$U:$U),"")</f>
        <v/>
      </c>
      <c r="N362" s="2">
        <f>IFERROR(XLOOKUP(A362,'Intake Responses'!$A:$A,'Intake Responses'!$V:$V),"")</f>
        <v/>
      </c>
      <c r="O362" s="2">
        <f>IFERROR(XLOOKUP(A362,'Intake Responses'!$A:$A,'Intake Responses'!$W:$W),"")</f>
        <v/>
      </c>
      <c r="P362" s="2">
        <f>IFERROR(XLOOKUP(A362,'Intake Responses'!$A:$A,'Intake Responses'!$X:$X),"")</f>
        <v/>
      </c>
      <c r="Q362" s="2">
        <f>IFERROR(XLOOKUP(A362,'Intake Responses'!$A:$A,'Intake Responses'!$AF:$AF),"")</f>
        <v/>
      </c>
      <c r="R362" s="2">
        <f>IFERROR(XLOOKUP(A362,'Intake Responses'!$A:$A,'Intake Responses'!$S:$S),"")</f>
        <v/>
      </c>
      <c r="S362" s="2" t="n"/>
      <c r="T362" s="2" t="n"/>
      <c r="U362" s="2" t="n"/>
      <c r="V362" s="2">
        <f>IFERROR(MIN(5,ROUND(((M362+O362)/2)+(IF(J362&gt;=20,2,IF(J362&gt;=10,1.5,IF(J362&gt;=5,1,IF(J362&gt;=1,0.5,0))))),1)),0)</f>
        <v/>
      </c>
      <c r="W362" s="2">
        <f>IFERROR(SWITCH(F362,"Multiple times per day",5,"Daily",4,"Weekly",3,"Monthly",2,"Quarterly",1,"Ad hoc",1,"Unknown",0),0)</f>
        <v/>
      </c>
      <c r="X362" s="2">
        <f>IFERROR(ROUND(AVERAGE(L362,N362),1),0)</f>
        <v/>
      </c>
      <c r="Y362" s="2">
        <f>IFERROR(SWITCH(U362,"High",3,"Medium",2,"Low",0,"Unknown",1,1)+IF(Q362="Yes",2,IF(Q362="Unsure",1,0)),0)</f>
        <v/>
      </c>
      <c r="Z362" s="2">
        <f>IFERROR(ROUND((V362*2)+(W362*1)+(X362*2)+(IF(T362="Easy",2,IF(T362="Medium",1,IF(T362="Hard",-1,0))))-(Y362*2),1),0)</f>
        <v/>
      </c>
      <c r="AA362" s="2">
        <f>IFERROR(IF(S362="Not a fit","Not a Fit",IF(Y362&gt;=5,"High Risk / Needs Review",IF(AND(Z362&gt;=18,T362="Easy"),"Quick Win",IF(AND(Z362&gt;=18,T362&lt;&gt;"Easy"),"Strategic Project",IF(Z362&gt;=10,"Discovery Needed","Process Issue"))))),"")</f>
        <v/>
      </c>
      <c r="AB362" s="2">
        <f>IFERROR(SWITCH(AA362,"Quick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2" s="2" t="n"/>
      <c r="AD362" s="2" t="n"/>
      <c r="AE362" s="2" t="n"/>
    </row>
    <row r="363" ht="25" customHeight="1">
      <c r="A363" s="3" t="n"/>
      <c r="B363" s="3">
        <f>IFERROR(XLOOKUP(A363,'Intake Responses'!$A:$A,'Intake Responses'!$E:$E),"")</f>
        <v/>
      </c>
      <c r="C363" s="3">
        <f>IFERROR(XLOOKUP(A363,'Intake Responses'!$A:$A,'Intake Responses'!$D:$D),"")</f>
        <v/>
      </c>
      <c r="D363" s="3">
        <f>IFERROR(XLOOKUP(A363,'Intake Responses'!$A:$A,'Intake Responses'!$F:$F),"")</f>
        <v/>
      </c>
      <c r="E363" s="3" t="n"/>
      <c r="F363" s="3">
        <f>IFERROR(XLOOKUP(A363,'Intake Responses'!$A:$A,'Intake Responses'!$M:$M),"")</f>
        <v/>
      </c>
      <c r="G363" s="3">
        <f>IFERROR(XLOOKUP(A363,'Intake Responses'!$A:$A,'Intake Responses'!$N:$N),"")</f>
        <v/>
      </c>
      <c r="H363" s="3">
        <f>IFERROR(XLOOKUP(A363,'Intake Responses'!$A:$A,'Intake Responses'!$O:$O),"")</f>
        <v/>
      </c>
      <c r="I363" s="3">
        <f>IFERROR(SWITCH(F363,"Multiple times per day",60,"Daily",20,"Weekly",4,"Monthly",1,"Quarterly",0.33,"Ad hoc",0.5,"Unknown",0),0)</f>
        <v/>
      </c>
      <c r="J363" s="3">
        <f>IFERROR((G363*H363*I363)/60,0)</f>
        <v/>
      </c>
      <c r="K363" s="3">
        <f>IFERROR(J363*12,0)</f>
        <v/>
      </c>
      <c r="L363" s="3">
        <f>IFERROR(XLOOKUP(A363,'Intake Responses'!$A:$A,'Intake Responses'!$T:$T),"")</f>
        <v/>
      </c>
      <c r="M363" s="3">
        <f>IFERROR(XLOOKUP(A363,'Intake Responses'!$A:$A,'Intake Responses'!$U:$U),"")</f>
        <v/>
      </c>
      <c r="N363" s="3">
        <f>IFERROR(XLOOKUP(A363,'Intake Responses'!$A:$A,'Intake Responses'!$V:$V),"")</f>
        <v/>
      </c>
      <c r="O363" s="3">
        <f>IFERROR(XLOOKUP(A363,'Intake Responses'!$A:$A,'Intake Responses'!$W:$W),"")</f>
        <v/>
      </c>
      <c r="P363" s="3">
        <f>IFERROR(XLOOKUP(A363,'Intake Responses'!$A:$A,'Intake Responses'!$X:$X),"")</f>
        <v/>
      </c>
      <c r="Q363" s="3">
        <f>IFERROR(XLOOKUP(A363,'Intake Responses'!$A:$A,'Intake Responses'!$AF:$AF),"")</f>
        <v/>
      </c>
      <c r="R363" s="3">
        <f>IFERROR(XLOOKUP(A363,'Intake Responses'!$A:$A,'Intake Responses'!$S:$S),"")</f>
        <v/>
      </c>
      <c r="S363" s="3" t="n"/>
      <c r="T363" s="3" t="n"/>
      <c r="U363" s="3" t="n"/>
      <c r="V363" s="3">
        <f>IFERROR(MIN(5,ROUND(((M363+O363)/2)+(IF(J363&gt;=20,2,IF(J363&gt;=10,1.5,IF(J363&gt;=5,1,IF(J363&gt;=1,0.5,0))))),1)),0)</f>
        <v/>
      </c>
      <c r="W363" s="3">
        <f>IFERROR(SWITCH(F363,"Multiple times per day",5,"Daily",4,"Weekly",3,"Monthly",2,"Quarterly",1,"Ad hoc",1,"Unknown",0),0)</f>
        <v/>
      </c>
      <c r="X363" s="3">
        <f>IFERROR(ROUND(AVERAGE(L363,N363),1),0)</f>
        <v/>
      </c>
      <c r="Y363" s="3">
        <f>IFERROR(SWITCH(U363,"High",3,"Medium",2,"Low",0,"Unknown",1,1)+IF(Q363="Yes",2,IF(Q363="Unsure",1,0)),0)</f>
        <v/>
      </c>
      <c r="Z363" s="3">
        <f>IFERROR(ROUND((V363*2)+(W363*1)+(X363*2)+(IF(T363="Easy",2,IF(T363="Medium",1,IF(T363="Hard",-1,0))))-(Y363*2),1),0)</f>
        <v/>
      </c>
      <c r="AA363" s="3">
        <f>IFERROR(IF(S363="Not a fit","Not a Fit",IF(Y363&gt;=5,"High Risk / Needs Review",IF(AND(Z363&gt;=18,T363="Easy"),"Quick Win",IF(AND(Z363&gt;=18,T363&lt;&gt;"Easy"),"Strategic Project",IF(Z363&gt;=10,"Discovery Needed","Process Issue"))))),"")</f>
        <v/>
      </c>
      <c r="AB363" s="3">
        <f>IFERROR(SWITCH(AA363,"Quick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3" s="3" t="n"/>
      <c r="AD363" s="3" t="n"/>
      <c r="AE363" s="3" t="n"/>
    </row>
    <row r="364" ht="25" customHeight="1">
      <c r="A364" s="2" t="n"/>
      <c r="B364" s="2">
        <f>IFERROR(XLOOKUP(A364,'Intake Responses'!$A:$A,'Intake Responses'!$E:$E),"")</f>
        <v/>
      </c>
      <c r="C364" s="2">
        <f>IFERROR(XLOOKUP(A364,'Intake Responses'!$A:$A,'Intake Responses'!$D:$D),"")</f>
        <v/>
      </c>
      <c r="D364" s="2">
        <f>IFERROR(XLOOKUP(A364,'Intake Responses'!$A:$A,'Intake Responses'!$F:$F),"")</f>
        <v/>
      </c>
      <c r="E364" s="2" t="n"/>
      <c r="F364" s="2">
        <f>IFERROR(XLOOKUP(A364,'Intake Responses'!$A:$A,'Intake Responses'!$M:$M),"")</f>
        <v/>
      </c>
      <c r="G364" s="2">
        <f>IFERROR(XLOOKUP(A364,'Intake Responses'!$A:$A,'Intake Responses'!$N:$N),"")</f>
        <v/>
      </c>
      <c r="H364" s="2">
        <f>IFERROR(XLOOKUP(A364,'Intake Responses'!$A:$A,'Intake Responses'!$O:$O),"")</f>
        <v/>
      </c>
      <c r="I364" s="2">
        <f>IFERROR(SWITCH(F364,"Multiple times per day",60,"Daily",20,"Weekly",4,"Monthly",1,"Quarterly",0.33,"Ad hoc",0.5,"Unknown",0),0)</f>
        <v/>
      </c>
      <c r="J364" s="2">
        <f>IFERROR((G364*H364*I364)/60,0)</f>
        <v/>
      </c>
      <c r="K364" s="2">
        <f>IFERROR(J364*12,0)</f>
        <v/>
      </c>
      <c r="L364" s="2">
        <f>IFERROR(XLOOKUP(A364,'Intake Responses'!$A:$A,'Intake Responses'!$T:$T),"")</f>
        <v/>
      </c>
      <c r="M364" s="2">
        <f>IFERROR(XLOOKUP(A364,'Intake Responses'!$A:$A,'Intake Responses'!$U:$U),"")</f>
        <v/>
      </c>
      <c r="N364" s="2">
        <f>IFERROR(XLOOKUP(A364,'Intake Responses'!$A:$A,'Intake Responses'!$V:$V),"")</f>
        <v/>
      </c>
      <c r="O364" s="2">
        <f>IFERROR(XLOOKUP(A364,'Intake Responses'!$A:$A,'Intake Responses'!$W:$W),"")</f>
        <v/>
      </c>
      <c r="P364" s="2">
        <f>IFERROR(XLOOKUP(A364,'Intake Responses'!$A:$A,'Intake Responses'!$X:$X),"")</f>
        <v/>
      </c>
      <c r="Q364" s="2">
        <f>IFERROR(XLOOKUP(A364,'Intake Responses'!$A:$A,'Intake Responses'!$AF:$AF),"")</f>
        <v/>
      </c>
      <c r="R364" s="2">
        <f>IFERROR(XLOOKUP(A364,'Intake Responses'!$A:$A,'Intake Responses'!$S:$S),"")</f>
        <v/>
      </c>
      <c r="S364" s="2" t="n"/>
      <c r="T364" s="2" t="n"/>
      <c r="U364" s="2" t="n"/>
      <c r="V364" s="2">
        <f>IFERROR(MIN(5,ROUND(((M364+O364)/2)+(IF(J364&gt;=20,2,IF(J364&gt;=10,1.5,IF(J364&gt;=5,1,IF(J364&gt;=1,0.5,0))))),1)),0)</f>
        <v/>
      </c>
      <c r="W364" s="2">
        <f>IFERROR(SWITCH(F364,"Multiple times per day",5,"Daily",4,"Weekly",3,"Monthly",2,"Quarterly",1,"Ad hoc",1,"Unknown",0),0)</f>
        <v/>
      </c>
      <c r="X364" s="2">
        <f>IFERROR(ROUND(AVERAGE(L364,N364),1),0)</f>
        <v/>
      </c>
      <c r="Y364" s="2">
        <f>IFERROR(SWITCH(U364,"High",3,"Medium",2,"Low",0,"Unknown",1,1)+IF(Q364="Yes",2,IF(Q364="Unsure",1,0)),0)</f>
        <v/>
      </c>
      <c r="Z364" s="2">
        <f>IFERROR(ROUND((V364*2)+(W364*1)+(X364*2)+(IF(T364="Easy",2,IF(T364="Medium",1,IF(T364="Hard",-1,0))))-(Y364*2),1),0)</f>
        <v/>
      </c>
      <c r="AA364" s="2">
        <f>IFERROR(IF(S364="Not a fit","Not a Fit",IF(Y364&gt;=5,"High Risk / Needs Review",IF(AND(Z364&gt;=18,T364="Easy"),"Quick Win",IF(AND(Z364&gt;=18,T364&lt;&gt;"Easy"),"Strategic Project",IF(Z364&gt;=10,"Discovery Needed","Process Issue"))))),"")</f>
        <v/>
      </c>
      <c r="AB364" s="2">
        <f>IFERROR(SWITCH(AA364,"Quick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4" s="2" t="n"/>
      <c r="AD364" s="2" t="n"/>
      <c r="AE364" s="2" t="n"/>
    </row>
    <row r="365" ht="25" customHeight="1">
      <c r="A365" s="3" t="n"/>
      <c r="B365" s="3">
        <f>IFERROR(XLOOKUP(A365,'Intake Responses'!$A:$A,'Intake Responses'!$E:$E),"")</f>
        <v/>
      </c>
      <c r="C365" s="3">
        <f>IFERROR(XLOOKUP(A365,'Intake Responses'!$A:$A,'Intake Responses'!$D:$D),"")</f>
        <v/>
      </c>
      <c r="D365" s="3">
        <f>IFERROR(XLOOKUP(A365,'Intake Responses'!$A:$A,'Intake Responses'!$F:$F),"")</f>
        <v/>
      </c>
      <c r="E365" s="3" t="n"/>
      <c r="F365" s="3">
        <f>IFERROR(XLOOKUP(A365,'Intake Responses'!$A:$A,'Intake Responses'!$M:$M),"")</f>
        <v/>
      </c>
      <c r="G365" s="3">
        <f>IFERROR(XLOOKUP(A365,'Intake Responses'!$A:$A,'Intake Responses'!$N:$N),"")</f>
        <v/>
      </c>
      <c r="H365" s="3">
        <f>IFERROR(XLOOKUP(A365,'Intake Responses'!$A:$A,'Intake Responses'!$O:$O),"")</f>
        <v/>
      </c>
      <c r="I365" s="3">
        <f>IFERROR(SWITCH(F365,"Multiple times per day",60,"Daily",20,"Weekly",4,"Monthly",1,"Quarterly",0.33,"Ad hoc",0.5,"Unknown",0),0)</f>
        <v/>
      </c>
      <c r="J365" s="3">
        <f>IFERROR((G365*H365*I365)/60,0)</f>
        <v/>
      </c>
      <c r="K365" s="3">
        <f>IFERROR(J365*12,0)</f>
        <v/>
      </c>
      <c r="L365" s="3">
        <f>IFERROR(XLOOKUP(A365,'Intake Responses'!$A:$A,'Intake Responses'!$T:$T),"")</f>
        <v/>
      </c>
      <c r="M365" s="3">
        <f>IFERROR(XLOOKUP(A365,'Intake Responses'!$A:$A,'Intake Responses'!$U:$U),"")</f>
        <v/>
      </c>
      <c r="N365" s="3">
        <f>IFERROR(XLOOKUP(A365,'Intake Responses'!$A:$A,'Intake Responses'!$V:$V),"")</f>
        <v/>
      </c>
      <c r="O365" s="3">
        <f>IFERROR(XLOOKUP(A365,'Intake Responses'!$A:$A,'Intake Responses'!$W:$W),"")</f>
        <v/>
      </c>
      <c r="P365" s="3">
        <f>IFERROR(XLOOKUP(A365,'Intake Responses'!$A:$A,'Intake Responses'!$X:$X),"")</f>
        <v/>
      </c>
      <c r="Q365" s="3">
        <f>IFERROR(XLOOKUP(A365,'Intake Responses'!$A:$A,'Intake Responses'!$AF:$AF),"")</f>
        <v/>
      </c>
      <c r="R365" s="3">
        <f>IFERROR(XLOOKUP(A365,'Intake Responses'!$A:$A,'Intake Responses'!$S:$S),"")</f>
        <v/>
      </c>
      <c r="S365" s="3" t="n"/>
      <c r="T365" s="3" t="n"/>
      <c r="U365" s="3" t="n"/>
      <c r="V365" s="3">
        <f>IFERROR(MIN(5,ROUND(((M365+O365)/2)+(IF(J365&gt;=20,2,IF(J365&gt;=10,1.5,IF(J365&gt;=5,1,IF(J365&gt;=1,0.5,0))))),1)),0)</f>
        <v/>
      </c>
      <c r="W365" s="3">
        <f>IFERROR(SWITCH(F365,"Multiple times per day",5,"Daily",4,"Weekly",3,"Monthly",2,"Quarterly",1,"Ad hoc",1,"Unknown",0),0)</f>
        <v/>
      </c>
      <c r="X365" s="3">
        <f>IFERROR(ROUND(AVERAGE(L365,N365),1),0)</f>
        <v/>
      </c>
      <c r="Y365" s="3">
        <f>IFERROR(SWITCH(U365,"High",3,"Medium",2,"Low",0,"Unknown",1,1)+IF(Q365="Yes",2,IF(Q365="Unsure",1,0)),0)</f>
        <v/>
      </c>
      <c r="Z365" s="3">
        <f>IFERROR(ROUND((V365*2)+(W365*1)+(X365*2)+(IF(T365="Easy",2,IF(T365="Medium",1,IF(T365="Hard",-1,0))))-(Y365*2),1),0)</f>
        <v/>
      </c>
      <c r="AA365" s="3">
        <f>IFERROR(IF(S365="Not a fit","Not a Fit",IF(Y365&gt;=5,"High Risk / Needs Review",IF(AND(Z365&gt;=18,T365="Easy"),"Quick Win",IF(AND(Z365&gt;=18,T365&lt;&gt;"Easy"),"Strategic Project",IF(Z365&gt;=10,"Discovery Needed","Process Issue"))))),"")</f>
        <v/>
      </c>
      <c r="AB365" s="3">
        <f>IFERROR(SWITCH(AA365,"Quick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5" s="3" t="n"/>
      <c r="AD365" s="3" t="n"/>
      <c r="AE365" s="3" t="n"/>
    </row>
    <row r="366" ht="25" customHeight="1">
      <c r="A366" s="2" t="n"/>
      <c r="B366" s="2">
        <f>IFERROR(XLOOKUP(A366,'Intake Responses'!$A:$A,'Intake Responses'!$E:$E),"")</f>
        <v/>
      </c>
      <c r="C366" s="2">
        <f>IFERROR(XLOOKUP(A366,'Intake Responses'!$A:$A,'Intake Responses'!$D:$D),"")</f>
        <v/>
      </c>
      <c r="D366" s="2">
        <f>IFERROR(XLOOKUP(A366,'Intake Responses'!$A:$A,'Intake Responses'!$F:$F),"")</f>
        <v/>
      </c>
      <c r="E366" s="2" t="n"/>
      <c r="F366" s="2">
        <f>IFERROR(XLOOKUP(A366,'Intake Responses'!$A:$A,'Intake Responses'!$M:$M),"")</f>
        <v/>
      </c>
      <c r="G366" s="2">
        <f>IFERROR(XLOOKUP(A366,'Intake Responses'!$A:$A,'Intake Responses'!$N:$N),"")</f>
        <v/>
      </c>
      <c r="H366" s="2">
        <f>IFERROR(XLOOKUP(A366,'Intake Responses'!$A:$A,'Intake Responses'!$O:$O),"")</f>
        <v/>
      </c>
      <c r="I366" s="2">
        <f>IFERROR(SWITCH(F366,"Multiple times per day",60,"Daily",20,"Weekly",4,"Monthly",1,"Quarterly",0.33,"Ad hoc",0.5,"Unknown",0),0)</f>
        <v/>
      </c>
      <c r="J366" s="2">
        <f>IFERROR((G366*H366*I366)/60,0)</f>
        <v/>
      </c>
      <c r="K366" s="2">
        <f>IFERROR(J366*12,0)</f>
        <v/>
      </c>
      <c r="L366" s="2">
        <f>IFERROR(XLOOKUP(A366,'Intake Responses'!$A:$A,'Intake Responses'!$T:$T),"")</f>
        <v/>
      </c>
      <c r="M366" s="2">
        <f>IFERROR(XLOOKUP(A366,'Intake Responses'!$A:$A,'Intake Responses'!$U:$U),"")</f>
        <v/>
      </c>
      <c r="N366" s="2">
        <f>IFERROR(XLOOKUP(A366,'Intake Responses'!$A:$A,'Intake Responses'!$V:$V),"")</f>
        <v/>
      </c>
      <c r="O366" s="2">
        <f>IFERROR(XLOOKUP(A366,'Intake Responses'!$A:$A,'Intake Responses'!$W:$W),"")</f>
        <v/>
      </c>
      <c r="P366" s="2">
        <f>IFERROR(XLOOKUP(A366,'Intake Responses'!$A:$A,'Intake Responses'!$X:$X),"")</f>
        <v/>
      </c>
      <c r="Q366" s="2">
        <f>IFERROR(XLOOKUP(A366,'Intake Responses'!$A:$A,'Intake Responses'!$AF:$AF),"")</f>
        <v/>
      </c>
      <c r="R366" s="2">
        <f>IFERROR(XLOOKUP(A366,'Intake Responses'!$A:$A,'Intake Responses'!$S:$S),"")</f>
        <v/>
      </c>
      <c r="S366" s="2" t="n"/>
      <c r="T366" s="2" t="n"/>
      <c r="U366" s="2" t="n"/>
      <c r="V366" s="2">
        <f>IFERROR(MIN(5,ROUND(((M366+O366)/2)+(IF(J366&gt;=20,2,IF(J366&gt;=10,1.5,IF(J366&gt;=5,1,IF(J366&gt;=1,0.5,0))))),1)),0)</f>
        <v/>
      </c>
      <c r="W366" s="2">
        <f>IFERROR(SWITCH(F366,"Multiple times per day",5,"Daily",4,"Weekly",3,"Monthly",2,"Quarterly",1,"Ad hoc",1,"Unknown",0),0)</f>
        <v/>
      </c>
      <c r="X366" s="2">
        <f>IFERROR(ROUND(AVERAGE(L366,N366),1),0)</f>
        <v/>
      </c>
      <c r="Y366" s="2">
        <f>IFERROR(SWITCH(U366,"High",3,"Medium",2,"Low",0,"Unknown",1,1)+IF(Q366="Yes",2,IF(Q366="Unsure",1,0)),0)</f>
        <v/>
      </c>
      <c r="Z366" s="2">
        <f>IFERROR(ROUND((V366*2)+(W366*1)+(X366*2)+(IF(T366="Easy",2,IF(T366="Medium",1,IF(T366="Hard",-1,0))))-(Y366*2),1),0)</f>
        <v/>
      </c>
      <c r="AA366" s="2">
        <f>IFERROR(IF(S366="Not a fit","Not a Fit",IF(Y366&gt;=5,"High Risk / Needs Review",IF(AND(Z366&gt;=18,T366="Easy"),"Quick Win",IF(AND(Z366&gt;=18,T366&lt;&gt;"Easy"),"Strategic Project",IF(Z366&gt;=10,"Discovery Needed","Process Issue"))))),"")</f>
        <v/>
      </c>
      <c r="AB366" s="2">
        <f>IFERROR(SWITCH(AA366,"Quick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6" s="2" t="n"/>
      <c r="AD366" s="2" t="n"/>
      <c r="AE366" s="2" t="n"/>
    </row>
    <row r="367" ht="25" customHeight="1">
      <c r="A367" s="3" t="n"/>
      <c r="B367" s="3">
        <f>IFERROR(XLOOKUP(A367,'Intake Responses'!$A:$A,'Intake Responses'!$E:$E),"")</f>
        <v/>
      </c>
      <c r="C367" s="3">
        <f>IFERROR(XLOOKUP(A367,'Intake Responses'!$A:$A,'Intake Responses'!$D:$D),"")</f>
        <v/>
      </c>
      <c r="D367" s="3">
        <f>IFERROR(XLOOKUP(A367,'Intake Responses'!$A:$A,'Intake Responses'!$F:$F),"")</f>
        <v/>
      </c>
      <c r="E367" s="3" t="n"/>
      <c r="F367" s="3">
        <f>IFERROR(XLOOKUP(A367,'Intake Responses'!$A:$A,'Intake Responses'!$M:$M),"")</f>
        <v/>
      </c>
      <c r="G367" s="3">
        <f>IFERROR(XLOOKUP(A367,'Intake Responses'!$A:$A,'Intake Responses'!$N:$N),"")</f>
        <v/>
      </c>
      <c r="H367" s="3">
        <f>IFERROR(XLOOKUP(A367,'Intake Responses'!$A:$A,'Intake Responses'!$O:$O),"")</f>
        <v/>
      </c>
      <c r="I367" s="3">
        <f>IFERROR(SWITCH(F367,"Multiple times per day",60,"Daily",20,"Weekly",4,"Monthly",1,"Quarterly",0.33,"Ad hoc",0.5,"Unknown",0),0)</f>
        <v/>
      </c>
      <c r="J367" s="3">
        <f>IFERROR((G367*H367*I367)/60,0)</f>
        <v/>
      </c>
      <c r="K367" s="3">
        <f>IFERROR(J367*12,0)</f>
        <v/>
      </c>
      <c r="L367" s="3">
        <f>IFERROR(XLOOKUP(A367,'Intake Responses'!$A:$A,'Intake Responses'!$T:$T),"")</f>
        <v/>
      </c>
      <c r="M367" s="3">
        <f>IFERROR(XLOOKUP(A367,'Intake Responses'!$A:$A,'Intake Responses'!$U:$U),"")</f>
        <v/>
      </c>
      <c r="N367" s="3">
        <f>IFERROR(XLOOKUP(A367,'Intake Responses'!$A:$A,'Intake Responses'!$V:$V),"")</f>
        <v/>
      </c>
      <c r="O367" s="3">
        <f>IFERROR(XLOOKUP(A367,'Intake Responses'!$A:$A,'Intake Responses'!$W:$W),"")</f>
        <v/>
      </c>
      <c r="P367" s="3">
        <f>IFERROR(XLOOKUP(A367,'Intake Responses'!$A:$A,'Intake Responses'!$X:$X),"")</f>
        <v/>
      </c>
      <c r="Q367" s="3">
        <f>IFERROR(XLOOKUP(A367,'Intake Responses'!$A:$A,'Intake Responses'!$AF:$AF),"")</f>
        <v/>
      </c>
      <c r="R367" s="3">
        <f>IFERROR(XLOOKUP(A367,'Intake Responses'!$A:$A,'Intake Responses'!$S:$S),"")</f>
        <v/>
      </c>
      <c r="S367" s="3" t="n"/>
      <c r="T367" s="3" t="n"/>
      <c r="U367" s="3" t="n"/>
      <c r="V367" s="3">
        <f>IFERROR(MIN(5,ROUND(((M367+O367)/2)+(IF(J367&gt;=20,2,IF(J367&gt;=10,1.5,IF(J367&gt;=5,1,IF(J367&gt;=1,0.5,0))))),1)),0)</f>
        <v/>
      </c>
      <c r="W367" s="3">
        <f>IFERROR(SWITCH(F367,"Multiple times per day",5,"Daily",4,"Weekly",3,"Monthly",2,"Quarterly",1,"Ad hoc",1,"Unknown",0),0)</f>
        <v/>
      </c>
      <c r="X367" s="3">
        <f>IFERROR(ROUND(AVERAGE(L367,N367),1),0)</f>
        <v/>
      </c>
      <c r="Y367" s="3">
        <f>IFERROR(SWITCH(U367,"High",3,"Medium",2,"Low",0,"Unknown",1,1)+IF(Q367="Yes",2,IF(Q367="Unsure",1,0)),0)</f>
        <v/>
      </c>
      <c r="Z367" s="3">
        <f>IFERROR(ROUND((V367*2)+(W367*1)+(X367*2)+(IF(T367="Easy",2,IF(T367="Medium",1,IF(T367="Hard",-1,0))))-(Y367*2),1),0)</f>
        <v/>
      </c>
      <c r="AA367" s="3">
        <f>IFERROR(IF(S367="Not a fit","Not a Fit",IF(Y367&gt;=5,"High Risk / Needs Review",IF(AND(Z367&gt;=18,T367="Easy"),"Quick Win",IF(AND(Z367&gt;=18,T367&lt;&gt;"Easy"),"Strategic Project",IF(Z367&gt;=10,"Discovery Needed","Process Issue"))))),"")</f>
        <v/>
      </c>
      <c r="AB367" s="3">
        <f>IFERROR(SWITCH(AA367,"Quick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7" s="3" t="n"/>
      <c r="AD367" s="3" t="n"/>
      <c r="AE367" s="3" t="n"/>
    </row>
    <row r="368" ht="25" customHeight="1">
      <c r="A368" s="2" t="n"/>
      <c r="B368" s="2">
        <f>IFERROR(XLOOKUP(A368,'Intake Responses'!$A:$A,'Intake Responses'!$E:$E),"")</f>
        <v/>
      </c>
      <c r="C368" s="2">
        <f>IFERROR(XLOOKUP(A368,'Intake Responses'!$A:$A,'Intake Responses'!$D:$D),"")</f>
        <v/>
      </c>
      <c r="D368" s="2">
        <f>IFERROR(XLOOKUP(A368,'Intake Responses'!$A:$A,'Intake Responses'!$F:$F),"")</f>
        <v/>
      </c>
      <c r="E368" s="2" t="n"/>
      <c r="F368" s="2">
        <f>IFERROR(XLOOKUP(A368,'Intake Responses'!$A:$A,'Intake Responses'!$M:$M),"")</f>
        <v/>
      </c>
      <c r="G368" s="2">
        <f>IFERROR(XLOOKUP(A368,'Intake Responses'!$A:$A,'Intake Responses'!$N:$N),"")</f>
        <v/>
      </c>
      <c r="H368" s="2">
        <f>IFERROR(XLOOKUP(A368,'Intake Responses'!$A:$A,'Intake Responses'!$O:$O),"")</f>
        <v/>
      </c>
      <c r="I368" s="2">
        <f>IFERROR(SWITCH(F368,"Multiple times per day",60,"Daily",20,"Weekly",4,"Monthly",1,"Quarterly",0.33,"Ad hoc",0.5,"Unknown",0),0)</f>
        <v/>
      </c>
      <c r="J368" s="2">
        <f>IFERROR((G368*H368*I368)/60,0)</f>
        <v/>
      </c>
      <c r="K368" s="2">
        <f>IFERROR(J368*12,0)</f>
        <v/>
      </c>
      <c r="L368" s="2">
        <f>IFERROR(XLOOKUP(A368,'Intake Responses'!$A:$A,'Intake Responses'!$T:$T),"")</f>
        <v/>
      </c>
      <c r="M368" s="2">
        <f>IFERROR(XLOOKUP(A368,'Intake Responses'!$A:$A,'Intake Responses'!$U:$U),"")</f>
        <v/>
      </c>
      <c r="N368" s="2">
        <f>IFERROR(XLOOKUP(A368,'Intake Responses'!$A:$A,'Intake Responses'!$V:$V),"")</f>
        <v/>
      </c>
      <c r="O368" s="2">
        <f>IFERROR(XLOOKUP(A368,'Intake Responses'!$A:$A,'Intake Responses'!$W:$W),"")</f>
        <v/>
      </c>
      <c r="P368" s="2">
        <f>IFERROR(XLOOKUP(A368,'Intake Responses'!$A:$A,'Intake Responses'!$X:$X),"")</f>
        <v/>
      </c>
      <c r="Q368" s="2">
        <f>IFERROR(XLOOKUP(A368,'Intake Responses'!$A:$A,'Intake Responses'!$AF:$AF),"")</f>
        <v/>
      </c>
      <c r="R368" s="2">
        <f>IFERROR(XLOOKUP(A368,'Intake Responses'!$A:$A,'Intake Responses'!$S:$S),"")</f>
        <v/>
      </c>
      <c r="S368" s="2" t="n"/>
      <c r="T368" s="2" t="n"/>
      <c r="U368" s="2" t="n"/>
      <c r="V368" s="2">
        <f>IFERROR(MIN(5,ROUND(((M368+O368)/2)+(IF(J368&gt;=20,2,IF(J368&gt;=10,1.5,IF(J368&gt;=5,1,IF(J368&gt;=1,0.5,0))))),1)),0)</f>
        <v/>
      </c>
      <c r="W368" s="2">
        <f>IFERROR(SWITCH(F368,"Multiple times per day",5,"Daily",4,"Weekly",3,"Monthly",2,"Quarterly",1,"Ad hoc",1,"Unknown",0),0)</f>
        <v/>
      </c>
      <c r="X368" s="2">
        <f>IFERROR(ROUND(AVERAGE(L368,N368),1),0)</f>
        <v/>
      </c>
      <c r="Y368" s="2">
        <f>IFERROR(SWITCH(U368,"High",3,"Medium",2,"Low",0,"Unknown",1,1)+IF(Q368="Yes",2,IF(Q368="Unsure",1,0)),0)</f>
        <v/>
      </c>
      <c r="Z368" s="2">
        <f>IFERROR(ROUND((V368*2)+(W368*1)+(X368*2)+(IF(T368="Easy",2,IF(T368="Medium",1,IF(T368="Hard",-1,0))))-(Y368*2),1),0)</f>
        <v/>
      </c>
      <c r="AA368" s="2">
        <f>IFERROR(IF(S368="Not a fit","Not a Fit",IF(Y368&gt;=5,"High Risk / Needs Review",IF(AND(Z368&gt;=18,T368="Easy"),"Quick Win",IF(AND(Z368&gt;=18,T368&lt;&gt;"Easy"),"Strategic Project",IF(Z368&gt;=10,"Discovery Needed","Process Issue"))))),"")</f>
        <v/>
      </c>
      <c r="AB368" s="2">
        <f>IFERROR(SWITCH(AA368,"Quick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8" s="2" t="n"/>
      <c r="AD368" s="2" t="n"/>
      <c r="AE368" s="2" t="n"/>
    </row>
    <row r="369" ht="25" customHeight="1">
      <c r="A369" s="3" t="n"/>
      <c r="B369" s="3">
        <f>IFERROR(XLOOKUP(A369,'Intake Responses'!$A:$A,'Intake Responses'!$E:$E),"")</f>
        <v/>
      </c>
      <c r="C369" s="3">
        <f>IFERROR(XLOOKUP(A369,'Intake Responses'!$A:$A,'Intake Responses'!$D:$D),"")</f>
        <v/>
      </c>
      <c r="D369" s="3">
        <f>IFERROR(XLOOKUP(A369,'Intake Responses'!$A:$A,'Intake Responses'!$F:$F),"")</f>
        <v/>
      </c>
      <c r="E369" s="3" t="n"/>
      <c r="F369" s="3">
        <f>IFERROR(XLOOKUP(A369,'Intake Responses'!$A:$A,'Intake Responses'!$M:$M),"")</f>
        <v/>
      </c>
      <c r="G369" s="3">
        <f>IFERROR(XLOOKUP(A369,'Intake Responses'!$A:$A,'Intake Responses'!$N:$N),"")</f>
        <v/>
      </c>
      <c r="H369" s="3">
        <f>IFERROR(XLOOKUP(A369,'Intake Responses'!$A:$A,'Intake Responses'!$O:$O),"")</f>
        <v/>
      </c>
      <c r="I369" s="3">
        <f>IFERROR(SWITCH(F369,"Multiple times per day",60,"Daily",20,"Weekly",4,"Monthly",1,"Quarterly",0.33,"Ad hoc",0.5,"Unknown",0),0)</f>
        <v/>
      </c>
      <c r="J369" s="3">
        <f>IFERROR((G369*H369*I369)/60,0)</f>
        <v/>
      </c>
      <c r="K369" s="3">
        <f>IFERROR(J369*12,0)</f>
        <v/>
      </c>
      <c r="L369" s="3">
        <f>IFERROR(XLOOKUP(A369,'Intake Responses'!$A:$A,'Intake Responses'!$T:$T),"")</f>
        <v/>
      </c>
      <c r="M369" s="3">
        <f>IFERROR(XLOOKUP(A369,'Intake Responses'!$A:$A,'Intake Responses'!$U:$U),"")</f>
        <v/>
      </c>
      <c r="N369" s="3">
        <f>IFERROR(XLOOKUP(A369,'Intake Responses'!$A:$A,'Intake Responses'!$V:$V),"")</f>
        <v/>
      </c>
      <c r="O369" s="3">
        <f>IFERROR(XLOOKUP(A369,'Intake Responses'!$A:$A,'Intake Responses'!$W:$W),"")</f>
        <v/>
      </c>
      <c r="P369" s="3">
        <f>IFERROR(XLOOKUP(A369,'Intake Responses'!$A:$A,'Intake Responses'!$X:$X),"")</f>
        <v/>
      </c>
      <c r="Q369" s="3">
        <f>IFERROR(XLOOKUP(A369,'Intake Responses'!$A:$A,'Intake Responses'!$AF:$AF),"")</f>
        <v/>
      </c>
      <c r="R369" s="3">
        <f>IFERROR(XLOOKUP(A369,'Intake Responses'!$A:$A,'Intake Responses'!$S:$S),"")</f>
        <v/>
      </c>
      <c r="S369" s="3" t="n"/>
      <c r="T369" s="3" t="n"/>
      <c r="U369" s="3" t="n"/>
      <c r="V369" s="3">
        <f>IFERROR(MIN(5,ROUND(((M369+O369)/2)+(IF(J369&gt;=20,2,IF(J369&gt;=10,1.5,IF(J369&gt;=5,1,IF(J369&gt;=1,0.5,0))))),1)),0)</f>
        <v/>
      </c>
      <c r="W369" s="3">
        <f>IFERROR(SWITCH(F369,"Multiple times per day",5,"Daily",4,"Weekly",3,"Monthly",2,"Quarterly",1,"Ad hoc",1,"Unknown",0),0)</f>
        <v/>
      </c>
      <c r="X369" s="3">
        <f>IFERROR(ROUND(AVERAGE(L369,N369),1),0)</f>
        <v/>
      </c>
      <c r="Y369" s="3">
        <f>IFERROR(SWITCH(U369,"High",3,"Medium",2,"Low",0,"Unknown",1,1)+IF(Q369="Yes",2,IF(Q369="Unsure",1,0)),0)</f>
        <v/>
      </c>
      <c r="Z369" s="3">
        <f>IFERROR(ROUND((V369*2)+(W369*1)+(X369*2)+(IF(T369="Easy",2,IF(T369="Medium",1,IF(T369="Hard",-1,0))))-(Y369*2),1),0)</f>
        <v/>
      </c>
      <c r="AA369" s="3">
        <f>IFERROR(IF(S369="Not a fit","Not a Fit",IF(Y369&gt;=5,"High Risk / Needs Review",IF(AND(Z369&gt;=18,T369="Easy"),"Quick Win",IF(AND(Z369&gt;=18,T369&lt;&gt;"Easy"),"Strategic Project",IF(Z369&gt;=10,"Discovery Needed","Process Issue"))))),"")</f>
        <v/>
      </c>
      <c r="AB369" s="3">
        <f>IFERROR(SWITCH(AA369,"Quick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69" s="3" t="n"/>
      <c r="AD369" s="3" t="n"/>
      <c r="AE369" s="3" t="n"/>
    </row>
    <row r="370" ht="25" customHeight="1">
      <c r="A370" s="2" t="n"/>
      <c r="B370" s="2">
        <f>IFERROR(XLOOKUP(A370,'Intake Responses'!$A:$A,'Intake Responses'!$E:$E),"")</f>
        <v/>
      </c>
      <c r="C370" s="2">
        <f>IFERROR(XLOOKUP(A370,'Intake Responses'!$A:$A,'Intake Responses'!$D:$D),"")</f>
        <v/>
      </c>
      <c r="D370" s="2">
        <f>IFERROR(XLOOKUP(A370,'Intake Responses'!$A:$A,'Intake Responses'!$F:$F),"")</f>
        <v/>
      </c>
      <c r="E370" s="2" t="n"/>
      <c r="F370" s="2">
        <f>IFERROR(XLOOKUP(A370,'Intake Responses'!$A:$A,'Intake Responses'!$M:$M),"")</f>
        <v/>
      </c>
      <c r="G370" s="2">
        <f>IFERROR(XLOOKUP(A370,'Intake Responses'!$A:$A,'Intake Responses'!$N:$N),"")</f>
        <v/>
      </c>
      <c r="H370" s="2">
        <f>IFERROR(XLOOKUP(A370,'Intake Responses'!$A:$A,'Intake Responses'!$O:$O),"")</f>
        <v/>
      </c>
      <c r="I370" s="2">
        <f>IFERROR(SWITCH(F370,"Multiple times per day",60,"Daily",20,"Weekly",4,"Monthly",1,"Quarterly",0.33,"Ad hoc",0.5,"Unknown",0),0)</f>
        <v/>
      </c>
      <c r="J370" s="2">
        <f>IFERROR((G370*H370*I370)/60,0)</f>
        <v/>
      </c>
      <c r="K370" s="2">
        <f>IFERROR(J370*12,0)</f>
        <v/>
      </c>
      <c r="L370" s="2">
        <f>IFERROR(XLOOKUP(A370,'Intake Responses'!$A:$A,'Intake Responses'!$T:$T),"")</f>
        <v/>
      </c>
      <c r="M370" s="2">
        <f>IFERROR(XLOOKUP(A370,'Intake Responses'!$A:$A,'Intake Responses'!$U:$U),"")</f>
        <v/>
      </c>
      <c r="N370" s="2">
        <f>IFERROR(XLOOKUP(A370,'Intake Responses'!$A:$A,'Intake Responses'!$V:$V),"")</f>
        <v/>
      </c>
      <c r="O370" s="2">
        <f>IFERROR(XLOOKUP(A370,'Intake Responses'!$A:$A,'Intake Responses'!$W:$W),"")</f>
        <v/>
      </c>
      <c r="P370" s="2">
        <f>IFERROR(XLOOKUP(A370,'Intake Responses'!$A:$A,'Intake Responses'!$X:$X),"")</f>
        <v/>
      </c>
      <c r="Q370" s="2">
        <f>IFERROR(XLOOKUP(A370,'Intake Responses'!$A:$A,'Intake Responses'!$AF:$AF),"")</f>
        <v/>
      </c>
      <c r="R370" s="2">
        <f>IFERROR(XLOOKUP(A370,'Intake Responses'!$A:$A,'Intake Responses'!$S:$S),"")</f>
        <v/>
      </c>
      <c r="S370" s="2" t="n"/>
      <c r="T370" s="2" t="n"/>
      <c r="U370" s="2" t="n"/>
      <c r="V370" s="2">
        <f>IFERROR(MIN(5,ROUND(((M370+O370)/2)+(IF(J370&gt;=20,2,IF(J370&gt;=10,1.5,IF(J370&gt;=5,1,IF(J370&gt;=1,0.5,0))))),1)),0)</f>
        <v/>
      </c>
      <c r="W370" s="2">
        <f>IFERROR(SWITCH(F370,"Multiple times per day",5,"Daily",4,"Weekly",3,"Monthly",2,"Quarterly",1,"Ad hoc",1,"Unknown",0),0)</f>
        <v/>
      </c>
      <c r="X370" s="2">
        <f>IFERROR(ROUND(AVERAGE(L370,N370),1),0)</f>
        <v/>
      </c>
      <c r="Y370" s="2">
        <f>IFERROR(SWITCH(U370,"High",3,"Medium",2,"Low",0,"Unknown",1,1)+IF(Q370="Yes",2,IF(Q370="Unsure",1,0)),0)</f>
        <v/>
      </c>
      <c r="Z370" s="2">
        <f>IFERROR(ROUND((V370*2)+(W370*1)+(X370*2)+(IF(T370="Easy",2,IF(T370="Medium",1,IF(T370="Hard",-1,0))))-(Y370*2),1),0)</f>
        <v/>
      </c>
      <c r="AA370" s="2">
        <f>IFERROR(IF(S370="Not a fit","Not a Fit",IF(Y370&gt;=5,"High Risk / Needs Review",IF(AND(Z370&gt;=18,T370="Easy"),"Quick Win",IF(AND(Z370&gt;=18,T370&lt;&gt;"Easy"),"Strategic Project",IF(Z370&gt;=10,"Discovery Needed","Process Issue"))))),"")</f>
        <v/>
      </c>
      <c r="AB370" s="2">
        <f>IFERROR(SWITCH(AA370,"Quick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0" s="2" t="n"/>
      <c r="AD370" s="2" t="n"/>
      <c r="AE370" s="2" t="n"/>
    </row>
    <row r="371" ht="25" customHeight="1">
      <c r="A371" s="3" t="n"/>
      <c r="B371" s="3">
        <f>IFERROR(XLOOKUP(A371,'Intake Responses'!$A:$A,'Intake Responses'!$E:$E),"")</f>
        <v/>
      </c>
      <c r="C371" s="3">
        <f>IFERROR(XLOOKUP(A371,'Intake Responses'!$A:$A,'Intake Responses'!$D:$D),"")</f>
        <v/>
      </c>
      <c r="D371" s="3">
        <f>IFERROR(XLOOKUP(A371,'Intake Responses'!$A:$A,'Intake Responses'!$F:$F),"")</f>
        <v/>
      </c>
      <c r="E371" s="3" t="n"/>
      <c r="F371" s="3">
        <f>IFERROR(XLOOKUP(A371,'Intake Responses'!$A:$A,'Intake Responses'!$M:$M),"")</f>
        <v/>
      </c>
      <c r="G371" s="3">
        <f>IFERROR(XLOOKUP(A371,'Intake Responses'!$A:$A,'Intake Responses'!$N:$N),"")</f>
        <v/>
      </c>
      <c r="H371" s="3">
        <f>IFERROR(XLOOKUP(A371,'Intake Responses'!$A:$A,'Intake Responses'!$O:$O),"")</f>
        <v/>
      </c>
      <c r="I371" s="3">
        <f>IFERROR(SWITCH(F371,"Multiple times per day",60,"Daily",20,"Weekly",4,"Monthly",1,"Quarterly",0.33,"Ad hoc",0.5,"Unknown",0),0)</f>
        <v/>
      </c>
      <c r="J371" s="3">
        <f>IFERROR((G371*H371*I371)/60,0)</f>
        <v/>
      </c>
      <c r="K371" s="3">
        <f>IFERROR(J371*12,0)</f>
        <v/>
      </c>
      <c r="L371" s="3">
        <f>IFERROR(XLOOKUP(A371,'Intake Responses'!$A:$A,'Intake Responses'!$T:$T),"")</f>
        <v/>
      </c>
      <c r="M371" s="3">
        <f>IFERROR(XLOOKUP(A371,'Intake Responses'!$A:$A,'Intake Responses'!$U:$U),"")</f>
        <v/>
      </c>
      <c r="N371" s="3">
        <f>IFERROR(XLOOKUP(A371,'Intake Responses'!$A:$A,'Intake Responses'!$V:$V),"")</f>
        <v/>
      </c>
      <c r="O371" s="3">
        <f>IFERROR(XLOOKUP(A371,'Intake Responses'!$A:$A,'Intake Responses'!$W:$W),"")</f>
        <v/>
      </c>
      <c r="P371" s="3">
        <f>IFERROR(XLOOKUP(A371,'Intake Responses'!$A:$A,'Intake Responses'!$X:$X),"")</f>
        <v/>
      </c>
      <c r="Q371" s="3">
        <f>IFERROR(XLOOKUP(A371,'Intake Responses'!$A:$A,'Intake Responses'!$AF:$AF),"")</f>
        <v/>
      </c>
      <c r="R371" s="3">
        <f>IFERROR(XLOOKUP(A371,'Intake Responses'!$A:$A,'Intake Responses'!$S:$S),"")</f>
        <v/>
      </c>
      <c r="S371" s="3" t="n"/>
      <c r="T371" s="3" t="n"/>
      <c r="U371" s="3" t="n"/>
      <c r="V371" s="3">
        <f>IFERROR(MIN(5,ROUND(((M371+O371)/2)+(IF(J371&gt;=20,2,IF(J371&gt;=10,1.5,IF(J371&gt;=5,1,IF(J371&gt;=1,0.5,0))))),1)),0)</f>
        <v/>
      </c>
      <c r="W371" s="3">
        <f>IFERROR(SWITCH(F371,"Multiple times per day",5,"Daily",4,"Weekly",3,"Monthly",2,"Quarterly",1,"Ad hoc",1,"Unknown",0),0)</f>
        <v/>
      </c>
      <c r="X371" s="3">
        <f>IFERROR(ROUND(AVERAGE(L371,N371),1),0)</f>
        <v/>
      </c>
      <c r="Y371" s="3">
        <f>IFERROR(SWITCH(U371,"High",3,"Medium",2,"Low",0,"Unknown",1,1)+IF(Q371="Yes",2,IF(Q371="Unsure",1,0)),0)</f>
        <v/>
      </c>
      <c r="Z371" s="3">
        <f>IFERROR(ROUND((V371*2)+(W371*1)+(X371*2)+(IF(T371="Easy",2,IF(T371="Medium",1,IF(T371="Hard",-1,0))))-(Y371*2),1),0)</f>
        <v/>
      </c>
      <c r="AA371" s="3">
        <f>IFERROR(IF(S371="Not a fit","Not a Fit",IF(Y371&gt;=5,"High Risk / Needs Review",IF(AND(Z371&gt;=18,T371="Easy"),"Quick Win",IF(AND(Z371&gt;=18,T371&lt;&gt;"Easy"),"Strategic Project",IF(Z371&gt;=10,"Discovery Needed","Process Issue"))))),"")</f>
        <v/>
      </c>
      <c r="AB371" s="3">
        <f>IFERROR(SWITCH(AA371,"Quick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1" s="3" t="n"/>
      <c r="AD371" s="3" t="n"/>
      <c r="AE371" s="3" t="n"/>
    </row>
    <row r="372" ht="25" customHeight="1">
      <c r="A372" s="2" t="n"/>
      <c r="B372" s="2">
        <f>IFERROR(XLOOKUP(A372,'Intake Responses'!$A:$A,'Intake Responses'!$E:$E),"")</f>
        <v/>
      </c>
      <c r="C372" s="2">
        <f>IFERROR(XLOOKUP(A372,'Intake Responses'!$A:$A,'Intake Responses'!$D:$D),"")</f>
        <v/>
      </c>
      <c r="D372" s="2">
        <f>IFERROR(XLOOKUP(A372,'Intake Responses'!$A:$A,'Intake Responses'!$F:$F),"")</f>
        <v/>
      </c>
      <c r="E372" s="2" t="n"/>
      <c r="F372" s="2">
        <f>IFERROR(XLOOKUP(A372,'Intake Responses'!$A:$A,'Intake Responses'!$M:$M),"")</f>
        <v/>
      </c>
      <c r="G372" s="2">
        <f>IFERROR(XLOOKUP(A372,'Intake Responses'!$A:$A,'Intake Responses'!$N:$N),"")</f>
        <v/>
      </c>
      <c r="H372" s="2">
        <f>IFERROR(XLOOKUP(A372,'Intake Responses'!$A:$A,'Intake Responses'!$O:$O),"")</f>
        <v/>
      </c>
      <c r="I372" s="2">
        <f>IFERROR(SWITCH(F372,"Multiple times per day",60,"Daily",20,"Weekly",4,"Monthly",1,"Quarterly",0.33,"Ad hoc",0.5,"Unknown",0),0)</f>
        <v/>
      </c>
      <c r="J372" s="2">
        <f>IFERROR((G372*H372*I372)/60,0)</f>
        <v/>
      </c>
      <c r="K372" s="2">
        <f>IFERROR(J372*12,0)</f>
        <v/>
      </c>
      <c r="L372" s="2">
        <f>IFERROR(XLOOKUP(A372,'Intake Responses'!$A:$A,'Intake Responses'!$T:$T),"")</f>
        <v/>
      </c>
      <c r="M372" s="2">
        <f>IFERROR(XLOOKUP(A372,'Intake Responses'!$A:$A,'Intake Responses'!$U:$U),"")</f>
        <v/>
      </c>
      <c r="N372" s="2">
        <f>IFERROR(XLOOKUP(A372,'Intake Responses'!$A:$A,'Intake Responses'!$V:$V),"")</f>
        <v/>
      </c>
      <c r="O372" s="2">
        <f>IFERROR(XLOOKUP(A372,'Intake Responses'!$A:$A,'Intake Responses'!$W:$W),"")</f>
        <v/>
      </c>
      <c r="P372" s="2">
        <f>IFERROR(XLOOKUP(A372,'Intake Responses'!$A:$A,'Intake Responses'!$X:$X),"")</f>
        <v/>
      </c>
      <c r="Q372" s="2">
        <f>IFERROR(XLOOKUP(A372,'Intake Responses'!$A:$A,'Intake Responses'!$AF:$AF),"")</f>
        <v/>
      </c>
      <c r="R372" s="2">
        <f>IFERROR(XLOOKUP(A372,'Intake Responses'!$A:$A,'Intake Responses'!$S:$S),"")</f>
        <v/>
      </c>
      <c r="S372" s="2" t="n"/>
      <c r="T372" s="2" t="n"/>
      <c r="U372" s="2" t="n"/>
      <c r="V372" s="2">
        <f>IFERROR(MIN(5,ROUND(((M372+O372)/2)+(IF(J372&gt;=20,2,IF(J372&gt;=10,1.5,IF(J372&gt;=5,1,IF(J372&gt;=1,0.5,0))))),1)),0)</f>
        <v/>
      </c>
      <c r="W372" s="2">
        <f>IFERROR(SWITCH(F372,"Multiple times per day",5,"Daily",4,"Weekly",3,"Monthly",2,"Quarterly",1,"Ad hoc",1,"Unknown",0),0)</f>
        <v/>
      </c>
      <c r="X372" s="2">
        <f>IFERROR(ROUND(AVERAGE(L372,N372),1),0)</f>
        <v/>
      </c>
      <c r="Y372" s="2">
        <f>IFERROR(SWITCH(U372,"High",3,"Medium",2,"Low",0,"Unknown",1,1)+IF(Q372="Yes",2,IF(Q372="Unsure",1,0)),0)</f>
        <v/>
      </c>
      <c r="Z372" s="2">
        <f>IFERROR(ROUND((V372*2)+(W372*1)+(X372*2)+(IF(T372="Easy",2,IF(T372="Medium",1,IF(T372="Hard",-1,0))))-(Y372*2),1),0)</f>
        <v/>
      </c>
      <c r="AA372" s="2">
        <f>IFERROR(IF(S372="Not a fit","Not a Fit",IF(Y372&gt;=5,"High Risk / Needs Review",IF(AND(Z372&gt;=18,T372="Easy"),"Quick Win",IF(AND(Z372&gt;=18,T372&lt;&gt;"Easy"),"Strategic Project",IF(Z372&gt;=10,"Discovery Needed","Process Issue"))))),"")</f>
        <v/>
      </c>
      <c r="AB372" s="2">
        <f>IFERROR(SWITCH(AA372,"Quick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2" s="2" t="n"/>
      <c r="AD372" s="2" t="n"/>
      <c r="AE372" s="2" t="n"/>
    </row>
    <row r="373" ht="25" customHeight="1">
      <c r="A373" s="3" t="n"/>
      <c r="B373" s="3">
        <f>IFERROR(XLOOKUP(A373,'Intake Responses'!$A:$A,'Intake Responses'!$E:$E),"")</f>
        <v/>
      </c>
      <c r="C373" s="3">
        <f>IFERROR(XLOOKUP(A373,'Intake Responses'!$A:$A,'Intake Responses'!$D:$D),"")</f>
        <v/>
      </c>
      <c r="D373" s="3">
        <f>IFERROR(XLOOKUP(A373,'Intake Responses'!$A:$A,'Intake Responses'!$F:$F),"")</f>
        <v/>
      </c>
      <c r="E373" s="3" t="n"/>
      <c r="F373" s="3">
        <f>IFERROR(XLOOKUP(A373,'Intake Responses'!$A:$A,'Intake Responses'!$M:$M),"")</f>
        <v/>
      </c>
      <c r="G373" s="3">
        <f>IFERROR(XLOOKUP(A373,'Intake Responses'!$A:$A,'Intake Responses'!$N:$N),"")</f>
        <v/>
      </c>
      <c r="H373" s="3">
        <f>IFERROR(XLOOKUP(A373,'Intake Responses'!$A:$A,'Intake Responses'!$O:$O),"")</f>
        <v/>
      </c>
      <c r="I373" s="3">
        <f>IFERROR(SWITCH(F373,"Multiple times per day",60,"Daily",20,"Weekly",4,"Monthly",1,"Quarterly",0.33,"Ad hoc",0.5,"Unknown",0),0)</f>
        <v/>
      </c>
      <c r="J373" s="3">
        <f>IFERROR((G373*H373*I373)/60,0)</f>
        <v/>
      </c>
      <c r="K373" s="3">
        <f>IFERROR(J373*12,0)</f>
        <v/>
      </c>
      <c r="L373" s="3">
        <f>IFERROR(XLOOKUP(A373,'Intake Responses'!$A:$A,'Intake Responses'!$T:$T),"")</f>
        <v/>
      </c>
      <c r="M373" s="3">
        <f>IFERROR(XLOOKUP(A373,'Intake Responses'!$A:$A,'Intake Responses'!$U:$U),"")</f>
        <v/>
      </c>
      <c r="N373" s="3">
        <f>IFERROR(XLOOKUP(A373,'Intake Responses'!$A:$A,'Intake Responses'!$V:$V),"")</f>
        <v/>
      </c>
      <c r="O373" s="3">
        <f>IFERROR(XLOOKUP(A373,'Intake Responses'!$A:$A,'Intake Responses'!$W:$W),"")</f>
        <v/>
      </c>
      <c r="P373" s="3">
        <f>IFERROR(XLOOKUP(A373,'Intake Responses'!$A:$A,'Intake Responses'!$X:$X),"")</f>
        <v/>
      </c>
      <c r="Q373" s="3">
        <f>IFERROR(XLOOKUP(A373,'Intake Responses'!$A:$A,'Intake Responses'!$AF:$AF),"")</f>
        <v/>
      </c>
      <c r="R373" s="3">
        <f>IFERROR(XLOOKUP(A373,'Intake Responses'!$A:$A,'Intake Responses'!$S:$S),"")</f>
        <v/>
      </c>
      <c r="S373" s="3" t="n"/>
      <c r="T373" s="3" t="n"/>
      <c r="U373" s="3" t="n"/>
      <c r="V373" s="3">
        <f>IFERROR(MIN(5,ROUND(((M373+O373)/2)+(IF(J373&gt;=20,2,IF(J373&gt;=10,1.5,IF(J373&gt;=5,1,IF(J373&gt;=1,0.5,0))))),1)),0)</f>
        <v/>
      </c>
      <c r="W373" s="3">
        <f>IFERROR(SWITCH(F373,"Multiple times per day",5,"Daily",4,"Weekly",3,"Monthly",2,"Quarterly",1,"Ad hoc",1,"Unknown",0),0)</f>
        <v/>
      </c>
      <c r="X373" s="3">
        <f>IFERROR(ROUND(AVERAGE(L373,N373),1),0)</f>
        <v/>
      </c>
      <c r="Y373" s="3">
        <f>IFERROR(SWITCH(U373,"High",3,"Medium",2,"Low",0,"Unknown",1,1)+IF(Q373="Yes",2,IF(Q373="Unsure",1,0)),0)</f>
        <v/>
      </c>
      <c r="Z373" s="3">
        <f>IFERROR(ROUND((V373*2)+(W373*1)+(X373*2)+(IF(T373="Easy",2,IF(T373="Medium",1,IF(T373="Hard",-1,0))))-(Y373*2),1),0)</f>
        <v/>
      </c>
      <c r="AA373" s="3">
        <f>IFERROR(IF(S373="Not a fit","Not a Fit",IF(Y373&gt;=5,"High Risk / Needs Review",IF(AND(Z373&gt;=18,T373="Easy"),"Quick Win",IF(AND(Z373&gt;=18,T373&lt;&gt;"Easy"),"Strategic Project",IF(Z373&gt;=10,"Discovery Needed","Process Issue"))))),"")</f>
        <v/>
      </c>
      <c r="AB373" s="3">
        <f>IFERROR(SWITCH(AA373,"Quick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3" s="3" t="n"/>
      <c r="AD373" s="3" t="n"/>
      <c r="AE373" s="3" t="n"/>
    </row>
    <row r="374" ht="25" customHeight="1">
      <c r="A374" s="2" t="n"/>
      <c r="B374" s="2">
        <f>IFERROR(XLOOKUP(A374,'Intake Responses'!$A:$A,'Intake Responses'!$E:$E),"")</f>
        <v/>
      </c>
      <c r="C374" s="2">
        <f>IFERROR(XLOOKUP(A374,'Intake Responses'!$A:$A,'Intake Responses'!$D:$D),"")</f>
        <v/>
      </c>
      <c r="D374" s="2">
        <f>IFERROR(XLOOKUP(A374,'Intake Responses'!$A:$A,'Intake Responses'!$F:$F),"")</f>
        <v/>
      </c>
      <c r="E374" s="2" t="n"/>
      <c r="F374" s="2">
        <f>IFERROR(XLOOKUP(A374,'Intake Responses'!$A:$A,'Intake Responses'!$M:$M),"")</f>
        <v/>
      </c>
      <c r="G374" s="2">
        <f>IFERROR(XLOOKUP(A374,'Intake Responses'!$A:$A,'Intake Responses'!$N:$N),"")</f>
        <v/>
      </c>
      <c r="H374" s="2">
        <f>IFERROR(XLOOKUP(A374,'Intake Responses'!$A:$A,'Intake Responses'!$O:$O),"")</f>
        <v/>
      </c>
      <c r="I374" s="2">
        <f>IFERROR(SWITCH(F374,"Multiple times per day",60,"Daily",20,"Weekly",4,"Monthly",1,"Quarterly",0.33,"Ad hoc",0.5,"Unknown",0),0)</f>
        <v/>
      </c>
      <c r="J374" s="2">
        <f>IFERROR((G374*H374*I374)/60,0)</f>
        <v/>
      </c>
      <c r="K374" s="2">
        <f>IFERROR(J374*12,0)</f>
        <v/>
      </c>
      <c r="L374" s="2">
        <f>IFERROR(XLOOKUP(A374,'Intake Responses'!$A:$A,'Intake Responses'!$T:$T),"")</f>
        <v/>
      </c>
      <c r="M374" s="2">
        <f>IFERROR(XLOOKUP(A374,'Intake Responses'!$A:$A,'Intake Responses'!$U:$U),"")</f>
        <v/>
      </c>
      <c r="N374" s="2">
        <f>IFERROR(XLOOKUP(A374,'Intake Responses'!$A:$A,'Intake Responses'!$V:$V),"")</f>
        <v/>
      </c>
      <c r="O374" s="2">
        <f>IFERROR(XLOOKUP(A374,'Intake Responses'!$A:$A,'Intake Responses'!$W:$W),"")</f>
        <v/>
      </c>
      <c r="P374" s="2">
        <f>IFERROR(XLOOKUP(A374,'Intake Responses'!$A:$A,'Intake Responses'!$X:$X),"")</f>
        <v/>
      </c>
      <c r="Q374" s="2">
        <f>IFERROR(XLOOKUP(A374,'Intake Responses'!$A:$A,'Intake Responses'!$AF:$AF),"")</f>
        <v/>
      </c>
      <c r="R374" s="2">
        <f>IFERROR(XLOOKUP(A374,'Intake Responses'!$A:$A,'Intake Responses'!$S:$S),"")</f>
        <v/>
      </c>
      <c r="S374" s="2" t="n"/>
      <c r="T374" s="2" t="n"/>
      <c r="U374" s="2" t="n"/>
      <c r="V374" s="2">
        <f>IFERROR(MIN(5,ROUND(((M374+O374)/2)+(IF(J374&gt;=20,2,IF(J374&gt;=10,1.5,IF(J374&gt;=5,1,IF(J374&gt;=1,0.5,0))))),1)),0)</f>
        <v/>
      </c>
      <c r="W374" s="2">
        <f>IFERROR(SWITCH(F374,"Multiple times per day",5,"Daily",4,"Weekly",3,"Monthly",2,"Quarterly",1,"Ad hoc",1,"Unknown",0),0)</f>
        <v/>
      </c>
      <c r="X374" s="2">
        <f>IFERROR(ROUND(AVERAGE(L374,N374),1),0)</f>
        <v/>
      </c>
      <c r="Y374" s="2">
        <f>IFERROR(SWITCH(U374,"High",3,"Medium",2,"Low",0,"Unknown",1,1)+IF(Q374="Yes",2,IF(Q374="Unsure",1,0)),0)</f>
        <v/>
      </c>
      <c r="Z374" s="2">
        <f>IFERROR(ROUND((V374*2)+(W374*1)+(X374*2)+(IF(T374="Easy",2,IF(T374="Medium",1,IF(T374="Hard",-1,0))))-(Y374*2),1),0)</f>
        <v/>
      </c>
      <c r="AA374" s="2">
        <f>IFERROR(IF(S374="Not a fit","Not a Fit",IF(Y374&gt;=5,"High Risk / Needs Review",IF(AND(Z374&gt;=18,T374="Easy"),"Quick Win",IF(AND(Z374&gt;=18,T374&lt;&gt;"Easy"),"Strategic Project",IF(Z374&gt;=10,"Discovery Needed","Process Issue"))))),"")</f>
        <v/>
      </c>
      <c r="AB374" s="2">
        <f>IFERROR(SWITCH(AA374,"Quick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4" s="2" t="n"/>
      <c r="AD374" s="2" t="n"/>
      <c r="AE374" s="2" t="n"/>
    </row>
    <row r="375" ht="25" customHeight="1">
      <c r="A375" s="3" t="n"/>
      <c r="B375" s="3">
        <f>IFERROR(XLOOKUP(A375,'Intake Responses'!$A:$A,'Intake Responses'!$E:$E),"")</f>
        <v/>
      </c>
      <c r="C375" s="3">
        <f>IFERROR(XLOOKUP(A375,'Intake Responses'!$A:$A,'Intake Responses'!$D:$D),"")</f>
        <v/>
      </c>
      <c r="D375" s="3">
        <f>IFERROR(XLOOKUP(A375,'Intake Responses'!$A:$A,'Intake Responses'!$F:$F),"")</f>
        <v/>
      </c>
      <c r="E375" s="3" t="n"/>
      <c r="F375" s="3">
        <f>IFERROR(XLOOKUP(A375,'Intake Responses'!$A:$A,'Intake Responses'!$M:$M),"")</f>
        <v/>
      </c>
      <c r="G375" s="3">
        <f>IFERROR(XLOOKUP(A375,'Intake Responses'!$A:$A,'Intake Responses'!$N:$N),"")</f>
        <v/>
      </c>
      <c r="H375" s="3">
        <f>IFERROR(XLOOKUP(A375,'Intake Responses'!$A:$A,'Intake Responses'!$O:$O),"")</f>
        <v/>
      </c>
      <c r="I375" s="3">
        <f>IFERROR(SWITCH(F375,"Multiple times per day",60,"Daily",20,"Weekly",4,"Monthly",1,"Quarterly",0.33,"Ad hoc",0.5,"Unknown",0),0)</f>
        <v/>
      </c>
      <c r="J375" s="3">
        <f>IFERROR((G375*H375*I375)/60,0)</f>
        <v/>
      </c>
      <c r="K375" s="3">
        <f>IFERROR(J375*12,0)</f>
        <v/>
      </c>
      <c r="L375" s="3">
        <f>IFERROR(XLOOKUP(A375,'Intake Responses'!$A:$A,'Intake Responses'!$T:$T),"")</f>
        <v/>
      </c>
      <c r="M375" s="3">
        <f>IFERROR(XLOOKUP(A375,'Intake Responses'!$A:$A,'Intake Responses'!$U:$U),"")</f>
        <v/>
      </c>
      <c r="N375" s="3">
        <f>IFERROR(XLOOKUP(A375,'Intake Responses'!$A:$A,'Intake Responses'!$V:$V),"")</f>
        <v/>
      </c>
      <c r="O375" s="3">
        <f>IFERROR(XLOOKUP(A375,'Intake Responses'!$A:$A,'Intake Responses'!$W:$W),"")</f>
        <v/>
      </c>
      <c r="P375" s="3">
        <f>IFERROR(XLOOKUP(A375,'Intake Responses'!$A:$A,'Intake Responses'!$X:$X),"")</f>
        <v/>
      </c>
      <c r="Q375" s="3">
        <f>IFERROR(XLOOKUP(A375,'Intake Responses'!$A:$A,'Intake Responses'!$AF:$AF),"")</f>
        <v/>
      </c>
      <c r="R375" s="3">
        <f>IFERROR(XLOOKUP(A375,'Intake Responses'!$A:$A,'Intake Responses'!$S:$S),"")</f>
        <v/>
      </c>
      <c r="S375" s="3" t="n"/>
      <c r="T375" s="3" t="n"/>
      <c r="U375" s="3" t="n"/>
      <c r="V375" s="3">
        <f>IFERROR(MIN(5,ROUND(((M375+O375)/2)+(IF(J375&gt;=20,2,IF(J375&gt;=10,1.5,IF(J375&gt;=5,1,IF(J375&gt;=1,0.5,0))))),1)),0)</f>
        <v/>
      </c>
      <c r="W375" s="3">
        <f>IFERROR(SWITCH(F375,"Multiple times per day",5,"Daily",4,"Weekly",3,"Monthly",2,"Quarterly",1,"Ad hoc",1,"Unknown",0),0)</f>
        <v/>
      </c>
      <c r="X375" s="3">
        <f>IFERROR(ROUND(AVERAGE(L375,N375),1),0)</f>
        <v/>
      </c>
      <c r="Y375" s="3">
        <f>IFERROR(SWITCH(U375,"High",3,"Medium",2,"Low",0,"Unknown",1,1)+IF(Q375="Yes",2,IF(Q375="Unsure",1,0)),0)</f>
        <v/>
      </c>
      <c r="Z375" s="3">
        <f>IFERROR(ROUND((V375*2)+(W375*1)+(X375*2)+(IF(T375="Easy",2,IF(T375="Medium",1,IF(T375="Hard",-1,0))))-(Y375*2),1),0)</f>
        <v/>
      </c>
      <c r="AA375" s="3">
        <f>IFERROR(IF(S375="Not a fit","Not a Fit",IF(Y375&gt;=5,"High Risk / Needs Review",IF(AND(Z375&gt;=18,T375="Easy"),"Quick Win",IF(AND(Z375&gt;=18,T375&lt;&gt;"Easy"),"Strategic Project",IF(Z375&gt;=10,"Discovery Needed","Process Issue"))))),"")</f>
        <v/>
      </c>
      <c r="AB375" s="3">
        <f>IFERROR(SWITCH(AA375,"Quick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5" s="3" t="n"/>
      <c r="AD375" s="3" t="n"/>
      <c r="AE375" s="3" t="n"/>
    </row>
    <row r="376" ht="25" customHeight="1">
      <c r="A376" s="2" t="n"/>
      <c r="B376" s="2">
        <f>IFERROR(XLOOKUP(A376,'Intake Responses'!$A:$A,'Intake Responses'!$E:$E),"")</f>
        <v/>
      </c>
      <c r="C376" s="2">
        <f>IFERROR(XLOOKUP(A376,'Intake Responses'!$A:$A,'Intake Responses'!$D:$D),"")</f>
        <v/>
      </c>
      <c r="D376" s="2">
        <f>IFERROR(XLOOKUP(A376,'Intake Responses'!$A:$A,'Intake Responses'!$F:$F),"")</f>
        <v/>
      </c>
      <c r="E376" s="2" t="n"/>
      <c r="F376" s="2">
        <f>IFERROR(XLOOKUP(A376,'Intake Responses'!$A:$A,'Intake Responses'!$M:$M),"")</f>
        <v/>
      </c>
      <c r="G376" s="2">
        <f>IFERROR(XLOOKUP(A376,'Intake Responses'!$A:$A,'Intake Responses'!$N:$N),"")</f>
        <v/>
      </c>
      <c r="H376" s="2">
        <f>IFERROR(XLOOKUP(A376,'Intake Responses'!$A:$A,'Intake Responses'!$O:$O),"")</f>
        <v/>
      </c>
      <c r="I376" s="2">
        <f>IFERROR(SWITCH(F376,"Multiple times per day",60,"Daily",20,"Weekly",4,"Monthly",1,"Quarterly",0.33,"Ad hoc",0.5,"Unknown",0),0)</f>
        <v/>
      </c>
      <c r="J376" s="2">
        <f>IFERROR((G376*H376*I376)/60,0)</f>
        <v/>
      </c>
      <c r="K376" s="2">
        <f>IFERROR(J376*12,0)</f>
        <v/>
      </c>
      <c r="L376" s="2">
        <f>IFERROR(XLOOKUP(A376,'Intake Responses'!$A:$A,'Intake Responses'!$T:$T),"")</f>
        <v/>
      </c>
      <c r="M376" s="2">
        <f>IFERROR(XLOOKUP(A376,'Intake Responses'!$A:$A,'Intake Responses'!$U:$U),"")</f>
        <v/>
      </c>
      <c r="N376" s="2">
        <f>IFERROR(XLOOKUP(A376,'Intake Responses'!$A:$A,'Intake Responses'!$V:$V),"")</f>
        <v/>
      </c>
      <c r="O376" s="2">
        <f>IFERROR(XLOOKUP(A376,'Intake Responses'!$A:$A,'Intake Responses'!$W:$W),"")</f>
        <v/>
      </c>
      <c r="P376" s="2">
        <f>IFERROR(XLOOKUP(A376,'Intake Responses'!$A:$A,'Intake Responses'!$X:$X),"")</f>
        <v/>
      </c>
      <c r="Q376" s="2">
        <f>IFERROR(XLOOKUP(A376,'Intake Responses'!$A:$A,'Intake Responses'!$AF:$AF),"")</f>
        <v/>
      </c>
      <c r="R376" s="2">
        <f>IFERROR(XLOOKUP(A376,'Intake Responses'!$A:$A,'Intake Responses'!$S:$S),"")</f>
        <v/>
      </c>
      <c r="S376" s="2" t="n"/>
      <c r="T376" s="2" t="n"/>
      <c r="U376" s="2" t="n"/>
      <c r="V376" s="2">
        <f>IFERROR(MIN(5,ROUND(((M376+O376)/2)+(IF(J376&gt;=20,2,IF(J376&gt;=10,1.5,IF(J376&gt;=5,1,IF(J376&gt;=1,0.5,0))))),1)),0)</f>
        <v/>
      </c>
      <c r="W376" s="2">
        <f>IFERROR(SWITCH(F376,"Multiple times per day",5,"Daily",4,"Weekly",3,"Monthly",2,"Quarterly",1,"Ad hoc",1,"Unknown",0),0)</f>
        <v/>
      </c>
      <c r="X376" s="2">
        <f>IFERROR(ROUND(AVERAGE(L376,N376),1),0)</f>
        <v/>
      </c>
      <c r="Y376" s="2">
        <f>IFERROR(SWITCH(U376,"High",3,"Medium",2,"Low",0,"Unknown",1,1)+IF(Q376="Yes",2,IF(Q376="Unsure",1,0)),0)</f>
        <v/>
      </c>
      <c r="Z376" s="2">
        <f>IFERROR(ROUND((V376*2)+(W376*1)+(X376*2)+(IF(T376="Easy",2,IF(T376="Medium",1,IF(T376="Hard",-1,0))))-(Y376*2),1),0)</f>
        <v/>
      </c>
      <c r="AA376" s="2">
        <f>IFERROR(IF(S376="Not a fit","Not a Fit",IF(Y376&gt;=5,"High Risk / Needs Review",IF(AND(Z376&gt;=18,T376="Easy"),"Quick Win",IF(AND(Z376&gt;=18,T376&lt;&gt;"Easy"),"Strategic Project",IF(Z376&gt;=10,"Discovery Needed","Process Issue"))))),"")</f>
        <v/>
      </c>
      <c r="AB376" s="2">
        <f>IFERROR(SWITCH(AA376,"Quick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6" s="2" t="n"/>
      <c r="AD376" s="2" t="n"/>
      <c r="AE376" s="2" t="n"/>
    </row>
    <row r="377" ht="25" customHeight="1">
      <c r="A377" s="3" t="n"/>
      <c r="B377" s="3">
        <f>IFERROR(XLOOKUP(A377,'Intake Responses'!$A:$A,'Intake Responses'!$E:$E),"")</f>
        <v/>
      </c>
      <c r="C377" s="3">
        <f>IFERROR(XLOOKUP(A377,'Intake Responses'!$A:$A,'Intake Responses'!$D:$D),"")</f>
        <v/>
      </c>
      <c r="D377" s="3">
        <f>IFERROR(XLOOKUP(A377,'Intake Responses'!$A:$A,'Intake Responses'!$F:$F),"")</f>
        <v/>
      </c>
      <c r="E377" s="3" t="n"/>
      <c r="F377" s="3">
        <f>IFERROR(XLOOKUP(A377,'Intake Responses'!$A:$A,'Intake Responses'!$M:$M),"")</f>
        <v/>
      </c>
      <c r="G377" s="3">
        <f>IFERROR(XLOOKUP(A377,'Intake Responses'!$A:$A,'Intake Responses'!$N:$N),"")</f>
        <v/>
      </c>
      <c r="H377" s="3">
        <f>IFERROR(XLOOKUP(A377,'Intake Responses'!$A:$A,'Intake Responses'!$O:$O),"")</f>
        <v/>
      </c>
      <c r="I377" s="3">
        <f>IFERROR(SWITCH(F377,"Multiple times per day",60,"Daily",20,"Weekly",4,"Monthly",1,"Quarterly",0.33,"Ad hoc",0.5,"Unknown",0),0)</f>
        <v/>
      </c>
      <c r="J377" s="3">
        <f>IFERROR((G377*H377*I377)/60,0)</f>
        <v/>
      </c>
      <c r="K377" s="3">
        <f>IFERROR(J377*12,0)</f>
        <v/>
      </c>
      <c r="L377" s="3">
        <f>IFERROR(XLOOKUP(A377,'Intake Responses'!$A:$A,'Intake Responses'!$T:$T),"")</f>
        <v/>
      </c>
      <c r="M377" s="3">
        <f>IFERROR(XLOOKUP(A377,'Intake Responses'!$A:$A,'Intake Responses'!$U:$U),"")</f>
        <v/>
      </c>
      <c r="N377" s="3">
        <f>IFERROR(XLOOKUP(A377,'Intake Responses'!$A:$A,'Intake Responses'!$V:$V),"")</f>
        <v/>
      </c>
      <c r="O377" s="3">
        <f>IFERROR(XLOOKUP(A377,'Intake Responses'!$A:$A,'Intake Responses'!$W:$W),"")</f>
        <v/>
      </c>
      <c r="P377" s="3">
        <f>IFERROR(XLOOKUP(A377,'Intake Responses'!$A:$A,'Intake Responses'!$X:$X),"")</f>
        <v/>
      </c>
      <c r="Q377" s="3">
        <f>IFERROR(XLOOKUP(A377,'Intake Responses'!$A:$A,'Intake Responses'!$AF:$AF),"")</f>
        <v/>
      </c>
      <c r="R377" s="3">
        <f>IFERROR(XLOOKUP(A377,'Intake Responses'!$A:$A,'Intake Responses'!$S:$S),"")</f>
        <v/>
      </c>
      <c r="S377" s="3" t="n"/>
      <c r="T377" s="3" t="n"/>
      <c r="U377" s="3" t="n"/>
      <c r="V377" s="3">
        <f>IFERROR(MIN(5,ROUND(((M377+O377)/2)+(IF(J377&gt;=20,2,IF(J377&gt;=10,1.5,IF(J377&gt;=5,1,IF(J377&gt;=1,0.5,0))))),1)),0)</f>
        <v/>
      </c>
      <c r="W377" s="3">
        <f>IFERROR(SWITCH(F377,"Multiple times per day",5,"Daily",4,"Weekly",3,"Monthly",2,"Quarterly",1,"Ad hoc",1,"Unknown",0),0)</f>
        <v/>
      </c>
      <c r="X377" s="3">
        <f>IFERROR(ROUND(AVERAGE(L377,N377),1),0)</f>
        <v/>
      </c>
      <c r="Y377" s="3">
        <f>IFERROR(SWITCH(U377,"High",3,"Medium",2,"Low",0,"Unknown",1,1)+IF(Q377="Yes",2,IF(Q377="Unsure",1,0)),0)</f>
        <v/>
      </c>
      <c r="Z377" s="3">
        <f>IFERROR(ROUND((V377*2)+(W377*1)+(X377*2)+(IF(T377="Easy",2,IF(T377="Medium",1,IF(T377="Hard",-1,0))))-(Y377*2),1),0)</f>
        <v/>
      </c>
      <c r="AA377" s="3">
        <f>IFERROR(IF(S377="Not a fit","Not a Fit",IF(Y377&gt;=5,"High Risk / Needs Review",IF(AND(Z377&gt;=18,T377="Easy"),"Quick Win",IF(AND(Z377&gt;=18,T377&lt;&gt;"Easy"),"Strategic Project",IF(Z377&gt;=10,"Discovery Needed","Process Issue"))))),"")</f>
        <v/>
      </c>
      <c r="AB377" s="3">
        <f>IFERROR(SWITCH(AA377,"Quick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7" s="3" t="n"/>
      <c r="AD377" s="3" t="n"/>
      <c r="AE377" s="3" t="n"/>
    </row>
    <row r="378" ht="25" customHeight="1">
      <c r="A378" s="2" t="n"/>
      <c r="B378" s="2">
        <f>IFERROR(XLOOKUP(A378,'Intake Responses'!$A:$A,'Intake Responses'!$E:$E),"")</f>
        <v/>
      </c>
      <c r="C378" s="2">
        <f>IFERROR(XLOOKUP(A378,'Intake Responses'!$A:$A,'Intake Responses'!$D:$D),"")</f>
        <v/>
      </c>
      <c r="D378" s="2">
        <f>IFERROR(XLOOKUP(A378,'Intake Responses'!$A:$A,'Intake Responses'!$F:$F),"")</f>
        <v/>
      </c>
      <c r="E378" s="2" t="n"/>
      <c r="F378" s="2">
        <f>IFERROR(XLOOKUP(A378,'Intake Responses'!$A:$A,'Intake Responses'!$M:$M),"")</f>
        <v/>
      </c>
      <c r="G378" s="2">
        <f>IFERROR(XLOOKUP(A378,'Intake Responses'!$A:$A,'Intake Responses'!$N:$N),"")</f>
        <v/>
      </c>
      <c r="H378" s="2">
        <f>IFERROR(XLOOKUP(A378,'Intake Responses'!$A:$A,'Intake Responses'!$O:$O),"")</f>
        <v/>
      </c>
      <c r="I378" s="2">
        <f>IFERROR(SWITCH(F378,"Multiple times per day",60,"Daily",20,"Weekly",4,"Monthly",1,"Quarterly",0.33,"Ad hoc",0.5,"Unknown",0),0)</f>
        <v/>
      </c>
      <c r="J378" s="2">
        <f>IFERROR((G378*H378*I378)/60,0)</f>
        <v/>
      </c>
      <c r="K378" s="2">
        <f>IFERROR(J378*12,0)</f>
        <v/>
      </c>
      <c r="L378" s="2">
        <f>IFERROR(XLOOKUP(A378,'Intake Responses'!$A:$A,'Intake Responses'!$T:$T),"")</f>
        <v/>
      </c>
      <c r="M378" s="2">
        <f>IFERROR(XLOOKUP(A378,'Intake Responses'!$A:$A,'Intake Responses'!$U:$U),"")</f>
        <v/>
      </c>
      <c r="N378" s="2">
        <f>IFERROR(XLOOKUP(A378,'Intake Responses'!$A:$A,'Intake Responses'!$V:$V),"")</f>
        <v/>
      </c>
      <c r="O378" s="2">
        <f>IFERROR(XLOOKUP(A378,'Intake Responses'!$A:$A,'Intake Responses'!$W:$W),"")</f>
        <v/>
      </c>
      <c r="P378" s="2">
        <f>IFERROR(XLOOKUP(A378,'Intake Responses'!$A:$A,'Intake Responses'!$X:$X),"")</f>
        <v/>
      </c>
      <c r="Q378" s="2">
        <f>IFERROR(XLOOKUP(A378,'Intake Responses'!$A:$A,'Intake Responses'!$AF:$AF),"")</f>
        <v/>
      </c>
      <c r="R378" s="2">
        <f>IFERROR(XLOOKUP(A378,'Intake Responses'!$A:$A,'Intake Responses'!$S:$S),"")</f>
        <v/>
      </c>
      <c r="S378" s="2" t="n"/>
      <c r="T378" s="2" t="n"/>
      <c r="U378" s="2" t="n"/>
      <c r="V378" s="2">
        <f>IFERROR(MIN(5,ROUND(((M378+O378)/2)+(IF(J378&gt;=20,2,IF(J378&gt;=10,1.5,IF(J378&gt;=5,1,IF(J378&gt;=1,0.5,0))))),1)),0)</f>
        <v/>
      </c>
      <c r="W378" s="2">
        <f>IFERROR(SWITCH(F378,"Multiple times per day",5,"Daily",4,"Weekly",3,"Monthly",2,"Quarterly",1,"Ad hoc",1,"Unknown",0),0)</f>
        <v/>
      </c>
      <c r="X378" s="2">
        <f>IFERROR(ROUND(AVERAGE(L378,N378),1),0)</f>
        <v/>
      </c>
      <c r="Y378" s="2">
        <f>IFERROR(SWITCH(U378,"High",3,"Medium",2,"Low",0,"Unknown",1,1)+IF(Q378="Yes",2,IF(Q378="Unsure",1,0)),0)</f>
        <v/>
      </c>
      <c r="Z378" s="2">
        <f>IFERROR(ROUND((V378*2)+(W378*1)+(X378*2)+(IF(T378="Easy",2,IF(T378="Medium",1,IF(T378="Hard",-1,0))))-(Y378*2),1),0)</f>
        <v/>
      </c>
      <c r="AA378" s="2">
        <f>IFERROR(IF(S378="Not a fit","Not a Fit",IF(Y378&gt;=5,"High Risk / Needs Review",IF(AND(Z378&gt;=18,T378="Easy"),"Quick Win",IF(AND(Z378&gt;=18,T378&lt;&gt;"Easy"),"Strategic Project",IF(Z378&gt;=10,"Discovery Needed","Process Issue"))))),"")</f>
        <v/>
      </c>
      <c r="AB378" s="2">
        <f>IFERROR(SWITCH(AA378,"Quick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8" s="2" t="n"/>
      <c r="AD378" s="2" t="n"/>
      <c r="AE378" s="2" t="n"/>
    </row>
    <row r="379" ht="25" customHeight="1">
      <c r="A379" s="3" t="n"/>
      <c r="B379" s="3">
        <f>IFERROR(XLOOKUP(A379,'Intake Responses'!$A:$A,'Intake Responses'!$E:$E),"")</f>
        <v/>
      </c>
      <c r="C379" s="3">
        <f>IFERROR(XLOOKUP(A379,'Intake Responses'!$A:$A,'Intake Responses'!$D:$D),"")</f>
        <v/>
      </c>
      <c r="D379" s="3">
        <f>IFERROR(XLOOKUP(A379,'Intake Responses'!$A:$A,'Intake Responses'!$F:$F),"")</f>
        <v/>
      </c>
      <c r="E379" s="3" t="n"/>
      <c r="F379" s="3">
        <f>IFERROR(XLOOKUP(A379,'Intake Responses'!$A:$A,'Intake Responses'!$M:$M),"")</f>
        <v/>
      </c>
      <c r="G379" s="3">
        <f>IFERROR(XLOOKUP(A379,'Intake Responses'!$A:$A,'Intake Responses'!$N:$N),"")</f>
        <v/>
      </c>
      <c r="H379" s="3">
        <f>IFERROR(XLOOKUP(A379,'Intake Responses'!$A:$A,'Intake Responses'!$O:$O),"")</f>
        <v/>
      </c>
      <c r="I379" s="3">
        <f>IFERROR(SWITCH(F379,"Multiple times per day",60,"Daily",20,"Weekly",4,"Monthly",1,"Quarterly",0.33,"Ad hoc",0.5,"Unknown",0),0)</f>
        <v/>
      </c>
      <c r="J379" s="3">
        <f>IFERROR((G379*H379*I379)/60,0)</f>
        <v/>
      </c>
      <c r="K379" s="3">
        <f>IFERROR(J379*12,0)</f>
        <v/>
      </c>
      <c r="L379" s="3">
        <f>IFERROR(XLOOKUP(A379,'Intake Responses'!$A:$A,'Intake Responses'!$T:$T),"")</f>
        <v/>
      </c>
      <c r="M379" s="3">
        <f>IFERROR(XLOOKUP(A379,'Intake Responses'!$A:$A,'Intake Responses'!$U:$U),"")</f>
        <v/>
      </c>
      <c r="N379" s="3">
        <f>IFERROR(XLOOKUP(A379,'Intake Responses'!$A:$A,'Intake Responses'!$V:$V),"")</f>
        <v/>
      </c>
      <c r="O379" s="3">
        <f>IFERROR(XLOOKUP(A379,'Intake Responses'!$A:$A,'Intake Responses'!$W:$W),"")</f>
        <v/>
      </c>
      <c r="P379" s="3">
        <f>IFERROR(XLOOKUP(A379,'Intake Responses'!$A:$A,'Intake Responses'!$X:$X),"")</f>
        <v/>
      </c>
      <c r="Q379" s="3">
        <f>IFERROR(XLOOKUP(A379,'Intake Responses'!$A:$A,'Intake Responses'!$AF:$AF),"")</f>
        <v/>
      </c>
      <c r="R379" s="3">
        <f>IFERROR(XLOOKUP(A379,'Intake Responses'!$A:$A,'Intake Responses'!$S:$S),"")</f>
        <v/>
      </c>
      <c r="S379" s="3" t="n"/>
      <c r="T379" s="3" t="n"/>
      <c r="U379" s="3" t="n"/>
      <c r="V379" s="3">
        <f>IFERROR(MIN(5,ROUND(((M379+O379)/2)+(IF(J379&gt;=20,2,IF(J379&gt;=10,1.5,IF(J379&gt;=5,1,IF(J379&gt;=1,0.5,0))))),1)),0)</f>
        <v/>
      </c>
      <c r="W379" s="3">
        <f>IFERROR(SWITCH(F379,"Multiple times per day",5,"Daily",4,"Weekly",3,"Monthly",2,"Quarterly",1,"Ad hoc",1,"Unknown",0),0)</f>
        <v/>
      </c>
      <c r="X379" s="3">
        <f>IFERROR(ROUND(AVERAGE(L379,N379),1),0)</f>
        <v/>
      </c>
      <c r="Y379" s="3">
        <f>IFERROR(SWITCH(U379,"High",3,"Medium",2,"Low",0,"Unknown",1,1)+IF(Q379="Yes",2,IF(Q379="Unsure",1,0)),0)</f>
        <v/>
      </c>
      <c r="Z379" s="3">
        <f>IFERROR(ROUND((V379*2)+(W379*1)+(X379*2)+(IF(T379="Easy",2,IF(T379="Medium",1,IF(T379="Hard",-1,0))))-(Y379*2),1),0)</f>
        <v/>
      </c>
      <c r="AA379" s="3">
        <f>IFERROR(IF(S379="Not a fit","Not a Fit",IF(Y379&gt;=5,"High Risk / Needs Review",IF(AND(Z379&gt;=18,T379="Easy"),"Quick Win",IF(AND(Z379&gt;=18,T379&lt;&gt;"Easy"),"Strategic Project",IF(Z379&gt;=10,"Discovery Needed","Process Issue"))))),"")</f>
        <v/>
      </c>
      <c r="AB379" s="3">
        <f>IFERROR(SWITCH(AA379,"Quick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79" s="3" t="n"/>
      <c r="AD379" s="3" t="n"/>
      <c r="AE379" s="3" t="n"/>
    </row>
    <row r="380" ht="25" customHeight="1">
      <c r="A380" s="2" t="n"/>
      <c r="B380" s="2">
        <f>IFERROR(XLOOKUP(A380,'Intake Responses'!$A:$A,'Intake Responses'!$E:$E),"")</f>
        <v/>
      </c>
      <c r="C380" s="2">
        <f>IFERROR(XLOOKUP(A380,'Intake Responses'!$A:$A,'Intake Responses'!$D:$D),"")</f>
        <v/>
      </c>
      <c r="D380" s="2">
        <f>IFERROR(XLOOKUP(A380,'Intake Responses'!$A:$A,'Intake Responses'!$F:$F),"")</f>
        <v/>
      </c>
      <c r="E380" s="2" t="n"/>
      <c r="F380" s="2">
        <f>IFERROR(XLOOKUP(A380,'Intake Responses'!$A:$A,'Intake Responses'!$M:$M),"")</f>
        <v/>
      </c>
      <c r="G380" s="2">
        <f>IFERROR(XLOOKUP(A380,'Intake Responses'!$A:$A,'Intake Responses'!$N:$N),"")</f>
        <v/>
      </c>
      <c r="H380" s="2">
        <f>IFERROR(XLOOKUP(A380,'Intake Responses'!$A:$A,'Intake Responses'!$O:$O),"")</f>
        <v/>
      </c>
      <c r="I380" s="2">
        <f>IFERROR(SWITCH(F380,"Multiple times per day",60,"Daily",20,"Weekly",4,"Monthly",1,"Quarterly",0.33,"Ad hoc",0.5,"Unknown",0),0)</f>
        <v/>
      </c>
      <c r="J380" s="2">
        <f>IFERROR((G380*H380*I380)/60,0)</f>
        <v/>
      </c>
      <c r="K380" s="2">
        <f>IFERROR(J380*12,0)</f>
        <v/>
      </c>
      <c r="L380" s="2">
        <f>IFERROR(XLOOKUP(A380,'Intake Responses'!$A:$A,'Intake Responses'!$T:$T),"")</f>
        <v/>
      </c>
      <c r="M380" s="2">
        <f>IFERROR(XLOOKUP(A380,'Intake Responses'!$A:$A,'Intake Responses'!$U:$U),"")</f>
        <v/>
      </c>
      <c r="N380" s="2">
        <f>IFERROR(XLOOKUP(A380,'Intake Responses'!$A:$A,'Intake Responses'!$V:$V),"")</f>
        <v/>
      </c>
      <c r="O380" s="2">
        <f>IFERROR(XLOOKUP(A380,'Intake Responses'!$A:$A,'Intake Responses'!$W:$W),"")</f>
        <v/>
      </c>
      <c r="P380" s="2">
        <f>IFERROR(XLOOKUP(A380,'Intake Responses'!$A:$A,'Intake Responses'!$X:$X),"")</f>
        <v/>
      </c>
      <c r="Q380" s="2">
        <f>IFERROR(XLOOKUP(A380,'Intake Responses'!$A:$A,'Intake Responses'!$AF:$AF),"")</f>
        <v/>
      </c>
      <c r="R380" s="2">
        <f>IFERROR(XLOOKUP(A380,'Intake Responses'!$A:$A,'Intake Responses'!$S:$S),"")</f>
        <v/>
      </c>
      <c r="S380" s="2" t="n"/>
      <c r="T380" s="2" t="n"/>
      <c r="U380" s="2" t="n"/>
      <c r="V380" s="2">
        <f>IFERROR(MIN(5,ROUND(((M380+O380)/2)+(IF(J380&gt;=20,2,IF(J380&gt;=10,1.5,IF(J380&gt;=5,1,IF(J380&gt;=1,0.5,0))))),1)),0)</f>
        <v/>
      </c>
      <c r="W380" s="2">
        <f>IFERROR(SWITCH(F380,"Multiple times per day",5,"Daily",4,"Weekly",3,"Monthly",2,"Quarterly",1,"Ad hoc",1,"Unknown",0),0)</f>
        <v/>
      </c>
      <c r="X380" s="2">
        <f>IFERROR(ROUND(AVERAGE(L380,N380),1),0)</f>
        <v/>
      </c>
      <c r="Y380" s="2">
        <f>IFERROR(SWITCH(U380,"High",3,"Medium",2,"Low",0,"Unknown",1,1)+IF(Q380="Yes",2,IF(Q380="Unsure",1,0)),0)</f>
        <v/>
      </c>
      <c r="Z380" s="2">
        <f>IFERROR(ROUND((V380*2)+(W380*1)+(X380*2)+(IF(T380="Easy",2,IF(T380="Medium",1,IF(T380="Hard",-1,0))))-(Y380*2),1),0)</f>
        <v/>
      </c>
      <c r="AA380" s="2">
        <f>IFERROR(IF(S380="Not a fit","Not a Fit",IF(Y380&gt;=5,"High Risk / Needs Review",IF(AND(Z380&gt;=18,T380="Easy"),"Quick Win",IF(AND(Z380&gt;=18,T380&lt;&gt;"Easy"),"Strategic Project",IF(Z380&gt;=10,"Discovery Needed","Process Issue"))))),"")</f>
        <v/>
      </c>
      <c r="AB380" s="2">
        <f>IFERROR(SWITCH(AA380,"Quick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0" s="2" t="n"/>
      <c r="AD380" s="2" t="n"/>
      <c r="AE380" s="2" t="n"/>
    </row>
    <row r="381" ht="25" customHeight="1">
      <c r="A381" s="3" t="n"/>
      <c r="B381" s="3">
        <f>IFERROR(XLOOKUP(A381,'Intake Responses'!$A:$A,'Intake Responses'!$E:$E),"")</f>
        <v/>
      </c>
      <c r="C381" s="3">
        <f>IFERROR(XLOOKUP(A381,'Intake Responses'!$A:$A,'Intake Responses'!$D:$D),"")</f>
        <v/>
      </c>
      <c r="D381" s="3">
        <f>IFERROR(XLOOKUP(A381,'Intake Responses'!$A:$A,'Intake Responses'!$F:$F),"")</f>
        <v/>
      </c>
      <c r="E381" s="3" t="n"/>
      <c r="F381" s="3">
        <f>IFERROR(XLOOKUP(A381,'Intake Responses'!$A:$A,'Intake Responses'!$M:$M),"")</f>
        <v/>
      </c>
      <c r="G381" s="3">
        <f>IFERROR(XLOOKUP(A381,'Intake Responses'!$A:$A,'Intake Responses'!$N:$N),"")</f>
        <v/>
      </c>
      <c r="H381" s="3">
        <f>IFERROR(XLOOKUP(A381,'Intake Responses'!$A:$A,'Intake Responses'!$O:$O),"")</f>
        <v/>
      </c>
      <c r="I381" s="3">
        <f>IFERROR(SWITCH(F381,"Multiple times per day",60,"Daily",20,"Weekly",4,"Monthly",1,"Quarterly",0.33,"Ad hoc",0.5,"Unknown",0),0)</f>
        <v/>
      </c>
      <c r="J381" s="3">
        <f>IFERROR((G381*H381*I381)/60,0)</f>
        <v/>
      </c>
      <c r="K381" s="3">
        <f>IFERROR(J381*12,0)</f>
        <v/>
      </c>
      <c r="L381" s="3">
        <f>IFERROR(XLOOKUP(A381,'Intake Responses'!$A:$A,'Intake Responses'!$T:$T),"")</f>
        <v/>
      </c>
      <c r="M381" s="3">
        <f>IFERROR(XLOOKUP(A381,'Intake Responses'!$A:$A,'Intake Responses'!$U:$U),"")</f>
        <v/>
      </c>
      <c r="N381" s="3">
        <f>IFERROR(XLOOKUP(A381,'Intake Responses'!$A:$A,'Intake Responses'!$V:$V),"")</f>
        <v/>
      </c>
      <c r="O381" s="3">
        <f>IFERROR(XLOOKUP(A381,'Intake Responses'!$A:$A,'Intake Responses'!$W:$W),"")</f>
        <v/>
      </c>
      <c r="P381" s="3">
        <f>IFERROR(XLOOKUP(A381,'Intake Responses'!$A:$A,'Intake Responses'!$X:$X),"")</f>
        <v/>
      </c>
      <c r="Q381" s="3">
        <f>IFERROR(XLOOKUP(A381,'Intake Responses'!$A:$A,'Intake Responses'!$AF:$AF),"")</f>
        <v/>
      </c>
      <c r="R381" s="3">
        <f>IFERROR(XLOOKUP(A381,'Intake Responses'!$A:$A,'Intake Responses'!$S:$S),"")</f>
        <v/>
      </c>
      <c r="S381" s="3" t="n"/>
      <c r="T381" s="3" t="n"/>
      <c r="U381" s="3" t="n"/>
      <c r="V381" s="3">
        <f>IFERROR(MIN(5,ROUND(((M381+O381)/2)+(IF(J381&gt;=20,2,IF(J381&gt;=10,1.5,IF(J381&gt;=5,1,IF(J381&gt;=1,0.5,0))))),1)),0)</f>
        <v/>
      </c>
      <c r="W381" s="3">
        <f>IFERROR(SWITCH(F381,"Multiple times per day",5,"Daily",4,"Weekly",3,"Monthly",2,"Quarterly",1,"Ad hoc",1,"Unknown",0),0)</f>
        <v/>
      </c>
      <c r="X381" s="3">
        <f>IFERROR(ROUND(AVERAGE(L381,N381),1),0)</f>
        <v/>
      </c>
      <c r="Y381" s="3">
        <f>IFERROR(SWITCH(U381,"High",3,"Medium",2,"Low",0,"Unknown",1,1)+IF(Q381="Yes",2,IF(Q381="Unsure",1,0)),0)</f>
        <v/>
      </c>
      <c r="Z381" s="3">
        <f>IFERROR(ROUND((V381*2)+(W381*1)+(X381*2)+(IF(T381="Easy",2,IF(T381="Medium",1,IF(T381="Hard",-1,0))))-(Y381*2),1),0)</f>
        <v/>
      </c>
      <c r="AA381" s="3">
        <f>IFERROR(IF(S381="Not a fit","Not a Fit",IF(Y381&gt;=5,"High Risk / Needs Review",IF(AND(Z381&gt;=18,T381="Easy"),"Quick Win",IF(AND(Z381&gt;=18,T381&lt;&gt;"Easy"),"Strategic Project",IF(Z381&gt;=10,"Discovery Needed","Process Issue"))))),"")</f>
        <v/>
      </c>
      <c r="AB381" s="3">
        <f>IFERROR(SWITCH(AA381,"Quick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1" s="3" t="n"/>
      <c r="AD381" s="3" t="n"/>
      <c r="AE381" s="3" t="n"/>
    </row>
    <row r="382" ht="25" customHeight="1">
      <c r="A382" s="2" t="n"/>
      <c r="B382" s="2">
        <f>IFERROR(XLOOKUP(A382,'Intake Responses'!$A:$A,'Intake Responses'!$E:$E),"")</f>
        <v/>
      </c>
      <c r="C382" s="2">
        <f>IFERROR(XLOOKUP(A382,'Intake Responses'!$A:$A,'Intake Responses'!$D:$D),"")</f>
        <v/>
      </c>
      <c r="D382" s="2">
        <f>IFERROR(XLOOKUP(A382,'Intake Responses'!$A:$A,'Intake Responses'!$F:$F),"")</f>
        <v/>
      </c>
      <c r="E382" s="2" t="n"/>
      <c r="F382" s="2">
        <f>IFERROR(XLOOKUP(A382,'Intake Responses'!$A:$A,'Intake Responses'!$M:$M),"")</f>
        <v/>
      </c>
      <c r="G382" s="2">
        <f>IFERROR(XLOOKUP(A382,'Intake Responses'!$A:$A,'Intake Responses'!$N:$N),"")</f>
        <v/>
      </c>
      <c r="H382" s="2">
        <f>IFERROR(XLOOKUP(A382,'Intake Responses'!$A:$A,'Intake Responses'!$O:$O),"")</f>
        <v/>
      </c>
      <c r="I382" s="2">
        <f>IFERROR(SWITCH(F382,"Multiple times per day",60,"Daily",20,"Weekly",4,"Monthly",1,"Quarterly",0.33,"Ad hoc",0.5,"Unknown",0),0)</f>
        <v/>
      </c>
      <c r="J382" s="2">
        <f>IFERROR((G382*H382*I382)/60,0)</f>
        <v/>
      </c>
      <c r="K382" s="2">
        <f>IFERROR(J382*12,0)</f>
        <v/>
      </c>
      <c r="L382" s="2">
        <f>IFERROR(XLOOKUP(A382,'Intake Responses'!$A:$A,'Intake Responses'!$T:$T),"")</f>
        <v/>
      </c>
      <c r="M382" s="2">
        <f>IFERROR(XLOOKUP(A382,'Intake Responses'!$A:$A,'Intake Responses'!$U:$U),"")</f>
        <v/>
      </c>
      <c r="N382" s="2">
        <f>IFERROR(XLOOKUP(A382,'Intake Responses'!$A:$A,'Intake Responses'!$V:$V),"")</f>
        <v/>
      </c>
      <c r="O382" s="2">
        <f>IFERROR(XLOOKUP(A382,'Intake Responses'!$A:$A,'Intake Responses'!$W:$W),"")</f>
        <v/>
      </c>
      <c r="P382" s="2">
        <f>IFERROR(XLOOKUP(A382,'Intake Responses'!$A:$A,'Intake Responses'!$X:$X),"")</f>
        <v/>
      </c>
      <c r="Q382" s="2">
        <f>IFERROR(XLOOKUP(A382,'Intake Responses'!$A:$A,'Intake Responses'!$AF:$AF),"")</f>
        <v/>
      </c>
      <c r="R382" s="2">
        <f>IFERROR(XLOOKUP(A382,'Intake Responses'!$A:$A,'Intake Responses'!$S:$S),"")</f>
        <v/>
      </c>
      <c r="S382" s="2" t="n"/>
      <c r="T382" s="2" t="n"/>
      <c r="U382" s="2" t="n"/>
      <c r="V382" s="2">
        <f>IFERROR(MIN(5,ROUND(((M382+O382)/2)+(IF(J382&gt;=20,2,IF(J382&gt;=10,1.5,IF(J382&gt;=5,1,IF(J382&gt;=1,0.5,0))))),1)),0)</f>
        <v/>
      </c>
      <c r="W382" s="2">
        <f>IFERROR(SWITCH(F382,"Multiple times per day",5,"Daily",4,"Weekly",3,"Monthly",2,"Quarterly",1,"Ad hoc",1,"Unknown",0),0)</f>
        <v/>
      </c>
      <c r="X382" s="2">
        <f>IFERROR(ROUND(AVERAGE(L382,N382),1),0)</f>
        <v/>
      </c>
      <c r="Y382" s="2">
        <f>IFERROR(SWITCH(U382,"High",3,"Medium",2,"Low",0,"Unknown",1,1)+IF(Q382="Yes",2,IF(Q382="Unsure",1,0)),0)</f>
        <v/>
      </c>
      <c r="Z382" s="2">
        <f>IFERROR(ROUND((V382*2)+(W382*1)+(X382*2)+(IF(T382="Easy",2,IF(T382="Medium",1,IF(T382="Hard",-1,0))))-(Y382*2),1),0)</f>
        <v/>
      </c>
      <c r="AA382" s="2">
        <f>IFERROR(IF(S382="Not a fit","Not a Fit",IF(Y382&gt;=5,"High Risk / Needs Review",IF(AND(Z382&gt;=18,T382="Easy"),"Quick Win",IF(AND(Z382&gt;=18,T382&lt;&gt;"Easy"),"Strategic Project",IF(Z382&gt;=10,"Discovery Needed","Process Issue"))))),"")</f>
        <v/>
      </c>
      <c r="AB382" s="2">
        <f>IFERROR(SWITCH(AA382,"Quick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2" s="2" t="n"/>
      <c r="AD382" s="2" t="n"/>
      <c r="AE382" s="2" t="n"/>
    </row>
    <row r="383" ht="25" customHeight="1">
      <c r="A383" s="3" t="n"/>
      <c r="B383" s="3">
        <f>IFERROR(XLOOKUP(A383,'Intake Responses'!$A:$A,'Intake Responses'!$E:$E),"")</f>
        <v/>
      </c>
      <c r="C383" s="3">
        <f>IFERROR(XLOOKUP(A383,'Intake Responses'!$A:$A,'Intake Responses'!$D:$D),"")</f>
        <v/>
      </c>
      <c r="D383" s="3">
        <f>IFERROR(XLOOKUP(A383,'Intake Responses'!$A:$A,'Intake Responses'!$F:$F),"")</f>
        <v/>
      </c>
      <c r="E383" s="3" t="n"/>
      <c r="F383" s="3">
        <f>IFERROR(XLOOKUP(A383,'Intake Responses'!$A:$A,'Intake Responses'!$M:$M),"")</f>
        <v/>
      </c>
      <c r="G383" s="3">
        <f>IFERROR(XLOOKUP(A383,'Intake Responses'!$A:$A,'Intake Responses'!$N:$N),"")</f>
        <v/>
      </c>
      <c r="H383" s="3">
        <f>IFERROR(XLOOKUP(A383,'Intake Responses'!$A:$A,'Intake Responses'!$O:$O),"")</f>
        <v/>
      </c>
      <c r="I383" s="3">
        <f>IFERROR(SWITCH(F383,"Multiple times per day",60,"Daily",20,"Weekly",4,"Monthly",1,"Quarterly",0.33,"Ad hoc",0.5,"Unknown",0),0)</f>
        <v/>
      </c>
      <c r="J383" s="3">
        <f>IFERROR((G383*H383*I383)/60,0)</f>
        <v/>
      </c>
      <c r="K383" s="3">
        <f>IFERROR(J383*12,0)</f>
        <v/>
      </c>
      <c r="L383" s="3">
        <f>IFERROR(XLOOKUP(A383,'Intake Responses'!$A:$A,'Intake Responses'!$T:$T),"")</f>
        <v/>
      </c>
      <c r="M383" s="3">
        <f>IFERROR(XLOOKUP(A383,'Intake Responses'!$A:$A,'Intake Responses'!$U:$U),"")</f>
        <v/>
      </c>
      <c r="N383" s="3">
        <f>IFERROR(XLOOKUP(A383,'Intake Responses'!$A:$A,'Intake Responses'!$V:$V),"")</f>
        <v/>
      </c>
      <c r="O383" s="3">
        <f>IFERROR(XLOOKUP(A383,'Intake Responses'!$A:$A,'Intake Responses'!$W:$W),"")</f>
        <v/>
      </c>
      <c r="P383" s="3">
        <f>IFERROR(XLOOKUP(A383,'Intake Responses'!$A:$A,'Intake Responses'!$X:$X),"")</f>
        <v/>
      </c>
      <c r="Q383" s="3">
        <f>IFERROR(XLOOKUP(A383,'Intake Responses'!$A:$A,'Intake Responses'!$AF:$AF),"")</f>
        <v/>
      </c>
      <c r="R383" s="3">
        <f>IFERROR(XLOOKUP(A383,'Intake Responses'!$A:$A,'Intake Responses'!$S:$S),"")</f>
        <v/>
      </c>
      <c r="S383" s="3" t="n"/>
      <c r="T383" s="3" t="n"/>
      <c r="U383" s="3" t="n"/>
      <c r="V383" s="3">
        <f>IFERROR(MIN(5,ROUND(((M383+O383)/2)+(IF(J383&gt;=20,2,IF(J383&gt;=10,1.5,IF(J383&gt;=5,1,IF(J383&gt;=1,0.5,0))))),1)),0)</f>
        <v/>
      </c>
      <c r="W383" s="3">
        <f>IFERROR(SWITCH(F383,"Multiple times per day",5,"Daily",4,"Weekly",3,"Monthly",2,"Quarterly",1,"Ad hoc",1,"Unknown",0),0)</f>
        <v/>
      </c>
      <c r="X383" s="3">
        <f>IFERROR(ROUND(AVERAGE(L383,N383),1),0)</f>
        <v/>
      </c>
      <c r="Y383" s="3">
        <f>IFERROR(SWITCH(U383,"High",3,"Medium",2,"Low",0,"Unknown",1,1)+IF(Q383="Yes",2,IF(Q383="Unsure",1,0)),0)</f>
        <v/>
      </c>
      <c r="Z383" s="3">
        <f>IFERROR(ROUND((V383*2)+(W383*1)+(X383*2)+(IF(T383="Easy",2,IF(T383="Medium",1,IF(T383="Hard",-1,0))))-(Y383*2),1),0)</f>
        <v/>
      </c>
      <c r="AA383" s="3">
        <f>IFERROR(IF(S383="Not a fit","Not a Fit",IF(Y383&gt;=5,"High Risk / Needs Review",IF(AND(Z383&gt;=18,T383="Easy"),"Quick Win",IF(AND(Z383&gt;=18,T383&lt;&gt;"Easy"),"Strategic Project",IF(Z383&gt;=10,"Discovery Needed","Process Issue"))))),"")</f>
        <v/>
      </c>
      <c r="AB383" s="3">
        <f>IFERROR(SWITCH(AA383,"Quick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3" s="3" t="n"/>
      <c r="AD383" s="3" t="n"/>
      <c r="AE383" s="3" t="n"/>
    </row>
    <row r="384" ht="25" customHeight="1">
      <c r="A384" s="2" t="n"/>
      <c r="B384" s="2">
        <f>IFERROR(XLOOKUP(A384,'Intake Responses'!$A:$A,'Intake Responses'!$E:$E),"")</f>
        <v/>
      </c>
      <c r="C384" s="2">
        <f>IFERROR(XLOOKUP(A384,'Intake Responses'!$A:$A,'Intake Responses'!$D:$D),"")</f>
        <v/>
      </c>
      <c r="D384" s="2">
        <f>IFERROR(XLOOKUP(A384,'Intake Responses'!$A:$A,'Intake Responses'!$F:$F),"")</f>
        <v/>
      </c>
      <c r="E384" s="2" t="n"/>
      <c r="F384" s="2">
        <f>IFERROR(XLOOKUP(A384,'Intake Responses'!$A:$A,'Intake Responses'!$M:$M),"")</f>
        <v/>
      </c>
      <c r="G384" s="2">
        <f>IFERROR(XLOOKUP(A384,'Intake Responses'!$A:$A,'Intake Responses'!$N:$N),"")</f>
        <v/>
      </c>
      <c r="H384" s="2">
        <f>IFERROR(XLOOKUP(A384,'Intake Responses'!$A:$A,'Intake Responses'!$O:$O),"")</f>
        <v/>
      </c>
      <c r="I384" s="2">
        <f>IFERROR(SWITCH(F384,"Multiple times per day",60,"Daily",20,"Weekly",4,"Monthly",1,"Quarterly",0.33,"Ad hoc",0.5,"Unknown",0),0)</f>
        <v/>
      </c>
      <c r="J384" s="2">
        <f>IFERROR((G384*H384*I384)/60,0)</f>
        <v/>
      </c>
      <c r="K384" s="2">
        <f>IFERROR(J384*12,0)</f>
        <v/>
      </c>
      <c r="L384" s="2">
        <f>IFERROR(XLOOKUP(A384,'Intake Responses'!$A:$A,'Intake Responses'!$T:$T),"")</f>
        <v/>
      </c>
      <c r="M384" s="2">
        <f>IFERROR(XLOOKUP(A384,'Intake Responses'!$A:$A,'Intake Responses'!$U:$U),"")</f>
        <v/>
      </c>
      <c r="N384" s="2">
        <f>IFERROR(XLOOKUP(A384,'Intake Responses'!$A:$A,'Intake Responses'!$V:$V),"")</f>
        <v/>
      </c>
      <c r="O384" s="2">
        <f>IFERROR(XLOOKUP(A384,'Intake Responses'!$A:$A,'Intake Responses'!$W:$W),"")</f>
        <v/>
      </c>
      <c r="P384" s="2">
        <f>IFERROR(XLOOKUP(A384,'Intake Responses'!$A:$A,'Intake Responses'!$X:$X),"")</f>
        <v/>
      </c>
      <c r="Q384" s="2">
        <f>IFERROR(XLOOKUP(A384,'Intake Responses'!$A:$A,'Intake Responses'!$AF:$AF),"")</f>
        <v/>
      </c>
      <c r="R384" s="2">
        <f>IFERROR(XLOOKUP(A384,'Intake Responses'!$A:$A,'Intake Responses'!$S:$S),"")</f>
        <v/>
      </c>
      <c r="S384" s="2" t="n"/>
      <c r="T384" s="2" t="n"/>
      <c r="U384" s="2" t="n"/>
      <c r="V384" s="2">
        <f>IFERROR(MIN(5,ROUND(((M384+O384)/2)+(IF(J384&gt;=20,2,IF(J384&gt;=10,1.5,IF(J384&gt;=5,1,IF(J384&gt;=1,0.5,0))))),1)),0)</f>
        <v/>
      </c>
      <c r="W384" s="2">
        <f>IFERROR(SWITCH(F384,"Multiple times per day",5,"Daily",4,"Weekly",3,"Monthly",2,"Quarterly",1,"Ad hoc",1,"Unknown",0),0)</f>
        <v/>
      </c>
      <c r="X384" s="2">
        <f>IFERROR(ROUND(AVERAGE(L384,N384),1),0)</f>
        <v/>
      </c>
      <c r="Y384" s="2">
        <f>IFERROR(SWITCH(U384,"High",3,"Medium",2,"Low",0,"Unknown",1,1)+IF(Q384="Yes",2,IF(Q384="Unsure",1,0)),0)</f>
        <v/>
      </c>
      <c r="Z384" s="2">
        <f>IFERROR(ROUND((V384*2)+(W384*1)+(X384*2)+(IF(T384="Easy",2,IF(T384="Medium",1,IF(T384="Hard",-1,0))))-(Y384*2),1),0)</f>
        <v/>
      </c>
      <c r="AA384" s="2">
        <f>IFERROR(IF(S384="Not a fit","Not a Fit",IF(Y384&gt;=5,"High Risk / Needs Review",IF(AND(Z384&gt;=18,T384="Easy"),"Quick Win",IF(AND(Z384&gt;=18,T384&lt;&gt;"Easy"),"Strategic Project",IF(Z384&gt;=10,"Discovery Needed","Process Issue"))))),"")</f>
        <v/>
      </c>
      <c r="AB384" s="2">
        <f>IFERROR(SWITCH(AA384,"Quick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4" s="2" t="n"/>
      <c r="AD384" s="2" t="n"/>
      <c r="AE384" s="2" t="n"/>
    </row>
    <row r="385" ht="25" customHeight="1">
      <c r="A385" s="3" t="n"/>
      <c r="B385" s="3">
        <f>IFERROR(XLOOKUP(A385,'Intake Responses'!$A:$A,'Intake Responses'!$E:$E),"")</f>
        <v/>
      </c>
      <c r="C385" s="3">
        <f>IFERROR(XLOOKUP(A385,'Intake Responses'!$A:$A,'Intake Responses'!$D:$D),"")</f>
        <v/>
      </c>
      <c r="D385" s="3">
        <f>IFERROR(XLOOKUP(A385,'Intake Responses'!$A:$A,'Intake Responses'!$F:$F),"")</f>
        <v/>
      </c>
      <c r="E385" s="3" t="n"/>
      <c r="F385" s="3">
        <f>IFERROR(XLOOKUP(A385,'Intake Responses'!$A:$A,'Intake Responses'!$M:$M),"")</f>
        <v/>
      </c>
      <c r="G385" s="3">
        <f>IFERROR(XLOOKUP(A385,'Intake Responses'!$A:$A,'Intake Responses'!$N:$N),"")</f>
        <v/>
      </c>
      <c r="H385" s="3">
        <f>IFERROR(XLOOKUP(A385,'Intake Responses'!$A:$A,'Intake Responses'!$O:$O),"")</f>
        <v/>
      </c>
      <c r="I385" s="3">
        <f>IFERROR(SWITCH(F385,"Multiple times per day",60,"Daily",20,"Weekly",4,"Monthly",1,"Quarterly",0.33,"Ad hoc",0.5,"Unknown",0),0)</f>
        <v/>
      </c>
      <c r="J385" s="3">
        <f>IFERROR((G385*H385*I385)/60,0)</f>
        <v/>
      </c>
      <c r="K385" s="3">
        <f>IFERROR(J385*12,0)</f>
        <v/>
      </c>
      <c r="L385" s="3">
        <f>IFERROR(XLOOKUP(A385,'Intake Responses'!$A:$A,'Intake Responses'!$T:$T),"")</f>
        <v/>
      </c>
      <c r="M385" s="3">
        <f>IFERROR(XLOOKUP(A385,'Intake Responses'!$A:$A,'Intake Responses'!$U:$U),"")</f>
        <v/>
      </c>
      <c r="N385" s="3">
        <f>IFERROR(XLOOKUP(A385,'Intake Responses'!$A:$A,'Intake Responses'!$V:$V),"")</f>
        <v/>
      </c>
      <c r="O385" s="3">
        <f>IFERROR(XLOOKUP(A385,'Intake Responses'!$A:$A,'Intake Responses'!$W:$W),"")</f>
        <v/>
      </c>
      <c r="P385" s="3">
        <f>IFERROR(XLOOKUP(A385,'Intake Responses'!$A:$A,'Intake Responses'!$X:$X),"")</f>
        <v/>
      </c>
      <c r="Q385" s="3">
        <f>IFERROR(XLOOKUP(A385,'Intake Responses'!$A:$A,'Intake Responses'!$AF:$AF),"")</f>
        <v/>
      </c>
      <c r="R385" s="3">
        <f>IFERROR(XLOOKUP(A385,'Intake Responses'!$A:$A,'Intake Responses'!$S:$S),"")</f>
        <v/>
      </c>
      <c r="S385" s="3" t="n"/>
      <c r="T385" s="3" t="n"/>
      <c r="U385" s="3" t="n"/>
      <c r="V385" s="3">
        <f>IFERROR(MIN(5,ROUND(((M385+O385)/2)+(IF(J385&gt;=20,2,IF(J385&gt;=10,1.5,IF(J385&gt;=5,1,IF(J385&gt;=1,0.5,0))))),1)),0)</f>
        <v/>
      </c>
      <c r="W385" s="3">
        <f>IFERROR(SWITCH(F385,"Multiple times per day",5,"Daily",4,"Weekly",3,"Monthly",2,"Quarterly",1,"Ad hoc",1,"Unknown",0),0)</f>
        <v/>
      </c>
      <c r="X385" s="3">
        <f>IFERROR(ROUND(AVERAGE(L385,N385),1),0)</f>
        <v/>
      </c>
      <c r="Y385" s="3">
        <f>IFERROR(SWITCH(U385,"High",3,"Medium",2,"Low",0,"Unknown",1,1)+IF(Q385="Yes",2,IF(Q385="Unsure",1,0)),0)</f>
        <v/>
      </c>
      <c r="Z385" s="3">
        <f>IFERROR(ROUND((V385*2)+(W385*1)+(X385*2)+(IF(T385="Easy",2,IF(T385="Medium",1,IF(T385="Hard",-1,0))))-(Y385*2),1),0)</f>
        <v/>
      </c>
      <c r="AA385" s="3">
        <f>IFERROR(IF(S385="Not a fit","Not a Fit",IF(Y385&gt;=5,"High Risk / Needs Review",IF(AND(Z385&gt;=18,T385="Easy"),"Quick Win",IF(AND(Z385&gt;=18,T385&lt;&gt;"Easy"),"Strategic Project",IF(Z385&gt;=10,"Discovery Needed","Process Issue"))))),"")</f>
        <v/>
      </c>
      <c r="AB385" s="3">
        <f>IFERROR(SWITCH(AA385,"Quick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5" s="3" t="n"/>
      <c r="AD385" s="3" t="n"/>
      <c r="AE385" s="3" t="n"/>
    </row>
    <row r="386" ht="25" customHeight="1">
      <c r="A386" s="2" t="n"/>
      <c r="B386" s="2">
        <f>IFERROR(XLOOKUP(A386,'Intake Responses'!$A:$A,'Intake Responses'!$E:$E),"")</f>
        <v/>
      </c>
      <c r="C386" s="2">
        <f>IFERROR(XLOOKUP(A386,'Intake Responses'!$A:$A,'Intake Responses'!$D:$D),"")</f>
        <v/>
      </c>
      <c r="D386" s="2">
        <f>IFERROR(XLOOKUP(A386,'Intake Responses'!$A:$A,'Intake Responses'!$F:$F),"")</f>
        <v/>
      </c>
      <c r="E386" s="2" t="n"/>
      <c r="F386" s="2">
        <f>IFERROR(XLOOKUP(A386,'Intake Responses'!$A:$A,'Intake Responses'!$M:$M),"")</f>
        <v/>
      </c>
      <c r="G386" s="2">
        <f>IFERROR(XLOOKUP(A386,'Intake Responses'!$A:$A,'Intake Responses'!$N:$N),"")</f>
        <v/>
      </c>
      <c r="H386" s="2">
        <f>IFERROR(XLOOKUP(A386,'Intake Responses'!$A:$A,'Intake Responses'!$O:$O),"")</f>
        <v/>
      </c>
      <c r="I386" s="2">
        <f>IFERROR(SWITCH(F386,"Multiple times per day",60,"Daily",20,"Weekly",4,"Monthly",1,"Quarterly",0.33,"Ad hoc",0.5,"Unknown",0),0)</f>
        <v/>
      </c>
      <c r="J386" s="2">
        <f>IFERROR((G386*H386*I386)/60,0)</f>
        <v/>
      </c>
      <c r="K386" s="2">
        <f>IFERROR(J386*12,0)</f>
        <v/>
      </c>
      <c r="L386" s="2">
        <f>IFERROR(XLOOKUP(A386,'Intake Responses'!$A:$A,'Intake Responses'!$T:$T),"")</f>
        <v/>
      </c>
      <c r="M386" s="2">
        <f>IFERROR(XLOOKUP(A386,'Intake Responses'!$A:$A,'Intake Responses'!$U:$U),"")</f>
        <v/>
      </c>
      <c r="N386" s="2">
        <f>IFERROR(XLOOKUP(A386,'Intake Responses'!$A:$A,'Intake Responses'!$V:$V),"")</f>
        <v/>
      </c>
      <c r="O386" s="2">
        <f>IFERROR(XLOOKUP(A386,'Intake Responses'!$A:$A,'Intake Responses'!$W:$W),"")</f>
        <v/>
      </c>
      <c r="P386" s="2">
        <f>IFERROR(XLOOKUP(A386,'Intake Responses'!$A:$A,'Intake Responses'!$X:$X),"")</f>
        <v/>
      </c>
      <c r="Q386" s="2">
        <f>IFERROR(XLOOKUP(A386,'Intake Responses'!$A:$A,'Intake Responses'!$AF:$AF),"")</f>
        <v/>
      </c>
      <c r="R386" s="2">
        <f>IFERROR(XLOOKUP(A386,'Intake Responses'!$A:$A,'Intake Responses'!$S:$S),"")</f>
        <v/>
      </c>
      <c r="S386" s="2" t="n"/>
      <c r="T386" s="2" t="n"/>
      <c r="U386" s="2" t="n"/>
      <c r="V386" s="2">
        <f>IFERROR(MIN(5,ROUND(((M386+O386)/2)+(IF(J386&gt;=20,2,IF(J386&gt;=10,1.5,IF(J386&gt;=5,1,IF(J386&gt;=1,0.5,0))))),1)),0)</f>
        <v/>
      </c>
      <c r="W386" s="2">
        <f>IFERROR(SWITCH(F386,"Multiple times per day",5,"Daily",4,"Weekly",3,"Monthly",2,"Quarterly",1,"Ad hoc",1,"Unknown",0),0)</f>
        <v/>
      </c>
      <c r="X386" s="2">
        <f>IFERROR(ROUND(AVERAGE(L386,N386),1),0)</f>
        <v/>
      </c>
      <c r="Y386" s="2">
        <f>IFERROR(SWITCH(U386,"High",3,"Medium",2,"Low",0,"Unknown",1,1)+IF(Q386="Yes",2,IF(Q386="Unsure",1,0)),0)</f>
        <v/>
      </c>
      <c r="Z386" s="2">
        <f>IFERROR(ROUND((V386*2)+(W386*1)+(X386*2)+(IF(T386="Easy",2,IF(T386="Medium",1,IF(T386="Hard",-1,0))))-(Y386*2),1),0)</f>
        <v/>
      </c>
      <c r="AA386" s="2">
        <f>IFERROR(IF(S386="Not a fit","Not a Fit",IF(Y386&gt;=5,"High Risk / Needs Review",IF(AND(Z386&gt;=18,T386="Easy"),"Quick Win",IF(AND(Z386&gt;=18,T386&lt;&gt;"Easy"),"Strategic Project",IF(Z386&gt;=10,"Discovery Needed","Process Issue"))))),"")</f>
        <v/>
      </c>
      <c r="AB386" s="2">
        <f>IFERROR(SWITCH(AA386,"Quick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6" s="2" t="n"/>
      <c r="AD386" s="2" t="n"/>
      <c r="AE386" s="2" t="n"/>
    </row>
    <row r="387" ht="25" customHeight="1">
      <c r="A387" s="3" t="n"/>
      <c r="B387" s="3">
        <f>IFERROR(XLOOKUP(A387,'Intake Responses'!$A:$A,'Intake Responses'!$E:$E),"")</f>
        <v/>
      </c>
      <c r="C387" s="3">
        <f>IFERROR(XLOOKUP(A387,'Intake Responses'!$A:$A,'Intake Responses'!$D:$D),"")</f>
        <v/>
      </c>
      <c r="D387" s="3">
        <f>IFERROR(XLOOKUP(A387,'Intake Responses'!$A:$A,'Intake Responses'!$F:$F),"")</f>
        <v/>
      </c>
      <c r="E387" s="3" t="n"/>
      <c r="F387" s="3">
        <f>IFERROR(XLOOKUP(A387,'Intake Responses'!$A:$A,'Intake Responses'!$M:$M),"")</f>
        <v/>
      </c>
      <c r="G387" s="3">
        <f>IFERROR(XLOOKUP(A387,'Intake Responses'!$A:$A,'Intake Responses'!$N:$N),"")</f>
        <v/>
      </c>
      <c r="H387" s="3">
        <f>IFERROR(XLOOKUP(A387,'Intake Responses'!$A:$A,'Intake Responses'!$O:$O),"")</f>
        <v/>
      </c>
      <c r="I387" s="3">
        <f>IFERROR(SWITCH(F387,"Multiple times per day",60,"Daily",20,"Weekly",4,"Monthly",1,"Quarterly",0.33,"Ad hoc",0.5,"Unknown",0),0)</f>
        <v/>
      </c>
      <c r="J387" s="3">
        <f>IFERROR((G387*H387*I387)/60,0)</f>
        <v/>
      </c>
      <c r="K387" s="3">
        <f>IFERROR(J387*12,0)</f>
        <v/>
      </c>
      <c r="L387" s="3">
        <f>IFERROR(XLOOKUP(A387,'Intake Responses'!$A:$A,'Intake Responses'!$T:$T),"")</f>
        <v/>
      </c>
      <c r="M387" s="3">
        <f>IFERROR(XLOOKUP(A387,'Intake Responses'!$A:$A,'Intake Responses'!$U:$U),"")</f>
        <v/>
      </c>
      <c r="N387" s="3">
        <f>IFERROR(XLOOKUP(A387,'Intake Responses'!$A:$A,'Intake Responses'!$V:$V),"")</f>
        <v/>
      </c>
      <c r="O387" s="3">
        <f>IFERROR(XLOOKUP(A387,'Intake Responses'!$A:$A,'Intake Responses'!$W:$W),"")</f>
        <v/>
      </c>
      <c r="P387" s="3">
        <f>IFERROR(XLOOKUP(A387,'Intake Responses'!$A:$A,'Intake Responses'!$X:$X),"")</f>
        <v/>
      </c>
      <c r="Q387" s="3">
        <f>IFERROR(XLOOKUP(A387,'Intake Responses'!$A:$A,'Intake Responses'!$AF:$AF),"")</f>
        <v/>
      </c>
      <c r="R387" s="3">
        <f>IFERROR(XLOOKUP(A387,'Intake Responses'!$A:$A,'Intake Responses'!$S:$S),"")</f>
        <v/>
      </c>
      <c r="S387" s="3" t="n"/>
      <c r="T387" s="3" t="n"/>
      <c r="U387" s="3" t="n"/>
      <c r="V387" s="3">
        <f>IFERROR(MIN(5,ROUND(((M387+O387)/2)+(IF(J387&gt;=20,2,IF(J387&gt;=10,1.5,IF(J387&gt;=5,1,IF(J387&gt;=1,0.5,0))))),1)),0)</f>
        <v/>
      </c>
      <c r="W387" s="3">
        <f>IFERROR(SWITCH(F387,"Multiple times per day",5,"Daily",4,"Weekly",3,"Monthly",2,"Quarterly",1,"Ad hoc",1,"Unknown",0),0)</f>
        <v/>
      </c>
      <c r="X387" s="3">
        <f>IFERROR(ROUND(AVERAGE(L387,N387),1),0)</f>
        <v/>
      </c>
      <c r="Y387" s="3">
        <f>IFERROR(SWITCH(U387,"High",3,"Medium",2,"Low",0,"Unknown",1,1)+IF(Q387="Yes",2,IF(Q387="Unsure",1,0)),0)</f>
        <v/>
      </c>
      <c r="Z387" s="3">
        <f>IFERROR(ROUND((V387*2)+(W387*1)+(X387*2)+(IF(T387="Easy",2,IF(T387="Medium",1,IF(T387="Hard",-1,0))))-(Y387*2),1),0)</f>
        <v/>
      </c>
      <c r="AA387" s="3">
        <f>IFERROR(IF(S387="Not a fit","Not a Fit",IF(Y387&gt;=5,"High Risk / Needs Review",IF(AND(Z387&gt;=18,T387="Easy"),"Quick Win",IF(AND(Z387&gt;=18,T387&lt;&gt;"Easy"),"Strategic Project",IF(Z387&gt;=10,"Discovery Needed","Process Issue"))))),"")</f>
        <v/>
      </c>
      <c r="AB387" s="3">
        <f>IFERROR(SWITCH(AA387,"Quick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7" s="3" t="n"/>
      <c r="AD387" s="3" t="n"/>
      <c r="AE387" s="3" t="n"/>
    </row>
    <row r="388" ht="25" customHeight="1">
      <c r="A388" s="2" t="n"/>
      <c r="B388" s="2">
        <f>IFERROR(XLOOKUP(A388,'Intake Responses'!$A:$A,'Intake Responses'!$E:$E),"")</f>
        <v/>
      </c>
      <c r="C388" s="2">
        <f>IFERROR(XLOOKUP(A388,'Intake Responses'!$A:$A,'Intake Responses'!$D:$D),"")</f>
        <v/>
      </c>
      <c r="D388" s="2">
        <f>IFERROR(XLOOKUP(A388,'Intake Responses'!$A:$A,'Intake Responses'!$F:$F),"")</f>
        <v/>
      </c>
      <c r="E388" s="2" t="n"/>
      <c r="F388" s="2">
        <f>IFERROR(XLOOKUP(A388,'Intake Responses'!$A:$A,'Intake Responses'!$M:$M),"")</f>
        <v/>
      </c>
      <c r="G388" s="2">
        <f>IFERROR(XLOOKUP(A388,'Intake Responses'!$A:$A,'Intake Responses'!$N:$N),"")</f>
        <v/>
      </c>
      <c r="H388" s="2">
        <f>IFERROR(XLOOKUP(A388,'Intake Responses'!$A:$A,'Intake Responses'!$O:$O),"")</f>
        <v/>
      </c>
      <c r="I388" s="2">
        <f>IFERROR(SWITCH(F388,"Multiple times per day",60,"Daily",20,"Weekly",4,"Monthly",1,"Quarterly",0.33,"Ad hoc",0.5,"Unknown",0),0)</f>
        <v/>
      </c>
      <c r="J388" s="2">
        <f>IFERROR((G388*H388*I388)/60,0)</f>
        <v/>
      </c>
      <c r="K388" s="2">
        <f>IFERROR(J388*12,0)</f>
        <v/>
      </c>
      <c r="L388" s="2">
        <f>IFERROR(XLOOKUP(A388,'Intake Responses'!$A:$A,'Intake Responses'!$T:$T),"")</f>
        <v/>
      </c>
      <c r="M388" s="2">
        <f>IFERROR(XLOOKUP(A388,'Intake Responses'!$A:$A,'Intake Responses'!$U:$U),"")</f>
        <v/>
      </c>
      <c r="N388" s="2">
        <f>IFERROR(XLOOKUP(A388,'Intake Responses'!$A:$A,'Intake Responses'!$V:$V),"")</f>
        <v/>
      </c>
      <c r="O388" s="2">
        <f>IFERROR(XLOOKUP(A388,'Intake Responses'!$A:$A,'Intake Responses'!$W:$W),"")</f>
        <v/>
      </c>
      <c r="P388" s="2">
        <f>IFERROR(XLOOKUP(A388,'Intake Responses'!$A:$A,'Intake Responses'!$X:$X),"")</f>
        <v/>
      </c>
      <c r="Q388" s="2">
        <f>IFERROR(XLOOKUP(A388,'Intake Responses'!$A:$A,'Intake Responses'!$AF:$AF),"")</f>
        <v/>
      </c>
      <c r="R388" s="2">
        <f>IFERROR(XLOOKUP(A388,'Intake Responses'!$A:$A,'Intake Responses'!$S:$S),"")</f>
        <v/>
      </c>
      <c r="S388" s="2" t="n"/>
      <c r="T388" s="2" t="n"/>
      <c r="U388" s="2" t="n"/>
      <c r="V388" s="2">
        <f>IFERROR(MIN(5,ROUND(((M388+O388)/2)+(IF(J388&gt;=20,2,IF(J388&gt;=10,1.5,IF(J388&gt;=5,1,IF(J388&gt;=1,0.5,0))))),1)),0)</f>
        <v/>
      </c>
      <c r="W388" s="2">
        <f>IFERROR(SWITCH(F388,"Multiple times per day",5,"Daily",4,"Weekly",3,"Monthly",2,"Quarterly",1,"Ad hoc",1,"Unknown",0),0)</f>
        <v/>
      </c>
      <c r="X388" s="2">
        <f>IFERROR(ROUND(AVERAGE(L388,N388),1),0)</f>
        <v/>
      </c>
      <c r="Y388" s="2">
        <f>IFERROR(SWITCH(U388,"High",3,"Medium",2,"Low",0,"Unknown",1,1)+IF(Q388="Yes",2,IF(Q388="Unsure",1,0)),0)</f>
        <v/>
      </c>
      <c r="Z388" s="2">
        <f>IFERROR(ROUND((V388*2)+(W388*1)+(X388*2)+(IF(T388="Easy",2,IF(T388="Medium",1,IF(T388="Hard",-1,0))))-(Y388*2),1),0)</f>
        <v/>
      </c>
      <c r="AA388" s="2">
        <f>IFERROR(IF(S388="Not a fit","Not a Fit",IF(Y388&gt;=5,"High Risk / Needs Review",IF(AND(Z388&gt;=18,T388="Easy"),"Quick Win",IF(AND(Z388&gt;=18,T388&lt;&gt;"Easy"),"Strategic Project",IF(Z388&gt;=10,"Discovery Needed","Process Issue"))))),"")</f>
        <v/>
      </c>
      <c r="AB388" s="2">
        <f>IFERROR(SWITCH(AA388,"Quick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8" s="2" t="n"/>
      <c r="AD388" s="2" t="n"/>
      <c r="AE388" s="2" t="n"/>
    </row>
    <row r="389" ht="25" customHeight="1">
      <c r="A389" s="3" t="n"/>
      <c r="B389" s="3">
        <f>IFERROR(XLOOKUP(A389,'Intake Responses'!$A:$A,'Intake Responses'!$E:$E),"")</f>
        <v/>
      </c>
      <c r="C389" s="3">
        <f>IFERROR(XLOOKUP(A389,'Intake Responses'!$A:$A,'Intake Responses'!$D:$D),"")</f>
        <v/>
      </c>
      <c r="D389" s="3">
        <f>IFERROR(XLOOKUP(A389,'Intake Responses'!$A:$A,'Intake Responses'!$F:$F),"")</f>
        <v/>
      </c>
      <c r="E389" s="3" t="n"/>
      <c r="F389" s="3">
        <f>IFERROR(XLOOKUP(A389,'Intake Responses'!$A:$A,'Intake Responses'!$M:$M),"")</f>
        <v/>
      </c>
      <c r="G389" s="3">
        <f>IFERROR(XLOOKUP(A389,'Intake Responses'!$A:$A,'Intake Responses'!$N:$N),"")</f>
        <v/>
      </c>
      <c r="H389" s="3">
        <f>IFERROR(XLOOKUP(A389,'Intake Responses'!$A:$A,'Intake Responses'!$O:$O),"")</f>
        <v/>
      </c>
      <c r="I389" s="3">
        <f>IFERROR(SWITCH(F389,"Multiple times per day",60,"Daily",20,"Weekly",4,"Monthly",1,"Quarterly",0.33,"Ad hoc",0.5,"Unknown",0),0)</f>
        <v/>
      </c>
      <c r="J389" s="3">
        <f>IFERROR((G389*H389*I389)/60,0)</f>
        <v/>
      </c>
      <c r="K389" s="3">
        <f>IFERROR(J389*12,0)</f>
        <v/>
      </c>
      <c r="L389" s="3">
        <f>IFERROR(XLOOKUP(A389,'Intake Responses'!$A:$A,'Intake Responses'!$T:$T),"")</f>
        <v/>
      </c>
      <c r="M389" s="3">
        <f>IFERROR(XLOOKUP(A389,'Intake Responses'!$A:$A,'Intake Responses'!$U:$U),"")</f>
        <v/>
      </c>
      <c r="N389" s="3">
        <f>IFERROR(XLOOKUP(A389,'Intake Responses'!$A:$A,'Intake Responses'!$V:$V),"")</f>
        <v/>
      </c>
      <c r="O389" s="3">
        <f>IFERROR(XLOOKUP(A389,'Intake Responses'!$A:$A,'Intake Responses'!$W:$W),"")</f>
        <v/>
      </c>
      <c r="P389" s="3">
        <f>IFERROR(XLOOKUP(A389,'Intake Responses'!$A:$A,'Intake Responses'!$X:$X),"")</f>
        <v/>
      </c>
      <c r="Q389" s="3">
        <f>IFERROR(XLOOKUP(A389,'Intake Responses'!$A:$A,'Intake Responses'!$AF:$AF),"")</f>
        <v/>
      </c>
      <c r="R389" s="3">
        <f>IFERROR(XLOOKUP(A389,'Intake Responses'!$A:$A,'Intake Responses'!$S:$S),"")</f>
        <v/>
      </c>
      <c r="S389" s="3" t="n"/>
      <c r="T389" s="3" t="n"/>
      <c r="U389" s="3" t="n"/>
      <c r="V389" s="3">
        <f>IFERROR(MIN(5,ROUND(((M389+O389)/2)+(IF(J389&gt;=20,2,IF(J389&gt;=10,1.5,IF(J389&gt;=5,1,IF(J389&gt;=1,0.5,0))))),1)),0)</f>
        <v/>
      </c>
      <c r="W389" s="3">
        <f>IFERROR(SWITCH(F389,"Multiple times per day",5,"Daily",4,"Weekly",3,"Monthly",2,"Quarterly",1,"Ad hoc",1,"Unknown",0),0)</f>
        <v/>
      </c>
      <c r="X389" s="3">
        <f>IFERROR(ROUND(AVERAGE(L389,N389),1),0)</f>
        <v/>
      </c>
      <c r="Y389" s="3">
        <f>IFERROR(SWITCH(U389,"High",3,"Medium",2,"Low",0,"Unknown",1,1)+IF(Q389="Yes",2,IF(Q389="Unsure",1,0)),0)</f>
        <v/>
      </c>
      <c r="Z389" s="3">
        <f>IFERROR(ROUND((V389*2)+(W389*1)+(X389*2)+(IF(T389="Easy",2,IF(T389="Medium",1,IF(T389="Hard",-1,0))))-(Y389*2),1),0)</f>
        <v/>
      </c>
      <c r="AA389" s="3">
        <f>IFERROR(IF(S389="Not a fit","Not a Fit",IF(Y389&gt;=5,"High Risk / Needs Review",IF(AND(Z389&gt;=18,T389="Easy"),"Quick Win",IF(AND(Z389&gt;=18,T389&lt;&gt;"Easy"),"Strategic Project",IF(Z389&gt;=10,"Discovery Needed","Process Issue"))))),"")</f>
        <v/>
      </c>
      <c r="AB389" s="3">
        <f>IFERROR(SWITCH(AA389,"Quick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89" s="3" t="n"/>
      <c r="AD389" s="3" t="n"/>
      <c r="AE389" s="3" t="n"/>
    </row>
    <row r="390" ht="25" customHeight="1">
      <c r="A390" s="2" t="n"/>
      <c r="B390" s="2">
        <f>IFERROR(XLOOKUP(A390,'Intake Responses'!$A:$A,'Intake Responses'!$E:$E),"")</f>
        <v/>
      </c>
      <c r="C390" s="2">
        <f>IFERROR(XLOOKUP(A390,'Intake Responses'!$A:$A,'Intake Responses'!$D:$D),"")</f>
        <v/>
      </c>
      <c r="D390" s="2">
        <f>IFERROR(XLOOKUP(A390,'Intake Responses'!$A:$A,'Intake Responses'!$F:$F),"")</f>
        <v/>
      </c>
      <c r="E390" s="2" t="n"/>
      <c r="F390" s="2">
        <f>IFERROR(XLOOKUP(A390,'Intake Responses'!$A:$A,'Intake Responses'!$M:$M),"")</f>
        <v/>
      </c>
      <c r="G390" s="2">
        <f>IFERROR(XLOOKUP(A390,'Intake Responses'!$A:$A,'Intake Responses'!$N:$N),"")</f>
        <v/>
      </c>
      <c r="H390" s="2">
        <f>IFERROR(XLOOKUP(A390,'Intake Responses'!$A:$A,'Intake Responses'!$O:$O),"")</f>
        <v/>
      </c>
      <c r="I390" s="2">
        <f>IFERROR(SWITCH(F390,"Multiple times per day",60,"Daily",20,"Weekly",4,"Monthly",1,"Quarterly",0.33,"Ad hoc",0.5,"Unknown",0),0)</f>
        <v/>
      </c>
      <c r="J390" s="2">
        <f>IFERROR((G390*H390*I390)/60,0)</f>
        <v/>
      </c>
      <c r="K390" s="2">
        <f>IFERROR(J390*12,0)</f>
        <v/>
      </c>
      <c r="L390" s="2">
        <f>IFERROR(XLOOKUP(A390,'Intake Responses'!$A:$A,'Intake Responses'!$T:$T),"")</f>
        <v/>
      </c>
      <c r="M390" s="2">
        <f>IFERROR(XLOOKUP(A390,'Intake Responses'!$A:$A,'Intake Responses'!$U:$U),"")</f>
        <v/>
      </c>
      <c r="N390" s="2">
        <f>IFERROR(XLOOKUP(A390,'Intake Responses'!$A:$A,'Intake Responses'!$V:$V),"")</f>
        <v/>
      </c>
      <c r="O390" s="2">
        <f>IFERROR(XLOOKUP(A390,'Intake Responses'!$A:$A,'Intake Responses'!$W:$W),"")</f>
        <v/>
      </c>
      <c r="P390" s="2">
        <f>IFERROR(XLOOKUP(A390,'Intake Responses'!$A:$A,'Intake Responses'!$X:$X),"")</f>
        <v/>
      </c>
      <c r="Q390" s="2">
        <f>IFERROR(XLOOKUP(A390,'Intake Responses'!$A:$A,'Intake Responses'!$AF:$AF),"")</f>
        <v/>
      </c>
      <c r="R390" s="2">
        <f>IFERROR(XLOOKUP(A390,'Intake Responses'!$A:$A,'Intake Responses'!$S:$S),"")</f>
        <v/>
      </c>
      <c r="S390" s="2" t="n"/>
      <c r="T390" s="2" t="n"/>
      <c r="U390" s="2" t="n"/>
      <c r="V390" s="2">
        <f>IFERROR(MIN(5,ROUND(((M390+O390)/2)+(IF(J390&gt;=20,2,IF(J390&gt;=10,1.5,IF(J390&gt;=5,1,IF(J390&gt;=1,0.5,0))))),1)),0)</f>
        <v/>
      </c>
      <c r="W390" s="2">
        <f>IFERROR(SWITCH(F390,"Multiple times per day",5,"Daily",4,"Weekly",3,"Monthly",2,"Quarterly",1,"Ad hoc",1,"Unknown",0),0)</f>
        <v/>
      </c>
      <c r="X390" s="2">
        <f>IFERROR(ROUND(AVERAGE(L390,N390),1),0)</f>
        <v/>
      </c>
      <c r="Y390" s="2">
        <f>IFERROR(SWITCH(U390,"High",3,"Medium",2,"Low",0,"Unknown",1,1)+IF(Q390="Yes",2,IF(Q390="Unsure",1,0)),0)</f>
        <v/>
      </c>
      <c r="Z390" s="2">
        <f>IFERROR(ROUND((V390*2)+(W390*1)+(X390*2)+(IF(T390="Easy",2,IF(T390="Medium",1,IF(T390="Hard",-1,0))))-(Y390*2),1),0)</f>
        <v/>
      </c>
      <c r="AA390" s="2">
        <f>IFERROR(IF(S390="Not a fit","Not a Fit",IF(Y390&gt;=5,"High Risk / Needs Review",IF(AND(Z390&gt;=18,T390="Easy"),"Quick Win",IF(AND(Z390&gt;=18,T390&lt;&gt;"Easy"),"Strategic Project",IF(Z390&gt;=10,"Discovery Needed","Process Issue"))))),"")</f>
        <v/>
      </c>
      <c r="AB390" s="2">
        <f>IFERROR(SWITCH(AA390,"Quick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0" s="2" t="n"/>
      <c r="AD390" s="2" t="n"/>
      <c r="AE390" s="2" t="n"/>
    </row>
    <row r="391" ht="25" customHeight="1">
      <c r="A391" s="3" t="n"/>
      <c r="B391" s="3">
        <f>IFERROR(XLOOKUP(A391,'Intake Responses'!$A:$A,'Intake Responses'!$E:$E),"")</f>
        <v/>
      </c>
      <c r="C391" s="3">
        <f>IFERROR(XLOOKUP(A391,'Intake Responses'!$A:$A,'Intake Responses'!$D:$D),"")</f>
        <v/>
      </c>
      <c r="D391" s="3">
        <f>IFERROR(XLOOKUP(A391,'Intake Responses'!$A:$A,'Intake Responses'!$F:$F),"")</f>
        <v/>
      </c>
      <c r="E391" s="3" t="n"/>
      <c r="F391" s="3">
        <f>IFERROR(XLOOKUP(A391,'Intake Responses'!$A:$A,'Intake Responses'!$M:$M),"")</f>
        <v/>
      </c>
      <c r="G391" s="3">
        <f>IFERROR(XLOOKUP(A391,'Intake Responses'!$A:$A,'Intake Responses'!$N:$N),"")</f>
        <v/>
      </c>
      <c r="H391" s="3">
        <f>IFERROR(XLOOKUP(A391,'Intake Responses'!$A:$A,'Intake Responses'!$O:$O),"")</f>
        <v/>
      </c>
      <c r="I391" s="3">
        <f>IFERROR(SWITCH(F391,"Multiple times per day",60,"Daily",20,"Weekly",4,"Monthly",1,"Quarterly",0.33,"Ad hoc",0.5,"Unknown",0),0)</f>
        <v/>
      </c>
      <c r="J391" s="3">
        <f>IFERROR((G391*H391*I391)/60,0)</f>
        <v/>
      </c>
      <c r="K391" s="3">
        <f>IFERROR(J391*12,0)</f>
        <v/>
      </c>
      <c r="L391" s="3">
        <f>IFERROR(XLOOKUP(A391,'Intake Responses'!$A:$A,'Intake Responses'!$T:$T),"")</f>
        <v/>
      </c>
      <c r="M391" s="3">
        <f>IFERROR(XLOOKUP(A391,'Intake Responses'!$A:$A,'Intake Responses'!$U:$U),"")</f>
        <v/>
      </c>
      <c r="N391" s="3">
        <f>IFERROR(XLOOKUP(A391,'Intake Responses'!$A:$A,'Intake Responses'!$V:$V),"")</f>
        <v/>
      </c>
      <c r="O391" s="3">
        <f>IFERROR(XLOOKUP(A391,'Intake Responses'!$A:$A,'Intake Responses'!$W:$W),"")</f>
        <v/>
      </c>
      <c r="P391" s="3">
        <f>IFERROR(XLOOKUP(A391,'Intake Responses'!$A:$A,'Intake Responses'!$X:$X),"")</f>
        <v/>
      </c>
      <c r="Q391" s="3">
        <f>IFERROR(XLOOKUP(A391,'Intake Responses'!$A:$A,'Intake Responses'!$AF:$AF),"")</f>
        <v/>
      </c>
      <c r="R391" s="3">
        <f>IFERROR(XLOOKUP(A391,'Intake Responses'!$A:$A,'Intake Responses'!$S:$S),"")</f>
        <v/>
      </c>
      <c r="S391" s="3" t="n"/>
      <c r="T391" s="3" t="n"/>
      <c r="U391" s="3" t="n"/>
      <c r="V391" s="3">
        <f>IFERROR(MIN(5,ROUND(((M391+O391)/2)+(IF(J391&gt;=20,2,IF(J391&gt;=10,1.5,IF(J391&gt;=5,1,IF(J391&gt;=1,0.5,0))))),1)),0)</f>
        <v/>
      </c>
      <c r="W391" s="3">
        <f>IFERROR(SWITCH(F391,"Multiple times per day",5,"Daily",4,"Weekly",3,"Monthly",2,"Quarterly",1,"Ad hoc",1,"Unknown",0),0)</f>
        <v/>
      </c>
      <c r="X391" s="3">
        <f>IFERROR(ROUND(AVERAGE(L391,N391),1),0)</f>
        <v/>
      </c>
      <c r="Y391" s="3">
        <f>IFERROR(SWITCH(U391,"High",3,"Medium",2,"Low",0,"Unknown",1,1)+IF(Q391="Yes",2,IF(Q391="Unsure",1,0)),0)</f>
        <v/>
      </c>
      <c r="Z391" s="3">
        <f>IFERROR(ROUND((V391*2)+(W391*1)+(X391*2)+(IF(T391="Easy",2,IF(T391="Medium",1,IF(T391="Hard",-1,0))))-(Y391*2),1),0)</f>
        <v/>
      </c>
      <c r="AA391" s="3">
        <f>IFERROR(IF(S391="Not a fit","Not a Fit",IF(Y391&gt;=5,"High Risk / Needs Review",IF(AND(Z391&gt;=18,T391="Easy"),"Quick Win",IF(AND(Z391&gt;=18,T391&lt;&gt;"Easy"),"Strategic Project",IF(Z391&gt;=10,"Discovery Needed","Process Issue"))))),"")</f>
        <v/>
      </c>
      <c r="AB391" s="3">
        <f>IFERROR(SWITCH(AA391,"Quick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1" s="3" t="n"/>
      <c r="AD391" s="3" t="n"/>
      <c r="AE391" s="3" t="n"/>
    </row>
    <row r="392" ht="25" customHeight="1">
      <c r="A392" s="2" t="n"/>
      <c r="B392" s="2">
        <f>IFERROR(XLOOKUP(A392,'Intake Responses'!$A:$A,'Intake Responses'!$E:$E),"")</f>
        <v/>
      </c>
      <c r="C392" s="2">
        <f>IFERROR(XLOOKUP(A392,'Intake Responses'!$A:$A,'Intake Responses'!$D:$D),"")</f>
        <v/>
      </c>
      <c r="D392" s="2">
        <f>IFERROR(XLOOKUP(A392,'Intake Responses'!$A:$A,'Intake Responses'!$F:$F),"")</f>
        <v/>
      </c>
      <c r="E392" s="2" t="n"/>
      <c r="F392" s="2">
        <f>IFERROR(XLOOKUP(A392,'Intake Responses'!$A:$A,'Intake Responses'!$M:$M),"")</f>
        <v/>
      </c>
      <c r="G392" s="2">
        <f>IFERROR(XLOOKUP(A392,'Intake Responses'!$A:$A,'Intake Responses'!$N:$N),"")</f>
        <v/>
      </c>
      <c r="H392" s="2">
        <f>IFERROR(XLOOKUP(A392,'Intake Responses'!$A:$A,'Intake Responses'!$O:$O),"")</f>
        <v/>
      </c>
      <c r="I392" s="2">
        <f>IFERROR(SWITCH(F392,"Multiple times per day",60,"Daily",20,"Weekly",4,"Monthly",1,"Quarterly",0.33,"Ad hoc",0.5,"Unknown",0),0)</f>
        <v/>
      </c>
      <c r="J392" s="2">
        <f>IFERROR((G392*H392*I392)/60,0)</f>
        <v/>
      </c>
      <c r="K392" s="2">
        <f>IFERROR(J392*12,0)</f>
        <v/>
      </c>
      <c r="L392" s="2">
        <f>IFERROR(XLOOKUP(A392,'Intake Responses'!$A:$A,'Intake Responses'!$T:$T),"")</f>
        <v/>
      </c>
      <c r="M392" s="2">
        <f>IFERROR(XLOOKUP(A392,'Intake Responses'!$A:$A,'Intake Responses'!$U:$U),"")</f>
        <v/>
      </c>
      <c r="N392" s="2">
        <f>IFERROR(XLOOKUP(A392,'Intake Responses'!$A:$A,'Intake Responses'!$V:$V),"")</f>
        <v/>
      </c>
      <c r="O392" s="2">
        <f>IFERROR(XLOOKUP(A392,'Intake Responses'!$A:$A,'Intake Responses'!$W:$W),"")</f>
        <v/>
      </c>
      <c r="P392" s="2">
        <f>IFERROR(XLOOKUP(A392,'Intake Responses'!$A:$A,'Intake Responses'!$X:$X),"")</f>
        <v/>
      </c>
      <c r="Q392" s="2">
        <f>IFERROR(XLOOKUP(A392,'Intake Responses'!$A:$A,'Intake Responses'!$AF:$AF),"")</f>
        <v/>
      </c>
      <c r="R392" s="2">
        <f>IFERROR(XLOOKUP(A392,'Intake Responses'!$A:$A,'Intake Responses'!$S:$S),"")</f>
        <v/>
      </c>
      <c r="S392" s="2" t="n"/>
      <c r="T392" s="2" t="n"/>
      <c r="U392" s="2" t="n"/>
      <c r="V392" s="2">
        <f>IFERROR(MIN(5,ROUND(((M392+O392)/2)+(IF(J392&gt;=20,2,IF(J392&gt;=10,1.5,IF(J392&gt;=5,1,IF(J392&gt;=1,0.5,0))))),1)),0)</f>
        <v/>
      </c>
      <c r="W392" s="2">
        <f>IFERROR(SWITCH(F392,"Multiple times per day",5,"Daily",4,"Weekly",3,"Monthly",2,"Quarterly",1,"Ad hoc",1,"Unknown",0),0)</f>
        <v/>
      </c>
      <c r="X392" s="2">
        <f>IFERROR(ROUND(AVERAGE(L392,N392),1),0)</f>
        <v/>
      </c>
      <c r="Y392" s="2">
        <f>IFERROR(SWITCH(U392,"High",3,"Medium",2,"Low",0,"Unknown",1,1)+IF(Q392="Yes",2,IF(Q392="Unsure",1,0)),0)</f>
        <v/>
      </c>
      <c r="Z392" s="2">
        <f>IFERROR(ROUND((V392*2)+(W392*1)+(X392*2)+(IF(T392="Easy",2,IF(T392="Medium",1,IF(T392="Hard",-1,0))))-(Y392*2),1),0)</f>
        <v/>
      </c>
      <c r="AA392" s="2">
        <f>IFERROR(IF(S392="Not a fit","Not a Fit",IF(Y392&gt;=5,"High Risk / Needs Review",IF(AND(Z392&gt;=18,T392="Easy"),"Quick Win",IF(AND(Z392&gt;=18,T392&lt;&gt;"Easy"),"Strategic Project",IF(Z392&gt;=10,"Discovery Needed","Process Issue"))))),"")</f>
        <v/>
      </c>
      <c r="AB392" s="2">
        <f>IFERROR(SWITCH(AA392,"Quick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2" s="2" t="n"/>
      <c r="AD392" s="2" t="n"/>
      <c r="AE392" s="2" t="n"/>
    </row>
    <row r="393" ht="25" customHeight="1">
      <c r="A393" s="3" t="n"/>
      <c r="B393" s="3">
        <f>IFERROR(XLOOKUP(A393,'Intake Responses'!$A:$A,'Intake Responses'!$E:$E),"")</f>
        <v/>
      </c>
      <c r="C393" s="3">
        <f>IFERROR(XLOOKUP(A393,'Intake Responses'!$A:$A,'Intake Responses'!$D:$D),"")</f>
        <v/>
      </c>
      <c r="D393" s="3">
        <f>IFERROR(XLOOKUP(A393,'Intake Responses'!$A:$A,'Intake Responses'!$F:$F),"")</f>
        <v/>
      </c>
      <c r="E393" s="3" t="n"/>
      <c r="F393" s="3">
        <f>IFERROR(XLOOKUP(A393,'Intake Responses'!$A:$A,'Intake Responses'!$M:$M),"")</f>
        <v/>
      </c>
      <c r="G393" s="3">
        <f>IFERROR(XLOOKUP(A393,'Intake Responses'!$A:$A,'Intake Responses'!$N:$N),"")</f>
        <v/>
      </c>
      <c r="H393" s="3">
        <f>IFERROR(XLOOKUP(A393,'Intake Responses'!$A:$A,'Intake Responses'!$O:$O),"")</f>
        <v/>
      </c>
      <c r="I393" s="3">
        <f>IFERROR(SWITCH(F393,"Multiple times per day",60,"Daily",20,"Weekly",4,"Monthly",1,"Quarterly",0.33,"Ad hoc",0.5,"Unknown",0),0)</f>
        <v/>
      </c>
      <c r="J393" s="3">
        <f>IFERROR((G393*H393*I393)/60,0)</f>
        <v/>
      </c>
      <c r="K393" s="3">
        <f>IFERROR(J393*12,0)</f>
        <v/>
      </c>
      <c r="L393" s="3">
        <f>IFERROR(XLOOKUP(A393,'Intake Responses'!$A:$A,'Intake Responses'!$T:$T),"")</f>
        <v/>
      </c>
      <c r="M393" s="3">
        <f>IFERROR(XLOOKUP(A393,'Intake Responses'!$A:$A,'Intake Responses'!$U:$U),"")</f>
        <v/>
      </c>
      <c r="N393" s="3">
        <f>IFERROR(XLOOKUP(A393,'Intake Responses'!$A:$A,'Intake Responses'!$V:$V),"")</f>
        <v/>
      </c>
      <c r="O393" s="3">
        <f>IFERROR(XLOOKUP(A393,'Intake Responses'!$A:$A,'Intake Responses'!$W:$W),"")</f>
        <v/>
      </c>
      <c r="P393" s="3">
        <f>IFERROR(XLOOKUP(A393,'Intake Responses'!$A:$A,'Intake Responses'!$X:$X),"")</f>
        <v/>
      </c>
      <c r="Q393" s="3">
        <f>IFERROR(XLOOKUP(A393,'Intake Responses'!$A:$A,'Intake Responses'!$AF:$AF),"")</f>
        <v/>
      </c>
      <c r="R393" s="3">
        <f>IFERROR(XLOOKUP(A393,'Intake Responses'!$A:$A,'Intake Responses'!$S:$S),"")</f>
        <v/>
      </c>
      <c r="S393" s="3" t="n"/>
      <c r="T393" s="3" t="n"/>
      <c r="U393" s="3" t="n"/>
      <c r="V393" s="3">
        <f>IFERROR(MIN(5,ROUND(((M393+O393)/2)+(IF(J393&gt;=20,2,IF(J393&gt;=10,1.5,IF(J393&gt;=5,1,IF(J393&gt;=1,0.5,0))))),1)),0)</f>
        <v/>
      </c>
      <c r="W393" s="3">
        <f>IFERROR(SWITCH(F393,"Multiple times per day",5,"Daily",4,"Weekly",3,"Monthly",2,"Quarterly",1,"Ad hoc",1,"Unknown",0),0)</f>
        <v/>
      </c>
      <c r="X393" s="3">
        <f>IFERROR(ROUND(AVERAGE(L393,N393),1),0)</f>
        <v/>
      </c>
      <c r="Y393" s="3">
        <f>IFERROR(SWITCH(U393,"High",3,"Medium",2,"Low",0,"Unknown",1,1)+IF(Q393="Yes",2,IF(Q393="Unsure",1,0)),0)</f>
        <v/>
      </c>
      <c r="Z393" s="3">
        <f>IFERROR(ROUND((V393*2)+(W393*1)+(X393*2)+(IF(T393="Easy",2,IF(T393="Medium",1,IF(T393="Hard",-1,0))))-(Y393*2),1),0)</f>
        <v/>
      </c>
      <c r="AA393" s="3">
        <f>IFERROR(IF(S393="Not a fit","Not a Fit",IF(Y393&gt;=5,"High Risk / Needs Review",IF(AND(Z393&gt;=18,T393="Easy"),"Quick Win",IF(AND(Z393&gt;=18,T393&lt;&gt;"Easy"),"Strategic Project",IF(Z393&gt;=10,"Discovery Needed","Process Issue"))))),"")</f>
        <v/>
      </c>
      <c r="AB393" s="3">
        <f>IFERROR(SWITCH(AA393,"Quick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3" s="3" t="n"/>
      <c r="AD393" s="3" t="n"/>
      <c r="AE393" s="3" t="n"/>
    </row>
    <row r="394" ht="25" customHeight="1">
      <c r="A394" s="2" t="n"/>
      <c r="B394" s="2">
        <f>IFERROR(XLOOKUP(A394,'Intake Responses'!$A:$A,'Intake Responses'!$E:$E),"")</f>
        <v/>
      </c>
      <c r="C394" s="2">
        <f>IFERROR(XLOOKUP(A394,'Intake Responses'!$A:$A,'Intake Responses'!$D:$D),"")</f>
        <v/>
      </c>
      <c r="D394" s="2">
        <f>IFERROR(XLOOKUP(A394,'Intake Responses'!$A:$A,'Intake Responses'!$F:$F),"")</f>
        <v/>
      </c>
      <c r="E394" s="2" t="n"/>
      <c r="F394" s="2">
        <f>IFERROR(XLOOKUP(A394,'Intake Responses'!$A:$A,'Intake Responses'!$M:$M),"")</f>
        <v/>
      </c>
      <c r="G394" s="2">
        <f>IFERROR(XLOOKUP(A394,'Intake Responses'!$A:$A,'Intake Responses'!$N:$N),"")</f>
        <v/>
      </c>
      <c r="H394" s="2">
        <f>IFERROR(XLOOKUP(A394,'Intake Responses'!$A:$A,'Intake Responses'!$O:$O),"")</f>
        <v/>
      </c>
      <c r="I394" s="2">
        <f>IFERROR(SWITCH(F394,"Multiple times per day",60,"Daily",20,"Weekly",4,"Monthly",1,"Quarterly",0.33,"Ad hoc",0.5,"Unknown",0),0)</f>
        <v/>
      </c>
      <c r="J394" s="2">
        <f>IFERROR((G394*H394*I394)/60,0)</f>
        <v/>
      </c>
      <c r="K394" s="2">
        <f>IFERROR(J394*12,0)</f>
        <v/>
      </c>
      <c r="L394" s="2">
        <f>IFERROR(XLOOKUP(A394,'Intake Responses'!$A:$A,'Intake Responses'!$T:$T),"")</f>
        <v/>
      </c>
      <c r="M394" s="2">
        <f>IFERROR(XLOOKUP(A394,'Intake Responses'!$A:$A,'Intake Responses'!$U:$U),"")</f>
        <v/>
      </c>
      <c r="N394" s="2">
        <f>IFERROR(XLOOKUP(A394,'Intake Responses'!$A:$A,'Intake Responses'!$V:$V),"")</f>
        <v/>
      </c>
      <c r="O394" s="2">
        <f>IFERROR(XLOOKUP(A394,'Intake Responses'!$A:$A,'Intake Responses'!$W:$W),"")</f>
        <v/>
      </c>
      <c r="P394" s="2">
        <f>IFERROR(XLOOKUP(A394,'Intake Responses'!$A:$A,'Intake Responses'!$X:$X),"")</f>
        <v/>
      </c>
      <c r="Q394" s="2">
        <f>IFERROR(XLOOKUP(A394,'Intake Responses'!$A:$A,'Intake Responses'!$AF:$AF),"")</f>
        <v/>
      </c>
      <c r="R394" s="2">
        <f>IFERROR(XLOOKUP(A394,'Intake Responses'!$A:$A,'Intake Responses'!$S:$S),"")</f>
        <v/>
      </c>
      <c r="S394" s="2" t="n"/>
      <c r="T394" s="2" t="n"/>
      <c r="U394" s="2" t="n"/>
      <c r="V394" s="2">
        <f>IFERROR(MIN(5,ROUND(((M394+O394)/2)+(IF(J394&gt;=20,2,IF(J394&gt;=10,1.5,IF(J394&gt;=5,1,IF(J394&gt;=1,0.5,0))))),1)),0)</f>
        <v/>
      </c>
      <c r="W394" s="2">
        <f>IFERROR(SWITCH(F394,"Multiple times per day",5,"Daily",4,"Weekly",3,"Monthly",2,"Quarterly",1,"Ad hoc",1,"Unknown",0),0)</f>
        <v/>
      </c>
      <c r="X394" s="2">
        <f>IFERROR(ROUND(AVERAGE(L394,N394),1),0)</f>
        <v/>
      </c>
      <c r="Y394" s="2">
        <f>IFERROR(SWITCH(U394,"High",3,"Medium",2,"Low",0,"Unknown",1,1)+IF(Q394="Yes",2,IF(Q394="Unsure",1,0)),0)</f>
        <v/>
      </c>
      <c r="Z394" s="2">
        <f>IFERROR(ROUND((V394*2)+(W394*1)+(X394*2)+(IF(T394="Easy",2,IF(T394="Medium",1,IF(T394="Hard",-1,0))))-(Y394*2),1),0)</f>
        <v/>
      </c>
      <c r="AA394" s="2">
        <f>IFERROR(IF(S394="Not a fit","Not a Fit",IF(Y394&gt;=5,"High Risk / Needs Review",IF(AND(Z394&gt;=18,T394="Easy"),"Quick Win",IF(AND(Z394&gt;=18,T394&lt;&gt;"Easy"),"Strategic Project",IF(Z394&gt;=10,"Discovery Needed","Process Issue"))))),"")</f>
        <v/>
      </c>
      <c r="AB394" s="2">
        <f>IFERROR(SWITCH(AA394,"Quick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4" s="2" t="n"/>
      <c r="AD394" s="2" t="n"/>
      <c r="AE394" s="2" t="n"/>
    </row>
    <row r="395" ht="25" customHeight="1">
      <c r="A395" s="3" t="n"/>
      <c r="B395" s="3">
        <f>IFERROR(XLOOKUP(A395,'Intake Responses'!$A:$A,'Intake Responses'!$E:$E),"")</f>
        <v/>
      </c>
      <c r="C395" s="3">
        <f>IFERROR(XLOOKUP(A395,'Intake Responses'!$A:$A,'Intake Responses'!$D:$D),"")</f>
        <v/>
      </c>
      <c r="D395" s="3">
        <f>IFERROR(XLOOKUP(A395,'Intake Responses'!$A:$A,'Intake Responses'!$F:$F),"")</f>
        <v/>
      </c>
      <c r="E395" s="3" t="n"/>
      <c r="F395" s="3">
        <f>IFERROR(XLOOKUP(A395,'Intake Responses'!$A:$A,'Intake Responses'!$M:$M),"")</f>
        <v/>
      </c>
      <c r="G395" s="3">
        <f>IFERROR(XLOOKUP(A395,'Intake Responses'!$A:$A,'Intake Responses'!$N:$N),"")</f>
        <v/>
      </c>
      <c r="H395" s="3">
        <f>IFERROR(XLOOKUP(A395,'Intake Responses'!$A:$A,'Intake Responses'!$O:$O),"")</f>
        <v/>
      </c>
      <c r="I395" s="3">
        <f>IFERROR(SWITCH(F395,"Multiple times per day",60,"Daily",20,"Weekly",4,"Monthly",1,"Quarterly",0.33,"Ad hoc",0.5,"Unknown",0),0)</f>
        <v/>
      </c>
      <c r="J395" s="3">
        <f>IFERROR((G395*H395*I395)/60,0)</f>
        <v/>
      </c>
      <c r="K395" s="3">
        <f>IFERROR(J395*12,0)</f>
        <v/>
      </c>
      <c r="L395" s="3">
        <f>IFERROR(XLOOKUP(A395,'Intake Responses'!$A:$A,'Intake Responses'!$T:$T),"")</f>
        <v/>
      </c>
      <c r="M395" s="3">
        <f>IFERROR(XLOOKUP(A395,'Intake Responses'!$A:$A,'Intake Responses'!$U:$U),"")</f>
        <v/>
      </c>
      <c r="N395" s="3">
        <f>IFERROR(XLOOKUP(A395,'Intake Responses'!$A:$A,'Intake Responses'!$V:$V),"")</f>
        <v/>
      </c>
      <c r="O395" s="3">
        <f>IFERROR(XLOOKUP(A395,'Intake Responses'!$A:$A,'Intake Responses'!$W:$W),"")</f>
        <v/>
      </c>
      <c r="P395" s="3">
        <f>IFERROR(XLOOKUP(A395,'Intake Responses'!$A:$A,'Intake Responses'!$X:$X),"")</f>
        <v/>
      </c>
      <c r="Q395" s="3">
        <f>IFERROR(XLOOKUP(A395,'Intake Responses'!$A:$A,'Intake Responses'!$AF:$AF),"")</f>
        <v/>
      </c>
      <c r="R395" s="3">
        <f>IFERROR(XLOOKUP(A395,'Intake Responses'!$A:$A,'Intake Responses'!$S:$S),"")</f>
        <v/>
      </c>
      <c r="S395" s="3" t="n"/>
      <c r="T395" s="3" t="n"/>
      <c r="U395" s="3" t="n"/>
      <c r="V395" s="3">
        <f>IFERROR(MIN(5,ROUND(((M395+O395)/2)+(IF(J395&gt;=20,2,IF(J395&gt;=10,1.5,IF(J395&gt;=5,1,IF(J395&gt;=1,0.5,0))))),1)),0)</f>
        <v/>
      </c>
      <c r="W395" s="3">
        <f>IFERROR(SWITCH(F395,"Multiple times per day",5,"Daily",4,"Weekly",3,"Monthly",2,"Quarterly",1,"Ad hoc",1,"Unknown",0),0)</f>
        <v/>
      </c>
      <c r="X395" s="3">
        <f>IFERROR(ROUND(AVERAGE(L395,N395),1),0)</f>
        <v/>
      </c>
      <c r="Y395" s="3">
        <f>IFERROR(SWITCH(U395,"High",3,"Medium",2,"Low",0,"Unknown",1,1)+IF(Q395="Yes",2,IF(Q395="Unsure",1,0)),0)</f>
        <v/>
      </c>
      <c r="Z395" s="3">
        <f>IFERROR(ROUND((V395*2)+(W395*1)+(X395*2)+(IF(T395="Easy",2,IF(T395="Medium",1,IF(T395="Hard",-1,0))))-(Y395*2),1),0)</f>
        <v/>
      </c>
      <c r="AA395" s="3">
        <f>IFERROR(IF(S395="Not a fit","Not a Fit",IF(Y395&gt;=5,"High Risk / Needs Review",IF(AND(Z395&gt;=18,T395="Easy"),"Quick Win",IF(AND(Z395&gt;=18,T395&lt;&gt;"Easy"),"Strategic Project",IF(Z395&gt;=10,"Discovery Needed","Process Issue"))))),"")</f>
        <v/>
      </c>
      <c r="AB395" s="3">
        <f>IFERROR(SWITCH(AA395,"Quick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5" s="3" t="n"/>
      <c r="AD395" s="3" t="n"/>
      <c r="AE395" s="3" t="n"/>
    </row>
    <row r="396" ht="25" customHeight="1">
      <c r="A396" s="2" t="n"/>
      <c r="B396" s="2">
        <f>IFERROR(XLOOKUP(A396,'Intake Responses'!$A:$A,'Intake Responses'!$E:$E),"")</f>
        <v/>
      </c>
      <c r="C396" s="2">
        <f>IFERROR(XLOOKUP(A396,'Intake Responses'!$A:$A,'Intake Responses'!$D:$D),"")</f>
        <v/>
      </c>
      <c r="D396" s="2">
        <f>IFERROR(XLOOKUP(A396,'Intake Responses'!$A:$A,'Intake Responses'!$F:$F),"")</f>
        <v/>
      </c>
      <c r="E396" s="2" t="n"/>
      <c r="F396" s="2">
        <f>IFERROR(XLOOKUP(A396,'Intake Responses'!$A:$A,'Intake Responses'!$M:$M),"")</f>
        <v/>
      </c>
      <c r="G396" s="2">
        <f>IFERROR(XLOOKUP(A396,'Intake Responses'!$A:$A,'Intake Responses'!$N:$N),"")</f>
        <v/>
      </c>
      <c r="H396" s="2">
        <f>IFERROR(XLOOKUP(A396,'Intake Responses'!$A:$A,'Intake Responses'!$O:$O),"")</f>
        <v/>
      </c>
      <c r="I396" s="2">
        <f>IFERROR(SWITCH(F396,"Multiple times per day",60,"Daily",20,"Weekly",4,"Monthly",1,"Quarterly",0.33,"Ad hoc",0.5,"Unknown",0),0)</f>
        <v/>
      </c>
      <c r="J396" s="2">
        <f>IFERROR((G396*H396*I396)/60,0)</f>
        <v/>
      </c>
      <c r="K396" s="2">
        <f>IFERROR(J396*12,0)</f>
        <v/>
      </c>
      <c r="L396" s="2">
        <f>IFERROR(XLOOKUP(A396,'Intake Responses'!$A:$A,'Intake Responses'!$T:$T),"")</f>
        <v/>
      </c>
      <c r="M396" s="2">
        <f>IFERROR(XLOOKUP(A396,'Intake Responses'!$A:$A,'Intake Responses'!$U:$U),"")</f>
        <v/>
      </c>
      <c r="N396" s="2">
        <f>IFERROR(XLOOKUP(A396,'Intake Responses'!$A:$A,'Intake Responses'!$V:$V),"")</f>
        <v/>
      </c>
      <c r="O396" s="2">
        <f>IFERROR(XLOOKUP(A396,'Intake Responses'!$A:$A,'Intake Responses'!$W:$W),"")</f>
        <v/>
      </c>
      <c r="P396" s="2">
        <f>IFERROR(XLOOKUP(A396,'Intake Responses'!$A:$A,'Intake Responses'!$X:$X),"")</f>
        <v/>
      </c>
      <c r="Q396" s="2">
        <f>IFERROR(XLOOKUP(A396,'Intake Responses'!$A:$A,'Intake Responses'!$AF:$AF),"")</f>
        <v/>
      </c>
      <c r="R396" s="2">
        <f>IFERROR(XLOOKUP(A396,'Intake Responses'!$A:$A,'Intake Responses'!$S:$S),"")</f>
        <v/>
      </c>
      <c r="S396" s="2" t="n"/>
      <c r="T396" s="2" t="n"/>
      <c r="U396" s="2" t="n"/>
      <c r="V396" s="2">
        <f>IFERROR(MIN(5,ROUND(((M396+O396)/2)+(IF(J396&gt;=20,2,IF(J396&gt;=10,1.5,IF(J396&gt;=5,1,IF(J396&gt;=1,0.5,0))))),1)),0)</f>
        <v/>
      </c>
      <c r="W396" s="2">
        <f>IFERROR(SWITCH(F396,"Multiple times per day",5,"Daily",4,"Weekly",3,"Monthly",2,"Quarterly",1,"Ad hoc",1,"Unknown",0),0)</f>
        <v/>
      </c>
      <c r="X396" s="2">
        <f>IFERROR(ROUND(AVERAGE(L396,N396),1),0)</f>
        <v/>
      </c>
      <c r="Y396" s="2">
        <f>IFERROR(SWITCH(U396,"High",3,"Medium",2,"Low",0,"Unknown",1,1)+IF(Q396="Yes",2,IF(Q396="Unsure",1,0)),0)</f>
        <v/>
      </c>
      <c r="Z396" s="2">
        <f>IFERROR(ROUND((V396*2)+(W396*1)+(X396*2)+(IF(T396="Easy",2,IF(T396="Medium",1,IF(T396="Hard",-1,0))))-(Y396*2),1),0)</f>
        <v/>
      </c>
      <c r="AA396" s="2">
        <f>IFERROR(IF(S396="Not a fit","Not a Fit",IF(Y396&gt;=5,"High Risk / Needs Review",IF(AND(Z396&gt;=18,T396="Easy"),"Quick Win",IF(AND(Z396&gt;=18,T396&lt;&gt;"Easy"),"Strategic Project",IF(Z396&gt;=10,"Discovery Needed","Process Issue"))))),"")</f>
        <v/>
      </c>
      <c r="AB396" s="2">
        <f>IFERROR(SWITCH(AA396,"Quick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6" s="2" t="n"/>
      <c r="AD396" s="2" t="n"/>
      <c r="AE396" s="2" t="n"/>
    </row>
    <row r="397" ht="25" customHeight="1">
      <c r="A397" s="3" t="n"/>
      <c r="B397" s="3">
        <f>IFERROR(XLOOKUP(A397,'Intake Responses'!$A:$A,'Intake Responses'!$E:$E),"")</f>
        <v/>
      </c>
      <c r="C397" s="3">
        <f>IFERROR(XLOOKUP(A397,'Intake Responses'!$A:$A,'Intake Responses'!$D:$D),"")</f>
        <v/>
      </c>
      <c r="D397" s="3">
        <f>IFERROR(XLOOKUP(A397,'Intake Responses'!$A:$A,'Intake Responses'!$F:$F),"")</f>
        <v/>
      </c>
      <c r="E397" s="3" t="n"/>
      <c r="F397" s="3">
        <f>IFERROR(XLOOKUP(A397,'Intake Responses'!$A:$A,'Intake Responses'!$M:$M),"")</f>
        <v/>
      </c>
      <c r="G397" s="3">
        <f>IFERROR(XLOOKUP(A397,'Intake Responses'!$A:$A,'Intake Responses'!$N:$N),"")</f>
        <v/>
      </c>
      <c r="H397" s="3">
        <f>IFERROR(XLOOKUP(A397,'Intake Responses'!$A:$A,'Intake Responses'!$O:$O),"")</f>
        <v/>
      </c>
      <c r="I397" s="3">
        <f>IFERROR(SWITCH(F397,"Multiple times per day",60,"Daily",20,"Weekly",4,"Monthly",1,"Quarterly",0.33,"Ad hoc",0.5,"Unknown",0),0)</f>
        <v/>
      </c>
      <c r="J397" s="3">
        <f>IFERROR((G397*H397*I397)/60,0)</f>
        <v/>
      </c>
      <c r="K397" s="3">
        <f>IFERROR(J397*12,0)</f>
        <v/>
      </c>
      <c r="L397" s="3">
        <f>IFERROR(XLOOKUP(A397,'Intake Responses'!$A:$A,'Intake Responses'!$T:$T),"")</f>
        <v/>
      </c>
      <c r="M397" s="3">
        <f>IFERROR(XLOOKUP(A397,'Intake Responses'!$A:$A,'Intake Responses'!$U:$U),"")</f>
        <v/>
      </c>
      <c r="N397" s="3">
        <f>IFERROR(XLOOKUP(A397,'Intake Responses'!$A:$A,'Intake Responses'!$V:$V),"")</f>
        <v/>
      </c>
      <c r="O397" s="3">
        <f>IFERROR(XLOOKUP(A397,'Intake Responses'!$A:$A,'Intake Responses'!$W:$W),"")</f>
        <v/>
      </c>
      <c r="P397" s="3">
        <f>IFERROR(XLOOKUP(A397,'Intake Responses'!$A:$A,'Intake Responses'!$X:$X),"")</f>
        <v/>
      </c>
      <c r="Q397" s="3">
        <f>IFERROR(XLOOKUP(A397,'Intake Responses'!$A:$A,'Intake Responses'!$AF:$AF),"")</f>
        <v/>
      </c>
      <c r="R397" s="3">
        <f>IFERROR(XLOOKUP(A397,'Intake Responses'!$A:$A,'Intake Responses'!$S:$S),"")</f>
        <v/>
      </c>
      <c r="S397" s="3" t="n"/>
      <c r="T397" s="3" t="n"/>
      <c r="U397" s="3" t="n"/>
      <c r="V397" s="3">
        <f>IFERROR(MIN(5,ROUND(((M397+O397)/2)+(IF(J397&gt;=20,2,IF(J397&gt;=10,1.5,IF(J397&gt;=5,1,IF(J397&gt;=1,0.5,0))))),1)),0)</f>
        <v/>
      </c>
      <c r="W397" s="3">
        <f>IFERROR(SWITCH(F397,"Multiple times per day",5,"Daily",4,"Weekly",3,"Monthly",2,"Quarterly",1,"Ad hoc",1,"Unknown",0),0)</f>
        <v/>
      </c>
      <c r="X397" s="3">
        <f>IFERROR(ROUND(AVERAGE(L397,N397),1),0)</f>
        <v/>
      </c>
      <c r="Y397" s="3">
        <f>IFERROR(SWITCH(U397,"High",3,"Medium",2,"Low",0,"Unknown",1,1)+IF(Q397="Yes",2,IF(Q397="Unsure",1,0)),0)</f>
        <v/>
      </c>
      <c r="Z397" s="3">
        <f>IFERROR(ROUND((V397*2)+(W397*1)+(X397*2)+(IF(T397="Easy",2,IF(T397="Medium",1,IF(T397="Hard",-1,0))))-(Y397*2),1),0)</f>
        <v/>
      </c>
      <c r="AA397" s="3">
        <f>IFERROR(IF(S397="Not a fit","Not a Fit",IF(Y397&gt;=5,"High Risk / Needs Review",IF(AND(Z397&gt;=18,T397="Easy"),"Quick Win",IF(AND(Z397&gt;=18,T397&lt;&gt;"Easy"),"Strategic Project",IF(Z397&gt;=10,"Discovery Needed","Process Issue"))))),"")</f>
        <v/>
      </c>
      <c r="AB397" s="3">
        <f>IFERROR(SWITCH(AA397,"Quick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7" s="3" t="n"/>
      <c r="AD397" s="3" t="n"/>
      <c r="AE397" s="3" t="n"/>
    </row>
    <row r="398" ht="25" customHeight="1">
      <c r="A398" s="2" t="n"/>
      <c r="B398" s="2">
        <f>IFERROR(XLOOKUP(A398,'Intake Responses'!$A:$A,'Intake Responses'!$E:$E),"")</f>
        <v/>
      </c>
      <c r="C398" s="2">
        <f>IFERROR(XLOOKUP(A398,'Intake Responses'!$A:$A,'Intake Responses'!$D:$D),"")</f>
        <v/>
      </c>
      <c r="D398" s="2">
        <f>IFERROR(XLOOKUP(A398,'Intake Responses'!$A:$A,'Intake Responses'!$F:$F),"")</f>
        <v/>
      </c>
      <c r="E398" s="2" t="n"/>
      <c r="F398" s="2">
        <f>IFERROR(XLOOKUP(A398,'Intake Responses'!$A:$A,'Intake Responses'!$M:$M),"")</f>
        <v/>
      </c>
      <c r="G398" s="2">
        <f>IFERROR(XLOOKUP(A398,'Intake Responses'!$A:$A,'Intake Responses'!$N:$N),"")</f>
        <v/>
      </c>
      <c r="H398" s="2">
        <f>IFERROR(XLOOKUP(A398,'Intake Responses'!$A:$A,'Intake Responses'!$O:$O),"")</f>
        <v/>
      </c>
      <c r="I398" s="2">
        <f>IFERROR(SWITCH(F398,"Multiple times per day",60,"Daily",20,"Weekly",4,"Monthly",1,"Quarterly",0.33,"Ad hoc",0.5,"Unknown",0),0)</f>
        <v/>
      </c>
      <c r="J398" s="2">
        <f>IFERROR((G398*H398*I398)/60,0)</f>
        <v/>
      </c>
      <c r="K398" s="2">
        <f>IFERROR(J398*12,0)</f>
        <v/>
      </c>
      <c r="L398" s="2">
        <f>IFERROR(XLOOKUP(A398,'Intake Responses'!$A:$A,'Intake Responses'!$T:$T),"")</f>
        <v/>
      </c>
      <c r="M398" s="2">
        <f>IFERROR(XLOOKUP(A398,'Intake Responses'!$A:$A,'Intake Responses'!$U:$U),"")</f>
        <v/>
      </c>
      <c r="N398" s="2">
        <f>IFERROR(XLOOKUP(A398,'Intake Responses'!$A:$A,'Intake Responses'!$V:$V),"")</f>
        <v/>
      </c>
      <c r="O398" s="2">
        <f>IFERROR(XLOOKUP(A398,'Intake Responses'!$A:$A,'Intake Responses'!$W:$W),"")</f>
        <v/>
      </c>
      <c r="P398" s="2">
        <f>IFERROR(XLOOKUP(A398,'Intake Responses'!$A:$A,'Intake Responses'!$X:$X),"")</f>
        <v/>
      </c>
      <c r="Q398" s="2">
        <f>IFERROR(XLOOKUP(A398,'Intake Responses'!$A:$A,'Intake Responses'!$AF:$AF),"")</f>
        <v/>
      </c>
      <c r="R398" s="2">
        <f>IFERROR(XLOOKUP(A398,'Intake Responses'!$A:$A,'Intake Responses'!$S:$S),"")</f>
        <v/>
      </c>
      <c r="S398" s="2" t="n"/>
      <c r="T398" s="2" t="n"/>
      <c r="U398" s="2" t="n"/>
      <c r="V398" s="2">
        <f>IFERROR(MIN(5,ROUND(((M398+O398)/2)+(IF(J398&gt;=20,2,IF(J398&gt;=10,1.5,IF(J398&gt;=5,1,IF(J398&gt;=1,0.5,0))))),1)),0)</f>
        <v/>
      </c>
      <c r="W398" s="2">
        <f>IFERROR(SWITCH(F398,"Multiple times per day",5,"Daily",4,"Weekly",3,"Monthly",2,"Quarterly",1,"Ad hoc",1,"Unknown",0),0)</f>
        <v/>
      </c>
      <c r="X398" s="2">
        <f>IFERROR(ROUND(AVERAGE(L398,N398),1),0)</f>
        <v/>
      </c>
      <c r="Y398" s="2">
        <f>IFERROR(SWITCH(U398,"High",3,"Medium",2,"Low",0,"Unknown",1,1)+IF(Q398="Yes",2,IF(Q398="Unsure",1,0)),0)</f>
        <v/>
      </c>
      <c r="Z398" s="2">
        <f>IFERROR(ROUND((V398*2)+(W398*1)+(X398*2)+(IF(T398="Easy",2,IF(T398="Medium",1,IF(T398="Hard",-1,0))))-(Y398*2),1),0)</f>
        <v/>
      </c>
      <c r="AA398" s="2">
        <f>IFERROR(IF(S398="Not a fit","Not a Fit",IF(Y398&gt;=5,"High Risk / Needs Review",IF(AND(Z398&gt;=18,T398="Easy"),"Quick Win",IF(AND(Z398&gt;=18,T398&lt;&gt;"Easy"),"Strategic Project",IF(Z398&gt;=10,"Discovery Needed","Process Issue"))))),"")</f>
        <v/>
      </c>
      <c r="AB398" s="2">
        <f>IFERROR(SWITCH(AA398,"Quick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8" s="2" t="n"/>
      <c r="AD398" s="2" t="n"/>
      <c r="AE398" s="2" t="n"/>
    </row>
    <row r="399" ht="25" customHeight="1">
      <c r="A399" s="3" t="n"/>
      <c r="B399" s="3">
        <f>IFERROR(XLOOKUP(A399,'Intake Responses'!$A:$A,'Intake Responses'!$E:$E),"")</f>
        <v/>
      </c>
      <c r="C399" s="3">
        <f>IFERROR(XLOOKUP(A399,'Intake Responses'!$A:$A,'Intake Responses'!$D:$D),"")</f>
        <v/>
      </c>
      <c r="D399" s="3">
        <f>IFERROR(XLOOKUP(A399,'Intake Responses'!$A:$A,'Intake Responses'!$F:$F),"")</f>
        <v/>
      </c>
      <c r="E399" s="3" t="n"/>
      <c r="F399" s="3">
        <f>IFERROR(XLOOKUP(A399,'Intake Responses'!$A:$A,'Intake Responses'!$M:$M),"")</f>
        <v/>
      </c>
      <c r="G399" s="3">
        <f>IFERROR(XLOOKUP(A399,'Intake Responses'!$A:$A,'Intake Responses'!$N:$N),"")</f>
        <v/>
      </c>
      <c r="H399" s="3">
        <f>IFERROR(XLOOKUP(A399,'Intake Responses'!$A:$A,'Intake Responses'!$O:$O),"")</f>
        <v/>
      </c>
      <c r="I399" s="3">
        <f>IFERROR(SWITCH(F399,"Multiple times per day",60,"Daily",20,"Weekly",4,"Monthly",1,"Quarterly",0.33,"Ad hoc",0.5,"Unknown",0),0)</f>
        <v/>
      </c>
      <c r="J399" s="3">
        <f>IFERROR((G399*H399*I399)/60,0)</f>
        <v/>
      </c>
      <c r="K399" s="3">
        <f>IFERROR(J399*12,0)</f>
        <v/>
      </c>
      <c r="L399" s="3">
        <f>IFERROR(XLOOKUP(A399,'Intake Responses'!$A:$A,'Intake Responses'!$T:$T),"")</f>
        <v/>
      </c>
      <c r="M399" s="3">
        <f>IFERROR(XLOOKUP(A399,'Intake Responses'!$A:$A,'Intake Responses'!$U:$U),"")</f>
        <v/>
      </c>
      <c r="N399" s="3">
        <f>IFERROR(XLOOKUP(A399,'Intake Responses'!$A:$A,'Intake Responses'!$V:$V),"")</f>
        <v/>
      </c>
      <c r="O399" s="3">
        <f>IFERROR(XLOOKUP(A399,'Intake Responses'!$A:$A,'Intake Responses'!$W:$W),"")</f>
        <v/>
      </c>
      <c r="P399" s="3">
        <f>IFERROR(XLOOKUP(A399,'Intake Responses'!$A:$A,'Intake Responses'!$X:$X),"")</f>
        <v/>
      </c>
      <c r="Q399" s="3">
        <f>IFERROR(XLOOKUP(A399,'Intake Responses'!$A:$A,'Intake Responses'!$AF:$AF),"")</f>
        <v/>
      </c>
      <c r="R399" s="3">
        <f>IFERROR(XLOOKUP(A399,'Intake Responses'!$A:$A,'Intake Responses'!$S:$S),"")</f>
        <v/>
      </c>
      <c r="S399" s="3" t="n"/>
      <c r="T399" s="3" t="n"/>
      <c r="U399" s="3" t="n"/>
      <c r="V399" s="3">
        <f>IFERROR(MIN(5,ROUND(((M399+O399)/2)+(IF(J399&gt;=20,2,IF(J399&gt;=10,1.5,IF(J399&gt;=5,1,IF(J399&gt;=1,0.5,0))))),1)),0)</f>
        <v/>
      </c>
      <c r="W399" s="3">
        <f>IFERROR(SWITCH(F399,"Multiple times per day",5,"Daily",4,"Weekly",3,"Monthly",2,"Quarterly",1,"Ad hoc",1,"Unknown",0),0)</f>
        <v/>
      </c>
      <c r="X399" s="3">
        <f>IFERROR(ROUND(AVERAGE(L399,N399),1),0)</f>
        <v/>
      </c>
      <c r="Y399" s="3">
        <f>IFERROR(SWITCH(U399,"High",3,"Medium",2,"Low",0,"Unknown",1,1)+IF(Q399="Yes",2,IF(Q399="Unsure",1,0)),0)</f>
        <v/>
      </c>
      <c r="Z399" s="3">
        <f>IFERROR(ROUND((V399*2)+(W399*1)+(X399*2)+(IF(T399="Easy",2,IF(T399="Medium",1,IF(T399="Hard",-1,0))))-(Y399*2),1),0)</f>
        <v/>
      </c>
      <c r="AA399" s="3">
        <f>IFERROR(IF(S399="Not a fit","Not a Fit",IF(Y399&gt;=5,"High Risk / Needs Review",IF(AND(Z399&gt;=18,T399="Easy"),"Quick Win",IF(AND(Z399&gt;=18,T399&lt;&gt;"Easy"),"Strategic Project",IF(Z399&gt;=10,"Discovery Needed","Process Issue"))))),"")</f>
        <v/>
      </c>
      <c r="AB399" s="3">
        <f>IFERROR(SWITCH(AA399,"Quick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399" s="3" t="n"/>
      <c r="AD399" s="3" t="n"/>
      <c r="AE399" s="3" t="n"/>
    </row>
    <row r="400" ht="25" customHeight="1">
      <c r="A400" s="2" t="n"/>
      <c r="B400" s="2">
        <f>IFERROR(XLOOKUP(A400,'Intake Responses'!$A:$A,'Intake Responses'!$E:$E),"")</f>
        <v/>
      </c>
      <c r="C400" s="2">
        <f>IFERROR(XLOOKUP(A400,'Intake Responses'!$A:$A,'Intake Responses'!$D:$D),"")</f>
        <v/>
      </c>
      <c r="D400" s="2">
        <f>IFERROR(XLOOKUP(A400,'Intake Responses'!$A:$A,'Intake Responses'!$F:$F),"")</f>
        <v/>
      </c>
      <c r="E400" s="2" t="n"/>
      <c r="F400" s="2">
        <f>IFERROR(XLOOKUP(A400,'Intake Responses'!$A:$A,'Intake Responses'!$M:$M),"")</f>
        <v/>
      </c>
      <c r="G400" s="2">
        <f>IFERROR(XLOOKUP(A400,'Intake Responses'!$A:$A,'Intake Responses'!$N:$N),"")</f>
        <v/>
      </c>
      <c r="H400" s="2">
        <f>IFERROR(XLOOKUP(A400,'Intake Responses'!$A:$A,'Intake Responses'!$O:$O),"")</f>
        <v/>
      </c>
      <c r="I400" s="2">
        <f>IFERROR(SWITCH(F400,"Multiple times per day",60,"Daily",20,"Weekly",4,"Monthly",1,"Quarterly",0.33,"Ad hoc",0.5,"Unknown",0),0)</f>
        <v/>
      </c>
      <c r="J400" s="2">
        <f>IFERROR((G400*H400*I400)/60,0)</f>
        <v/>
      </c>
      <c r="K400" s="2">
        <f>IFERROR(J400*12,0)</f>
        <v/>
      </c>
      <c r="L400" s="2">
        <f>IFERROR(XLOOKUP(A400,'Intake Responses'!$A:$A,'Intake Responses'!$T:$T),"")</f>
        <v/>
      </c>
      <c r="M400" s="2">
        <f>IFERROR(XLOOKUP(A400,'Intake Responses'!$A:$A,'Intake Responses'!$U:$U),"")</f>
        <v/>
      </c>
      <c r="N400" s="2">
        <f>IFERROR(XLOOKUP(A400,'Intake Responses'!$A:$A,'Intake Responses'!$V:$V),"")</f>
        <v/>
      </c>
      <c r="O400" s="2">
        <f>IFERROR(XLOOKUP(A400,'Intake Responses'!$A:$A,'Intake Responses'!$W:$W),"")</f>
        <v/>
      </c>
      <c r="P400" s="2">
        <f>IFERROR(XLOOKUP(A400,'Intake Responses'!$A:$A,'Intake Responses'!$X:$X),"")</f>
        <v/>
      </c>
      <c r="Q400" s="2">
        <f>IFERROR(XLOOKUP(A400,'Intake Responses'!$A:$A,'Intake Responses'!$AF:$AF),"")</f>
        <v/>
      </c>
      <c r="R400" s="2">
        <f>IFERROR(XLOOKUP(A400,'Intake Responses'!$A:$A,'Intake Responses'!$S:$S),"")</f>
        <v/>
      </c>
      <c r="S400" s="2" t="n"/>
      <c r="T400" s="2" t="n"/>
      <c r="U400" s="2" t="n"/>
      <c r="V400" s="2">
        <f>IFERROR(MIN(5,ROUND(((M400+O400)/2)+(IF(J400&gt;=20,2,IF(J400&gt;=10,1.5,IF(J400&gt;=5,1,IF(J400&gt;=1,0.5,0))))),1)),0)</f>
        <v/>
      </c>
      <c r="W400" s="2">
        <f>IFERROR(SWITCH(F400,"Multiple times per day",5,"Daily",4,"Weekly",3,"Monthly",2,"Quarterly",1,"Ad hoc",1,"Unknown",0),0)</f>
        <v/>
      </c>
      <c r="X400" s="2">
        <f>IFERROR(ROUND(AVERAGE(L400,N400),1),0)</f>
        <v/>
      </c>
      <c r="Y400" s="2">
        <f>IFERROR(SWITCH(U400,"High",3,"Medium",2,"Low",0,"Unknown",1,1)+IF(Q400="Yes",2,IF(Q400="Unsure",1,0)),0)</f>
        <v/>
      </c>
      <c r="Z400" s="2">
        <f>IFERROR(ROUND((V400*2)+(W400*1)+(X400*2)+(IF(T400="Easy",2,IF(T400="Medium",1,IF(T400="Hard",-1,0))))-(Y400*2),1),0)</f>
        <v/>
      </c>
      <c r="AA400" s="2">
        <f>IFERROR(IF(S400="Not a fit","Not a Fit",IF(Y400&gt;=5,"High Risk / Needs Review",IF(AND(Z400&gt;=18,T400="Easy"),"Quick Win",IF(AND(Z400&gt;=18,T400&lt;&gt;"Easy"),"Strategic Project",IF(Z400&gt;=10,"Discovery Needed","Process Issue"))))),"")</f>
        <v/>
      </c>
      <c r="AB400" s="2">
        <f>IFERROR(SWITCH(AA400,"Quick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0" s="2" t="n"/>
      <c r="AD400" s="2" t="n"/>
      <c r="AE400" s="2" t="n"/>
    </row>
    <row r="401" ht="25" customHeight="1">
      <c r="A401" s="3" t="n"/>
      <c r="B401" s="3">
        <f>IFERROR(XLOOKUP(A401,'Intake Responses'!$A:$A,'Intake Responses'!$E:$E),"")</f>
        <v/>
      </c>
      <c r="C401" s="3">
        <f>IFERROR(XLOOKUP(A401,'Intake Responses'!$A:$A,'Intake Responses'!$D:$D),"")</f>
        <v/>
      </c>
      <c r="D401" s="3">
        <f>IFERROR(XLOOKUP(A401,'Intake Responses'!$A:$A,'Intake Responses'!$F:$F),"")</f>
        <v/>
      </c>
      <c r="E401" s="3" t="n"/>
      <c r="F401" s="3">
        <f>IFERROR(XLOOKUP(A401,'Intake Responses'!$A:$A,'Intake Responses'!$M:$M),"")</f>
        <v/>
      </c>
      <c r="G401" s="3">
        <f>IFERROR(XLOOKUP(A401,'Intake Responses'!$A:$A,'Intake Responses'!$N:$N),"")</f>
        <v/>
      </c>
      <c r="H401" s="3">
        <f>IFERROR(XLOOKUP(A401,'Intake Responses'!$A:$A,'Intake Responses'!$O:$O),"")</f>
        <v/>
      </c>
      <c r="I401" s="3">
        <f>IFERROR(SWITCH(F401,"Multiple times per day",60,"Daily",20,"Weekly",4,"Monthly",1,"Quarterly",0.33,"Ad hoc",0.5,"Unknown",0),0)</f>
        <v/>
      </c>
      <c r="J401" s="3">
        <f>IFERROR((G401*H401*I401)/60,0)</f>
        <v/>
      </c>
      <c r="K401" s="3">
        <f>IFERROR(J401*12,0)</f>
        <v/>
      </c>
      <c r="L401" s="3">
        <f>IFERROR(XLOOKUP(A401,'Intake Responses'!$A:$A,'Intake Responses'!$T:$T),"")</f>
        <v/>
      </c>
      <c r="M401" s="3">
        <f>IFERROR(XLOOKUP(A401,'Intake Responses'!$A:$A,'Intake Responses'!$U:$U),"")</f>
        <v/>
      </c>
      <c r="N401" s="3">
        <f>IFERROR(XLOOKUP(A401,'Intake Responses'!$A:$A,'Intake Responses'!$V:$V),"")</f>
        <v/>
      </c>
      <c r="O401" s="3">
        <f>IFERROR(XLOOKUP(A401,'Intake Responses'!$A:$A,'Intake Responses'!$W:$W),"")</f>
        <v/>
      </c>
      <c r="P401" s="3">
        <f>IFERROR(XLOOKUP(A401,'Intake Responses'!$A:$A,'Intake Responses'!$X:$X),"")</f>
        <v/>
      </c>
      <c r="Q401" s="3">
        <f>IFERROR(XLOOKUP(A401,'Intake Responses'!$A:$A,'Intake Responses'!$AF:$AF),"")</f>
        <v/>
      </c>
      <c r="R401" s="3">
        <f>IFERROR(XLOOKUP(A401,'Intake Responses'!$A:$A,'Intake Responses'!$S:$S),"")</f>
        <v/>
      </c>
      <c r="S401" s="3" t="n"/>
      <c r="T401" s="3" t="n"/>
      <c r="U401" s="3" t="n"/>
      <c r="V401" s="3">
        <f>IFERROR(MIN(5,ROUND(((M401+O401)/2)+(IF(J401&gt;=20,2,IF(J401&gt;=10,1.5,IF(J401&gt;=5,1,IF(J401&gt;=1,0.5,0))))),1)),0)</f>
        <v/>
      </c>
      <c r="W401" s="3">
        <f>IFERROR(SWITCH(F401,"Multiple times per day",5,"Daily",4,"Weekly",3,"Monthly",2,"Quarterly",1,"Ad hoc",1,"Unknown",0),0)</f>
        <v/>
      </c>
      <c r="X401" s="3">
        <f>IFERROR(ROUND(AVERAGE(L401,N401),1),0)</f>
        <v/>
      </c>
      <c r="Y401" s="3">
        <f>IFERROR(SWITCH(U401,"High",3,"Medium",2,"Low",0,"Unknown",1,1)+IF(Q401="Yes",2,IF(Q401="Unsure",1,0)),0)</f>
        <v/>
      </c>
      <c r="Z401" s="3">
        <f>IFERROR(ROUND((V401*2)+(W401*1)+(X401*2)+(IF(T401="Easy",2,IF(T401="Medium",1,IF(T401="Hard",-1,0))))-(Y401*2),1),0)</f>
        <v/>
      </c>
      <c r="AA401" s="3">
        <f>IFERROR(IF(S401="Not a fit","Not a Fit",IF(Y401&gt;=5,"High Risk / Needs Review",IF(AND(Z401&gt;=18,T401="Easy"),"Quick Win",IF(AND(Z401&gt;=18,T401&lt;&gt;"Easy"),"Strategic Project",IF(Z401&gt;=10,"Discovery Needed","Process Issue"))))),"")</f>
        <v/>
      </c>
      <c r="AB401" s="3">
        <f>IFERROR(SWITCH(AA401,"Quick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1" s="3" t="n"/>
      <c r="AD401" s="3" t="n"/>
      <c r="AE401" s="3" t="n"/>
    </row>
    <row r="402" ht="25" customHeight="1">
      <c r="A402" s="2" t="n"/>
      <c r="B402" s="2">
        <f>IFERROR(XLOOKUP(A402,'Intake Responses'!$A:$A,'Intake Responses'!$E:$E),"")</f>
        <v/>
      </c>
      <c r="C402" s="2">
        <f>IFERROR(XLOOKUP(A402,'Intake Responses'!$A:$A,'Intake Responses'!$D:$D),"")</f>
        <v/>
      </c>
      <c r="D402" s="2">
        <f>IFERROR(XLOOKUP(A402,'Intake Responses'!$A:$A,'Intake Responses'!$F:$F),"")</f>
        <v/>
      </c>
      <c r="E402" s="2" t="n"/>
      <c r="F402" s="2">
        <f>IFERROR(XLOOKUP(A402,'Intake Responses'!$A:$A,'Intake Responses'!$M:$M),"")</f>
        <v/>
      </c>
      <c r="G402" s="2">
        <f>IFERROR(XLOOKUP(A402,'Intake Responses'!$A:$A,'Intake Responses'!$N:$N),"")</f>
        <v/>
      </c>
      <c r="H402" s="2">
        <f>IFERROR(XLOOKUP(A402,'Intake Responses'!$A:$A,'Intake Responses'!$O:$O),"")</f>
        <v/>
      </c>
      <c r="I402" s="2">
        <f>IFERROR(SWITCH(F402,"Multiple times per day",60,"Daily",20,"Weekly",4,"Monthly",1,"Quarterly",0.33,"Ad hoc",0.5,"Unknown",0),0)</f>
        <v/>
      </c>
      <c r="J402" s="2">
        <f>IFERROR((G402*H402*I402)/60,0)</f>
        <v/>
      </c>
      <c r="K402" s="2">
        <f>IFERROR(J402*12,0)</f>
        <v/>
      </c>
      <c r="L402" s="2">
        <f>IFERROR(XLOOKUP(A402,'Intake Responses'!$A:$A,'Intake Responses'!$T:$T),"")</f>
        <v/>
      </c>
      <c r="M402" s="2">
        <f>IFERROR(XLOOKUP(A402,'Intake Responses'!$A:$A,'Intake Responses'!$U:$U),"")</f>
        <v/>
      </c>
      <c r="N402" s="2">
        <f>IFERROR(XLOOKUP(A402,'Intake Responses'!$A:$A,'Intake Responses'!$V:$V),"")</f>
        <v/>
      </c>
      <c r="O402" s="2">
        <f>IFERROR(XLOOKUP(A402,'Intake Responses'!$A:$A,'Intake Responses'!$W:$W),"")</f>
        <v/>
      </c>
      <c r="P402" s="2">
        <f>IFERROR(XLOOKUP(A402,'Intake Responses'!$A:$A,'Intake Responses'!$X:$X),"")</f>
        <v/>
      </c>
      <c r="Q402" s="2">
        <f>IFERROR(XLOOKUP(A402,'Intake Responses'!$A:$A,'Intake Responses'!$AF:$AF),"")</f>
        <v/>
      </c>
      <c r="R402" s="2">
        <f>IFERROR(XLOOKUP(A402,'Intake Responses'!$A:$A,'Intake Responses'!$S:$S),"")</f>
        <v/>
      </c>
      <c r="S402" s="2" t="n"/>
      <c r="T402" s="2" t="n"/>
      <c r="U402" s="2" t="n"/>
      <c r="V402" s="2">
        <f>IFERROR(MIN(5,ROUND(((M402+O402)/2)+(IF(J402&gt;=20,2,IF(J402&gt;=10,1.5,IF(J402&gt;=5,1,IF(J402&gt;=1,0.5,0))))),1)),0)</f>
        <v/>
      </c>
      <c r="W402" s="2">
        <f>IFERROR(SWITCH(F402,"Multiple times per day",5,"Daily",4,"Weekly",3,"Monthly",2,"Quarterly",1,"Ad hoc",1,"Unknown",0),0)</f>
        <v/>
      </c>
      <c r="X402" s="2">
        <f>IFERROR(ROUND(AVERAGE(L402,N402),1),0)</f>
        <v/>
      </c>
      <c r="Y402" s="2">
        <f>IFERROR(SWITCH(U402,"High",3,"Medium",2,"Low",0,"Unknown",1,1)+IF(Q402="Yes",2,IF(Q402="Unsure",1,0)),0)</f>
        <v/>
      </c>
      <c r="Z402" s="2">
        <f>IFERROR(ROUND((V402*2)+(W402*1)+(X402*2)+(IF(T402="Easy",2,IF(T402="Medium",1,IF(T402="Hard",-1,0))))-(Y402*2),1),0)</f>
        <v/>
      </c>
      <c r="AA402" s="2">
        <f>IFERROR(IF(S402="Not a fit","Not a Fit",IF(Y402&gt;=5,"High Risk / Needs Review",IF(AND(Z402&gt;=18,T402="Easy"),"Quick Win",IF(AND(Z402&gt;=18,T402&lt;&gt;"Easy"),"Strategic Project",IF(Z402&gt;=10,"Discovery Needed","Process Issue"))))),"")</f>
        <v/>
      </c>
      <c r="AB402" s="2">
        <f>IFERROR(SWITCH(AA402,"Quick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2" s="2" t="n"/>
      <c r="AD402" s="2" t="n"/>
      <c r="AE402" s="2" t="n"/>
    </row>
    <row r="403" ht="25" customHeight="1">
      <c r="A403" s="3" t="n"/>
      <c r="B403" s="3">
        <f>IFERROR(XLOOKUP(A403,'Intake Responses'!$A:$A,'Intake Responses'!$E:$E),"")</f>
        <v/>
      </c>
      <c r="C403" s="3">
        <f>IFERROR(XLOOKUP(A403,'Intake Responses'!$A:$A,'Intake Responses'!$D:$D),"")</f>
        <v/>
      </c>
      <c r="D403" s="3">
        <f>IFERROR(XLOOKUP(A403,'Intake Responses'!$A:$A,'Intake Responses'!$F:$F),"")</f>
        <v/>
      </c>
      <c r="E403" s="3" t="n"/>
      <c r="F403" s="3">
        <f>IFERROR(XLOOKUP(A403,'Intake Responses'!$A:$A,'Intake Responses'!$M:$M),"")</f>
        <v/>
      </c>
      <c r="G403" s="3">
        <f>IFERROR(XLOOKUP(A403,'Intake Responses'!$A:$A,'Intake Responses'!$N:$N),"")</f>
        <v/>
      </c>
      <c r="H403" s="3">
        <f>IFERROR(XLOOKUP(A403,'Intake Responses'!$A:$A,'Intake Responses'!$O:$O),"")</f>
        <v/>
      </c>
      <c r="I403" s="3">
        <f>IFERROR(SWITCH(F403,"Multiple times per day",60,"Daily",20,"Weekly",4,"Monthly",1,"Quarterly",0.33,"Ad hoc",0.5,"Unknown",0),0)</f>
        <v/>
      </c>
      <c r="J403" s="3">
        <f>IFERROR((G403*H403*I403)/60,0)</f>
        <v/>
      </c>
      <c r="K403" s="3">
        <f>IFERROR(J403*12,0)</f>
        <v/>
      </c>
      <c r="L403" s="3">
        <f>IFERROR(XLOOKUP(A403,'Intake Responses'!$A:$A,'Intake Responses'!$T:$T),"")</f>
        <v/>
      </c>
      <c r="M403" s="3">
        <f>IFERROR(XLOOKUP(A403,'Intake Responses'!$A:$A,'Intake Responses'!$U:$U),"")</f>
        <v/>
      </c>
      <c r="N403" s="3">
        <f>IFERROR(XLOOKUP(A403,'Intake Responses'!$A:$A,'Intake Responses'!$V:$V),"")</f>
        <v/>
      </c>
      <c r="O403" s="3">
        <f>IFERROR(XLOOKUP(A403,'Intake Responses'!$A:$A,'Intake Responses'!$W:$W),"")</f>
        <v/>
      </c>
      <c r="P403" s="3">
        <f>IFERROR(XLOOKUP(A403,'Intake Responses'!$A:$A,'Intake Responses'!$X:$X),"")</f>
        <v/>
      </c>
      <c r="Q403" s="3">
        <f>IFERROR(XLOOKUP(A403,'Intake Responses'!$A:$A,'Intake Responses'!$AF:$AF),"")</f>
        <v/>
      </c>
      <c r="R403" s="3">
        <f>IFERROR(XLOOKUP(A403,'Intake Responses'!$A:$A,'Intake Responses'!$S:$S),"")</f>
        <v/>
      </c>
      <c r="S403" s="3" t="n"/>
      <c r="T403" s="3" t="n"/>
      <c r="U403" s="3" t="n"/>
      <c r="V403" s="3">
        <f>IFERROR(MIN(5,ROUND(((M403+O403)/2)+(IF(J403&gt;=20,2,IF(J403&gt;=10,1.5,IF(J403&gt;=5,1,IF(J403&gt;=1,0.5,0))))),1)),0)</f>
        <v/>
      </c>
      <c r="W403" s="3">
        <f>IFERROR(SWITCH(F403,"Multiple times per day",5,"Daily",4,"Weekly",3,"Monthly",2,"Quarterly",1,"Ad hoc",1,"Unknown",0),0)</f>
        <v/>
      </c>
      <c r="X403" s="3">
        <f>IFERROR(ROUND(AVERAGE(L403,N403),1),0)</f>
        <v/>
      </c>
      <c r="Y403" s="3">
        <f>IFERROR(SWITCH(U403,"High",3,"Medium",2,"Low",0,"Unknown",1,1)+IF(Q403="Yes",2,IF(Q403="Unsure",1,0)),0)</f>
        <v/>
      </c>
      <c r="Z403" s="3">
        <f>IFERROR(ROUND((V403*2)+(W403*1)+(X403*2)+(IF(T403="Easy",2,IF(T403="Medium",1,IF(T403="Hard",-1,0))))-(Y403*2),1),0)</f>
        <v/>
      </c>
      <c r="AA403" s="3">
        <f>IFERROR(IF(S403="Not a fit","Not a Fit",IF(Y403&gt;=5,"High Risk / Needs Review",IF(AND(Z403&gt;=18,T403="Easy"),"Quick Win",IF(AND(Z403&gt;=18,T403&lt;&gt;"Easy"),"Strategic Project",IF(Z403&gt;=10,"Discovery Needed","Process Issue"))))),"")</f>
        <v/>
      </c>
      <c r="AB403" s="3">
        <f>IFERROR(SWITCH(AA403,"Quick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3" s="3" t="n"/>
      <c r="AD403" s="3" t="n"/>
      <c r="AE403" s="3" t="n"/>
    </row>
    <row r="404" ht="25" customHeight="1">
      <c r="A404" s="2" t="n"/>
      <c r="B404" s="2">
        <f>IFERROR(XLOOKUP(A404,'Intake Responses'!$A:$A,'Intake Responses'!$E:$E),"")</f>
        <v/>
      </c>
      <c r="C404" s="2">
        <f>IFERROR(XLOOKUP(A404,'Intake Responses'!$A:$A,'Intake Responses'!$D:$D),"")</f>
        <v/>
      </c>
      <c r="D404" s="2">
        <f>IFERROR(XLOOKUP(A404,'Intake Responses'!$A:$A,'Intake Responses'!$F:$F),"")</f>
        <v/>
      </c>
      <c r="E404" s="2" t="n"/>
      <c r="F404" s="2">
        <f>IFERROR(XLOOKUP(A404,'Intake Responses'!$A:$A,'Intake Responses'!$M:$M),"")</f>
        <v/>
      </c>
      <c r="G404" s="2">
        <f>IFERROR(XLOOKUP(A404,'Intake Responses'!$A:$A,'Intake Responses'!$N:$N),"")</f>
        <v/>
      </c>
      <c r="H404" s="2">
        <f>IFERROR(XLOOKUP(A404,'Intake Responses'!$A:$A,'Intake Responses'!$O:$O),"")</f>
        <v/>
      </c>
      <c r="I404" s="2">
        <f>IFERROR(SWITCH(F404,"Multiple times per day",60,"Daily",20,"Weekly",4,"Monthly",1,"Quarterly",0.33,"Ad hoc",0.5,"Unknown",0),0)</f>
        <v/>
      </c>
      <c r="J404" s="2">
        <f>IFERROR((G404*H404*I404)/60,0)</f>
        <v/>
      </c>
      <c r="K404" s="2">
        <f>IFERROR(J404*12,0)</f>
        <v/>
      </c>
      <c r="L404" s="2">
        <f>IFERROR(XLOOKUP(A404,'Intake Responses'!$A:$A,'Intake Responses'!$T:$T),"")</f>
        <v/>
      </c>
      <c r="M404" s="2">
        <f>IFERROR(XLOOKUP(A404,'Intake Responses'!$A:$A,'Intake Responses'!$U:$U),"")</f>
        <v/>
      </c>
      <c r="N404" s="2">
        <f>IFERROR(XLOOKUP(A404,'Intake Responses'!$A:$A,'Intake Responses'!$V:$V),"")</f>
        <v/>
      </c>
      <c r="O404" s="2">
        <f>IFERROR(XLOOKUP(A404,'Intake Responses'!$A:$A,'Intake Responses'!$W:$W),"")</f>
        <v/>
      </c>
      <c r="P404" s="2">
        <f>IFERROR(XLOOKUP(A404,'Intake Responses'!$A:$A,'Intake Responses'!$X:$X),"")</f>
        <v/>
      </c>
      <c r="Q404" s="2">
        <f>IFERROR(XLOOKUP(A404,'Intake Responses'!$A:$A,'Intake Responses'!$AF:$AF),"")</f>
        <v/>
      </c>
      <c r="R404" s="2">
        <f>IFERROR(XLOOKUP(A404,'Intake Responses'!$A:$A,'Intake Responses'!$S:$S),"")</f>
        <v/>
      </c>
      <c r="S404" s="2" t="n"/>
      <c r="T404" s="2" t="n"/>
      <c r="U404" s="2" t="n"/>
      <c r="V404" s="2">
        <f>IFERROR(MIN(5,ROUND(((M404+O404)/2)+(IF(J404&gt;=20,2,IF(J404&gt;=10,1.5,IF(J404&gt;=5,1,IF(J404&gt;=1,0.5,0))))),1)),0)</f>
        <v/>
      </c>
      <c r="W404" s="2">
        <f>IFERROR(SWITCH(F404,"Multiple times per day",5,"Daily",4,"Weekly",3,"Monthly",2,"Quarterly",1,"Ad hoc",1,"Unknown",0),0)</f>
        <v/>
      </c>
      <c r="X404" s="2">
        <f>IFERROR(ROUND(AVERAGE(L404,N404),1),0)</f>
        <v/>
      </c>
      <c r="Y404" s="2">
        <f>IFERROR(SWITCH(U404,"High",3,"Medium",2,"Low",0,"Unknown",1,1)+IF(Q404="Yes",2,IF(Q404="Unsure",1,0)),0)</f>
        <v/>
      </c>
      <c r="Z404" s="2">
        <f>IFERROR(ROUND((V404*2)+(W404*1)+(X404*2)+(IF(T404="Easy",2,IF(T404="Medium",1,IF(T404="Hard",-1,0))))-(Y404*2),1),0)</f>
        <v/>
      </c>
      <c r="AA404" s="2">
        <f>IFERROR(IF(S404="Not a fit","Not a Fit",IF(Y404&gt;=5,"High Risk / Needs Review",IF(AND(Z404&gt;=18,T404="Easy"),"Quick Win",IF(AND(Z404&gt;=18,T404&lt;&gt;"Easy"),"Strategic Project",IF(Z404&gt;=10,"Discovery Needed","Process Issue"))))),"")</f>
        <v/>
      </c>
      <c r="AB404" s="2">
        <f>IFERROR(SWITCH(AA404,"Quick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4" s="2" t="n"/>
      <c r="AD404" s="2" t="n"/>
      <c r="AE404" s="2" t="n"/>
    </row>
    <row r="405" ht="25" customHeight="1">
      <c r="A405" s="3" t="n"/>
      <c r="B405" s="3">
        <f>IFERROR(XLOOKUP(A405,'Intake Responses'!$A:$A,'Intake Responses'!$E:$E),"")</f>
        <v/>
      </c>
      <c r="C405" s="3">
        <f>IFERROR(XLOOKUP(A405,'Intake Responses'!$A:$A,'Intake Responses'!$D:$D),"")</f>
        <v/>
      </c>
      <c r="D405" s="3">
        <f>IFERROR(XLOOKUP(A405,'Intake Responses'!$A:$A,'Intake Responses'!$F:$F),"")</f>
        <v/>
      </c>
      <c r="E405" s="3" t="n"/>
      <c r="F405" s="3">
        <f>IFERROR(XLOOKUP(A405,'Intake Responses'!$A:$A,'Intake Responses'!$M:$M),"")</f>
        <v/>
      </c>
      <c r="G405" s="3">
        <f>IFERROR(XLOOKUP(A405,'Intake Responses'!$A:$A,'Intake Responses'!$N:$N),"")</f>
        <v/>
      </c>
      <c r="H405" s="3">
        <f>IFERROR(XLOOKUP(A405,'Intake Responses'!$A:$A,'Intake Responses'!$O:$O),"")</f>
        <v/>
      </c>
      <c r="I405" s="3">
        <f>IFERROR(SWITCH(F405,"Multiple times per day",60,"Daily",20,"Weekly",4,"Monthly",1,"Quarterly",0.33,"Ad hoc",0.5,"Unknown",0),0)</f>
        <v/>
      </c>
      <c r="J405" s="3">
        <f>IFERROR((G405*H405*I405)/60,0)</f>
        <v/>
      </c>
      <c r="K405" s="3">
        <f>IFERROR(J405*12,0)</f>
        <v/>
      </c>
      <c r="L405" s="3">
        <f>IFERROR(XLOOKUP(A405,'Intake Responses'!$A:$A,'Intake Responses'!$T:$T),"")</f>
        <v/>
      </c>
      <c r="M405" s="3">
        <f>IFERROR(XLOOKUP(A405,'Intake Responses'!$A:$A,'Intake Responses'!$U:$U),"")</f>
        <v/>
      </c>
      <c r="N405" s="3">
        <f>IFERROR(XLOOKUP(A405,'Intake Responses'!$A:$A,'Intake Responses'!$V:$V),"")</f>
        <v/>
      </c>
      <c r="O405" s="3">
        <f>IFERROR(XLOOKUP(A405,'Intake Responses'!$A:$A,'Intake Responses'!$W:$W),"")</f>
        <v/>
      </c>
      <c r="P405" s="3">
        <f>IFERROR(XLOOKUP(A405,'Intake Responses'!$A:$A,'Intake Responses'!$X:$X),"")</f>
        <v/>
      </c>
      <c r="Q405" s="3">
        <f>IFERROR(XLOOKUP(A405,'Intake Responses'!$A:$A,'Intake Responses'!$AF:$AF),"")</f>
        <v/>
      </c>
      <c r="R405" s="3">
        <f>IFERROR(XLOOKUP(A405,'Intake Responses'!$A:$A,'Intake Responses'!$S:$S),"")</f>
        <v/>
      </c>
      <c r="S405" s="3" t="n"/>
      <c r="T405" s="3" t="n"/>
      <c r="U405" s="3" t="n"/>
      <c r="V405" s="3">
        <f>IFERROR(MIN(5,ROUND(((M405+O405)/2)+(IF(J405&gt;=20,2,IF(J405&gt;=10,1.5,IF(J405&gt;=5,1,IF(J405&gt;=1,0.5,0))))),1)),0)</f>
        <v/>
      </c>
      <c r="W405" s="3">
        <f>IFERROR(SWITCH(F405,"Multiple times per day",5,"Daily",4,"Weekly",3,"Monthly",2,"Quarterly",1,"Ad hoc",1,"Unknown",0),0)</f>
        <v/>
      </c>
      <c r="X405" s="3">
        <f>IFERROR(ROUND(AVERAGE(L405,N405),1),0)</f>
        <v/>
      </c>
      <c r="Y405" s="3">
        <f>IFERROR(SWITCH(U405,"High",3,"Medium",2,"Low",0,"Unknown",1,1)+IF(Q405="Yes",2,IF(Q405="Unsure",1,0)),0)</f>
        <v/>
      </c>
      <c r="Z405" s="3">
        <f>IFERROR(ROUND((V405*2)+(W405*1)+(X405*2)+(IF(T405="Easy",2,IF(T405="Medium",1,IF(T405="Hard",-1,0))))-(Y405*2),1),0)</f>
        <v/>
      </c>
      <c r="AA405" s="3">
        <f>IFERROR(IF(S405="Not a fit","Not a Fit",IF(Y405&gt;=5,"High Risk / Needs Review",IF(AND(Z405&gt;=18,T405="Easy"),"Quick Win",IF(AND(Z405&gt;=18,T405&lt;&gt;"Easy"),"Strategic Project",IF(Z405&gt;=10,"Discovery Needed","Process Issue"))))),"")</f>
        <v/>
      </c>
      <c r="AB405" s="3">
        <f>IFERROR(SWITCH(AA405,"Quick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5" s="3" t="n"/>
      <c r="AD405" s="3" t="n"/>
      <c r="AE405" s="3" t="n"/>
    </row>
    <row r="406" ht="25" customHeight="1">
      <c r="A406" s="2" t="n"/>
      <c r="B406" s="2">
        <f>IFERROR(XLOOKUP(A406,'Intake Responses'!$A:$A,'Intake Responses'!$E:$E),"")</f>
        <v/>
      </c>
      <c r="C406" s="2">
        <f>IFERROR(XLOOKUP(A406,'Intake Responses'!$A:$A,'Intake Responses'!$D:$D),"")</f>
        <v/>
      </c>
      <c r="D406" s="2">
        <f>IFERROR(XLOOKUP(A406,'Intake Responses'!$A:$A,'Intake Responses'!$F:$F),"")</f>
        <v/>
      </c>
      <c r="E406" s="2" t="n"/>
      <c r="F406" s="2">
        <f>IFERROR(XLOOKUP(A406,'Intake Responses'!$A:$A,'Intake Responses'!$M:$M),"")</f>
        <v/>
      </c>
      <c r="G406" s="2">
        <f>IFERROR(XLOOKUP(A406,'Intake Responses'!$A:$A,'Intake Responses'!$N:$N),"")</f>
        <v/>
      </c>
      <c r="H406" s="2">
        <f>IFERROR(XLOOKUP(A406,'Intake Responses'!$A:$A,'Intake Responses'!$O:$O),"")</f>
        <v/>
      </c>
      <c r="I406" s="2">
        <f>IFERROR(SWITCH(F406,"Multiple times per day",60,"Daily",20,"Weekly",4,"Monthly",1,"Quarterly",0.33,"Ad hoc",0.5,"Unknown",0),0)</f>
        <v/>
      </c>
      <c r="J406" s="2">
        <f>IFERROR((G406*H406*I406)/60,0)</f>
        <v/>
      </c>
      <c r="K406" s="2">
        <f>IFERROR(J406*12,0)</f>
        <v/>
      </c>
      <c r="L406" s="2">
        <f>IFERROR(XLOOKUP(A406,'Intake Responses'!$A:$A,'Intake Responses'!$T:$T),"")</f>
        <v/>
      </c>
      <c r="M406" s="2">
        <f>IFERROR(XLOOKUP(A406,'Intake Responses'!$A:$A,'Intake Responses'!$U:$U),"")</f>
        <v/>
      </c>
      <c r="N406" s="2">
        <f>IFERROR(XLOOKUP(A406,'Intake Responses'!$A:$A,'Intake Responses'!$V:$V),"")</f>
        <v/>
      </c>
      <c r="O406" s="2">
        <f>IFERROR(XLOOKUP(A406,'Intake Responses'!$A:$A,'Intake Responses'!$W:$W),"")</f>
        <v/>
      </c>
      <c r="P406" s="2">
        <f>IFERROR(XLOOKUP(A406,'Intake Responses'!$A:$A,'Intake Responses'!$X:$X),"")</f>
        <v/>
      </c>
      <c r="Q406" s="2">
        <f>IFERROR(XLOOKUP(A406,'Intake Responses'!$A:$A,'Intake Responses'!$AF:$AF),"")</f>
        <v/>
      </c>
      <c r="R406" s="2">
        <f>IFERROR(XLOOKUP(A406,'Intake Responses'!$A:$A,'Intake Responses'!$S:$S),"")</f>
        <v/>
      </c>
      <c r="S406" s="2" t="n"/>
      <c r="T406" s="2" t="n"/>
      <c r="U406" s="2" t="n"/>
      <c r="V406" s="2">
        <f>IFERROR(MIN(5,ROUND(((M406+O406)/2)+(IF(J406&gt;=20,2,IF(J406&gt;=10,1.5,IF(J406&gt;=5,1,IF(J406&gt;=1,0.5,0))))),1)),0)</f>
        <v/>
      </c>
      <c r="W406" s="2">
        <f>IFERROR(SWITCH(F406,"Multiple times per day",5,"Daily",4,"Weekly",3,"Monthly",2,"Quarterly",1,"Ad hoc",1,"Unknown",0),0)</f>
        <v/>
      </c>
      <c r="X406" s="2">
        <f>IFERROR(ROUND(AVERAGE(L406,N406),1),0)</f>
        <v/>
      </c>
      <c r="Y406" s="2">
        <f>IFERROR(SWITCH(U406,"High",3,"Medium",2,"Low",0,"Unknown",1,1)+IF(Q406="Yes",2,IF(Q406="Unsure",1,0)),0)</f>
        <v/>
      </c>
      <c r="Z406" s="2">
        <f>IFERROR(ROUND((V406*2)+(W406*1)+(X406*2)+(IF(T406="Easy",2,IF(T406="Medium",1,IF(T406="Hard",-1,0))))-(Y406*2),1),0)</f>
        <v/>
      </c>
      <c r="AA406" s="2">
        <f>IFERROR(IF(S406="Not a fit","Not a Fit",IF(Y406&gt;=5,"High Risk / Needs Review",IF(AND(Z406&gt;=18,T406="Easy"),"Quick Win",IF(AND(Z406&gt;=18,T406&lt;&gt;"Easy"),"Strategic Project",IF(Z406&gt;=10,"Discovery Needed","Process Issue"))))),"")</f>
        <v/>
      </c>
      <c r="AB406" s="2">
        <f>IFERROR(SWITCH(AA406,"Quick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6" s="2" t="n"/>
      <c r="AD406" s="2" t="n"/>
      <c r="AE406" s="2" t="n"/>
    </row>
    <row r="407" ht="25" customHeight="1">
      <c r="A407" s="3" t="n"/>
      <c r="B407" s="3">
        <f>IFERROR(XLOOKUP(A407,'Intake Responses'!$A:$A,'Intake Responses'!$E:$E),"")</f>
        <v/>
      </c>
      <c r="C407" s="3">
        <f>IFERROR(XLOOKUP(A407,'Intake Responses'!$A:$A,'Intake Responses'!$D:$D),"")</f>
        <v/>
      </c>
      <c r="D407" s="3">
        <f>IFERROR(XLOOKUP(A407,'Intake Responses'!$A:$A,'Intake Responses'!$F:$F),"")</f>
        <v/>
      </c>
      <c r="E407" s="3" t="n"/>
      <c r="F407" s="3">
        <f>IFERROR(XLOOKUP(A407,'Intake Responses'!$A:$A,'Intake Responses'!$M:$M),"")</f>
        <v/>
      </c>
      <c r="G407" s="3">
        <f>IFERROR(XLOOKUP(A407,'Intake Responses'!$A:$A,'Intake Responses'!$N:$N),"")</f>
        <v/>
      </c>
      <c r="H407" s="3">
        <f>IFERROR(XLOOKUP(A407,'Intake Responses'!$A:$A,'Intake Responses'!$O:$O),"")</f>
        <v/>
      </c>
      <c r="I407" s="3">
        <f>IFERROR(SWITCH(F407,"Multiple times per day",60,"Daily",20,"Weekly",4,"Monthly",1,"Quarterly",0.33,"Ad hoc",0.5,"Unknown",0),0)</f>
        <v/>
      </c>
      <c r="J407" s="3">
        <f>IFERROR((G407*H407*I407)/60,0)</f>
        <v/>
      </c>
      <c r="K407" s="3">
        <f>IFERROR(J407*12,0)</f>
        <v/>
      </c>
      <c r="L407" s="3">
        <f>IFERROR(XLOOKUP(A407,'Intake Responses'!$A:$A,'Intake Responses'!$T:$T),"")</f>
        <v/>
      </c>
      <c r="M407" s="3">
        <f>IFERROR(XLOOKUP(A407,'Intake Responses'!$A:$A,'Intake Responses'!$U:$U),"")</f>
        <v/>
      </c>
      <c r="N407" s="3">
        <f>IFERROR(XLOOKUP(A407,'Intake Responses'!$A:$A,'Intake Responses'!$V:$V),"")</f>
        <v/>
      </c>
      <c r="O407" s="3">
        <f>IFERROR(XLOOKUP(A407,'Intake Responses'!$A:$A,'Intake Responses'!$W:$W),"")</f>
        <v/>
      </c>
      <c r="P407" s="3">
        <f>IFERROR(XLOOKUP(A407,'Intake Responses'!$A:$A,'Intake Responses'!$X:$X),"")</f>
        <v/>
      </c>
      <c r="Q407" s="3">
        <f>IFERROR(XLOOKUP(A407,'Intake Responses'!$A:$A,'Intake Responses'!$AF:$AF),"")</f>
        <v/>
      </c>
      <c r="R407" s="3">
        <f>IFERROR(XLOOKUP(A407,'Intake Responses'!$A:$A,'Intake Responses'!$S:$S),"")</f>
        <v/>
      </c>
      <c r="S407" s="3" t="n"/>
      <c r="T407" s="3" t="n"/>
      <c r="U407" s="3" t="n"/>
      <c r="V407" s="3">
        <f>IFERROR(MIN(5,ROUND(((M407+O407)/2)+(IF(J407&gt;=20,2,IF(J407&gt;=10,1.5,IF(J407&gt;=5,1,IF(J407&gt;=1,0.5,0))))),1)),0)</f>
        <v/>
      </c>
      <c r="W407" s="3">
        <f>IFERROR(SWITCH(F407,"Multiple times per day",5,"Daily",4,"Weekly",3,"Monthly",2,"Quarterly",1,"Ad hoc",1,"Unknown",0),0)</f>
        <v/>
      </c>
      <c r="X407" s="3">
        <f>IFERROR(ROUND(AVERAGE(L407,N407),1),0)</f>
        <v/>
      </c>
      <c r="Y407" s="3">
        <f>IFERROR(SWITCH(U407,"High",3,"Medium",2,"Low",0,"Unknown",1,1)+IF(Q407="Yes",2,IF(Q407="Unsure",1,0)),0)</f>
        <v/>
      </c>
      <c r="Z407" s="3">
        <f>IFERROR(ROUND((V407*2)+(W407*1)+(X407*2)+(IF(T407="Easy",2,IF(T407="Medium",1,IF(T407="Hard",-1,0))))-(Y407*2),1),0)</f>
        <v/>
      </c>
      <c r="AA407" s="3">
        <f>IFERROR(IF(S407="Not a fit","Not a Fit",IF(Y407&gt;=5,"High Risk / Needs Review",IF(AND(Z407&gt;=18,T407="Easy"),"Quick Win",IF(AND(Z407&gt;=18,T407&lt;&gt;"Easy"),"Strategic Project",IF(Z407&gt;=10,"Discovery Needed","Process Issue"))))),"")</f>
        <v/>
      </c>
      <c r="AB407" s="3">
        <f>IFERROR(SWITCH(AA407,"Quick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7" s="3" t="n"/>
      <c r="AD407" s="3" t="n"/>
      <c r="AE407" s="3" t="n"/>
    </row>
    <row r="408" ht="25" customHeight="1">
      <c r="A408" s="2" t="n"/>
      <c r="B408" s="2">
        <f>IFERROR(XLOOKUP(A408,'Intake Responses'!$A:$A,'Intake Responses'!$E:$E),"")</f>
        <v/>
      </c>
      <c r="C408" s="2">
        <f>IFERROR(XLOOKUP(A408,'Intake Responses'!$A:$A,'Intake Responses'!$D:$D),"")</f>
        <v/>
      </c>
      <c r="D408" s="2">
        <f>IFERROR(XLOOKUP(A408,'Intake Responses'!$A:$A,'Intake Responses'!$F:$F),"")</f>
        <v/>
      </c>
      <c r="E408" s="2" t="n"/>
      <c r="F408" s="2">
        <f>IFERROR(XLOOKUP(A408,'Intake Responses'!$A:$A,'Intake Responses'!$M:$M),"")</f>
        <v/>
      </c>
      <c r="G408" s="2">
        <f>IFERROR(XLOOKUP(A408,'Intake Responses'!$A:$A,'Intake Responses'!$N:$N),"")</f>
        <v/>
      </c>
      <c r="H408" s="2">
        <f>IFERROR(XLOOKUP(A408,'Intake Responses'!$A:$A,'Intake Responses'!$O:$O),"")</f>
        <v/>
      </c>
      <c r="I408" s="2">
        <f>IFERROR(SWITCH(F408,"Multiple times per day",60,"Daily",20,"Weekly",4,"Monthly",1,"Quarterly",0.33,"Ad hoc",0.5,"Unknown",0),0)</f>
        <v/>
      </c>
      <c r="J408" s="2">
        <f>IFERROR((G408*H408*I408)/60,0)</f>
        <v/>
      </c>
      <c r="K408" s="2">
        <f>IFERROR(J408*12,0)</f>
        <v/>
      </c>
      <c r="L408" s="2">
        <f>IFERROR(XLOOKUP(A408,'Intake Responses'!$A:$A,'Intake Responses'!$T:$T),"")</f>
        <v/>
      </c>
      <c r="M408" s="2">
        <f>IFERROR(XLOOKUP(A408,'Intake Responses'!$A:$A,'Intake Responses'!$U:$U),"")</f>
        <v/>
      </c>
      <c r="N408" s="2">
        <f>IFERROR(XLOOKUP(A408,'Intake Responses'!$A:$A,'Intake Responses'!$V:$V),"")</f>
        <v/>
      </c>
      <c r="O408" s="2">
        <f>IFERROR(XLOOKUP(A408,'Intake Responses'!$A:$A,'Intake Responses'!$W:$W),"")</f>
        <v/>
      </c>
      <c r="P408" s="2">
        <f>IFERROR(XLOOKUP(A408,'Intake Responses'!$A:$A,'Intake Responses'!$X:$X),"")</f>
        <v/>
      </c>
      <c r="Q408" s="2">
        <f>IFERROR(XLOOKUP(A408,'Intake Responses'!$A:$A,'Intake Responses'!$AF:$AF),"")</f>
        <v/>
      </c>
      <c r="R408" s="2">
        <f>IFERROR(XLOOKUP(A408,'Intake Responses'!$A:$A,'Intake Responses'!$S:$S),"")</f>
        <v/>
      </c>
      <c r="S408" s="2" t="n"/>
      <c r="T408" s="2" t="n"/>
      <c r="U408" s="2" t="n"/>
      <c r="V408" s="2">
        <f>IFERROR(MIN(5,ROUND(((M408+O408)/2)+(IF(J408&gt;=20,2,IF(J408&gt;=10,1.5,IF(J408&gt;=5,1,IF(J408&gt;=1,0.5,0))))),1)),0)</f>
        <v/>
      </c>
      <c r="W408" s="2">
        <f>IFERROR(SWITCH(F408,"Multiple times per day",5,"Daily",4,"Weekly",3,"Monthly",2,"Quarterly",1,"Ad hoc",1,"Unknown",0),0)</f>
        <v/>
      </c>
      <c r="X408" s="2">
        <f>IFERROR(ROUND(AVERAGE(L408,N408),1),0)</f>
        <v/>
      </c>
      <c r="Y408" s="2">
        <f>IFERROR(SWITCH(U408,"High",3,"Medium",2,"Low",0,"Unknown",1,1)+IF(Q408="Yes",2,IF(Q408="Unsure",1,0)),0)</f>
        <v/>
      </c>
      <c r="Z408" s="2">
        <f>IFERROR(ROUND((V408*2)+(W408*1)+(X408*2)+(IF(T408="Easy",2,IF(T408="Medium",1,IF(T408="Hard",-1,0))))-(Y408*2),1),0)</f>
        <v/>
      </c>
      <c r="AA408" s="2">
        <f>IFERROR(IF(S408="Not a fit","Not a Fit",IF(Y408&gt;=5,"High Risk / Needs Review",IF(AND(Z408&gt;=18,T408="Easy"),"Quick Win",IF(AND(Z408&gt;=18,T408&lt;&gt;"Easy"),"Strategic Project",IF(Z408&gt;=10,"Discovery Needed","Process Issue"))))),"")</f>
        <v/>
      </c>
      <c r="AB408" s="2">
        <f>IFERROR(SWITCH(AA408,"Quick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8" s="2" t="n"/>
      <c r="AD408" s="2" t="n"/>
      <c r="AE408" s="2" t="n"/>
    </row>
    <row r="409" ht="25" customHeight="1">
      <c r="A409" s="3" t="n"/>
      <c r="B409" s="3">
        <f>IFERROR(XLOOKUP(A409,'Intake Responses'!$A:$A,'Intake Responses'!$E:$E),"")</f>
        <v/>
      </c>
      <c r="C409" s="3">
        <f>IFERROR(XLOOKUP(A409,'Intake Responses'!$A:$A,'Intake Responses'!$D:$D),"")</f>
        <v/>
      </c>
      <c r="D409" s="3">
        <f>IFERROR(XLOOKUP(A409,'Intake Responses'!$A:$A,'Intake Responses'!$F:$F),"")</f>
        <v/>
      </c>
      <c r="E409" s="3" t="n"/>
      <c r="F409" s="3">
        <f>IFERROR(XLOOKUP(A409,'Intake Responses'!$A:$A,'Intake Responses'!$M:$M),"")</f>
        <v/>
      </c>
      <c r="G409" s="3">
        <f>IFERROR(XLOOKUP(A409,'Intake Responses'!$A:$A,'Intake Responses'!$N:$N),"")</f>
        <v/>
      </c>
      <c r="H409" s="3">
        <f>IFERROR(XLOOKUP(A409,'Intake Responses'!$A:$A,'Intake Responses'!$O:$O),"")</f>
        <v/>
      </c>
      <c r="I409" s="3">
        <f>IFERROR(SWITCH(F409,"Multiple times per day",60,"Daily",20,"Weekly",4,"Monthly",1,"Quarterly",0.33,"Ad hoc",0.5,"Unknown",0),0)</f>
        <v/>
      </c>
      <c r="J409" s="3">
        <f>IFERROR((G409*H409*I409)/60,0)</f>
        <v/>
      </c>
      <c r="K409" s="3">
        <f>IFERROR(J409*12,0)</f>
        <v/>
      </c>
      <c r="L409" s="3">
        <f>IFERROR(XLOOKUP(A409,'Intake Responses'!$A:$A,'Intake Responses'!$T:$T),"")</f>
        <v/>
      </c>
      <c r="M409" s="3">
        <f>IFERROR(XLOOKUP(A409,'Intake Responses'!$A:$A,'Intake Responses'!$U:$U),"")</f>
        <v/>
      </c>
      <c r="N409" s="3">
        <f>IFERROR(XLOOKUP(A409,'Intake Responses'!$A:$A,'Intake Responses'!$V:$V),"")</f>
        <v/>
      </c>
      <c r="O409" s="3">
        <f>IFERROR(XLOOKUP(A409,'Intake Responses'!$A:$A,'Intake Responses'!$W:$W),"")</f>
        <v/>
      </c>
      <c r="P409" s="3">
        <f>IFERROR(XLOOKUP(A409,'Intake Responses'!$A:$A,'Intake Responses'!$X:$X),"")</f>
        <v/>
      </c>
      <c r="Q409" s="3">
        <f>IFERROR(XLOOKUP(A409,'Intake Responses'!$A:$A,'Intake Responses'!$AF:$AF),"")</f>
        <v/>
      </c>
      <c r="R409" s="3">
        <f>IFERROR(XLOOKUP(A409,'Intake Responses'!$A:$A,'Intake Responses'!$S:$S),"")</f>
        <v/>
      </c>
      <c r="S409" s="3" t="n"/>
      <c r="T409" s="3" t="n"/>
      <c r="U409" s="3" t="n"/>
      <c r="V409" s="3">
        <f>IFERROR(MIN(5,ROUND(((M409+O409)/2)+(IF(J409&gt;=20,2,IF(J409&gt;=10,1.5,IF(J409&gt;=5,1,IF(J409&gt;=1,0.5,0))))),1)),0)</f>
        <v/>
      </c>
      <c r="W409" s="3">
        <f>IFERROR(SWITCH(F409,"Multiple times per day",5,"Daily",4,"Weekly",3,"Monthly",2,"Quarterly",1,"Ad hoc",1,"Unknown",0),0)</f>
        <v/>
      </c>
      <c r="X409" s="3">
        <f>IFERROR(ROUND(AVERAGE(L409,N409),1),0)</f>
        <v/>
      </c>
      <c r="Y409" s="3">
        <f>IFERROR(SWITCH(U409,"High",3,"Medium",2,"Low",0,"Unknown",1,1)+IF(Q409="Yes",2,IF(Q409="Unsure",1,0)),0)</f>
        <v/>
      </c>
      <c r="Z409" s="3">
        <f>IFERROR(ROUND((V409*2)+(W409*1)+(X409*2)+(IF(T409="Easy",2,IF(T409="Medium",1,IF(T409="Hard",-1,0))))-(Y409*2),1),0)</f>
        <v/>
      </c>
      <c r="AA409" s="3">
        <f>IFERROR(IF(S409="Not a fit","Not a Fit",IF(Y409&gt;=5,"High Risk / Needs Review",IF(AND(Z409&gt;=18,T409="Easy"),"Quick Win",IF(AND(Z409&gt;=18,T409&lt;&gt;"Easy"),"Strategic Project",IF(Z409&gt;=10,"Discovery Needed","Process Issue"))))),"")</f>
        <v/>
      </c>
      <c r="AB409" s="3">
        <f>IFERROR(SWITCH(AA409,"Quick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09" s="3" t="n"/>
      <c r="AD409" s="3" t="n"/>
      <c r="AE409" s="3" t="n"/>
    </row>
    <row r="410" ht="25" customHeight="1">
      <c r="A410" s="2" t="n"/>
      <c r="B410" s="2">
        <f>IFERROR(XLOOKUP(A410,'Intake Responses'!$A:$A,'Intake Responses'!$E:$E),"")</f>
        <v/>
      </c>
      <c r="C410" s="2">
        <f>IFERROR(XLOOKUP(A410,'Intake Responses'!$A:$A,'Intake Responses'!$D:$D),"")</f>
        <v/>
      </c>
      <c r="D410" s="2">
        <f>IFERROR(XLOOKUP(A410,'Intake Responses'!$A:$A,'Intake Responses'!$F:$F),"")</f>
        <v/>
      </c>
      <c r="E410" s="2" t="n"/>
      <c r="F410" s="2">
        <f>IFERROR(XLOOKUP(A410,'Intake Responses'!$A:$A,'Intake Responses'!$M:$M),"")</f>
        <v/>
      </c>
      <c r="G410" s="2">
        <f>IFERROR(XLOOKUP(A410,'Intake Responses'!$A:$A,'Intake Responses'!$N:$N),"")</f>
        <v/>
      </c>
      <c r="H410" s="2">
        <f>IFERROR(XLOOKUP(A410,'Intake Responses'!$A:$A,'Intake Responses'!$O:$O),"")</f>
        <v/>
      </c>
      <c r="I410" s="2">
        <f>IFERROR(SWITCH(F410,"Multiple times per day",60,"Daily",20,"Weekly",4,"Monthly",1,"Quarterly",0.33,"Ad hoc",0.5,"Unknown",0),0)</f>
        <v/>
      </c>
      <c r="J410" s="2">
        <f>IFERROR((G410*H410*I410)/60,0)</f>
        <v/>
      </c>
      <c r="K410" s="2">
        <f>IFERROR(J410*12,0)</f>
        <v/>
      </c>
      <c r="L410" s="2">
        <f>IFERROR(XLOOKUP(A410,'Intake Responses'!$A:$A,'Intake Responses'!$T:$T),"")</f>
        <v/>
      </c>
      <c r="M410" s="2">
        <f>IFERROR(XLOOKUP(A410,'Intake Responses'!$A:$A,'Intake Responses'!$U:$U),"")</f>
        <v/>
      </c>
      <c r="N410" s="2">
        <f>IFERROR(XLOOKUP(A410,'Intake Responses'!$A:$A,'Intake Responses'!$V:$V),"")</f>
        <v/>
      </c>
      <c r="O410" s="2">
        <f>IFERROR(XLOOKUP(A410,'Intake Responses'!$A:$A,'Intake Responses'!$W:$W),"")</f>
        <v/>
      </c>
      <c r="P410" s="2">
        <f>IFERROR(XLOOKUP(A410,'Intake Responses'!$A:$A,'Intake Responses'!$X:$X),"")</f>
        <v/>
      </c>
      <c r="Q410" s="2">
        <f>IFERROR(XLOOKUP(A410,'Intake Responses'!$A:$A,'Intake Responses'!$AF:$AF),"")</f>
        <v/>
      </c>
      <c r="R410" s="2">
        <f>IFERROR(XLOOKUP(A410,'Intake Responses'!$A:$A,'Intake Responses'!$S:$S),"")</f>
        <v/>
      </c>
      <c r="S410" s="2" t="n"/>
      <c r="T410" s="2" t="n"/>
      <c r="U410" s="2" t="n"/>
      <c r="V410" s="2">
        <f>IFERROR(MIN(5,ROUND(((M410+O410)/2)+(IF(J410&gt;=20,2,IF(J410&gt;=10,1.5,IF(J410&gt;=5,1,IF(J410&gt;=1,0.5,0))))),1)),0)</f>
        <v/>
      </c>
      <c r="W410" s="2">
        <f>IFERROR(SWITCH(F410,"Multiple times per day",5,"Daily",4,"Weekly",3,"Monthly",2,"Quarterly",1,"Ad hoc",1,"Unknown",0),0)</f>
        <v/>
      </c>
      <c r="X410" s="2">
        <f>IFERROR(ROUND(AVERAGE(L410,N410),1),0)</f>
        <v/>
      </c>
      <c r="Y410" s="2">
        <f>IFERROR(SWITCH(U410,"High",3,"Medium",2,"Low",0,"Unknown",1,1)+IF(Q410="Yes",2,IF(Q410="Unsure",1,0)),0)</f>
        <v/>
      </c>
      <c r="Z410" s="2">
        <f>IFERROR(ROUND((V410*2)+(W410*1)+(X410*2)+(IF(T410="Easy",2,IF(T410="Medium",1,IF(T410="Hard",-1,0))))-(Y410*2),1),0)</f>
        <v/>
      </c>
      <c r="AA410" s="2">
        <f>IFERROR(IF(S410="Not a fit","Not a Fit",IF(Y410&gt;=5,"High Risk / Needs Review",IF(AND(Z410&gt;=18,T410="Easy"),"Quick Win",IF(AND(Z410&gt;=18,T410&lt;&gt;"Easy"),"Strategic Project",IF(Z410&gt;=10,"Discovery Needed","Process Issue"))))),"")</f>
        <v/>
      </c>
      <c r="AB410" s="2">
        <f>IFERROR(SWITCH(AA410,"Quick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0" s="2" t="n"/>
      <c r="AD410" s="2" t="n"/>
      <c r="AE410" s="2" t="n"/>
    </row>
    <row r="411" ht="25" customHeight="1">
      <c r="A411" s="3" t="n"/>
      <c r="B411" s="3">
        <f>IFERROR(XLOOKUP(A411,'Intake Responses'!$A:$A,'Intake Responses'!$E:$E),"")</f>
        <v/>
      </c>
      <c r="C411" s="3">
        <f>IFERROR(XLOOKUP(A411,'Intake Responses'!$A:$A,'Intake Responses'!$D:$D),"")</f>
        <v/>
      </c>
      <c r="D411" s="3">
        <f>IFERROR(XLOOKUP(A411,'Intake Responses'!$A:$A,'Intake Responses'!$F:$F),"")</f>
        <v/>
      </c>
      <c r="E411" s="3" t="n"/>
      <c r="F411" s="3">
        <f>IFERROR(XLOOKUP(A411,'Intake Responses'!$A:$A,'Intake Responses'!$M:$M),"")</f>
        <v/>
      </c>
      <c r="G411" s="3">
        <f>IFERROR(XLOOKUP(A411,'Intake Responses'!$A:$A,'Intake Responses'!$N:$N),"")</f>
        <v/>
      </c>
      <c r="H411" s="3">
        <f>IFERROR(XLOOKUP(A411,'Intake Responses'!$A:$A,'Intake Responses'!$O:$O),"")</f>
        <v/>
      </c>
      <c r="I411" s="3">
        <f>IFERROR(SWITCH(F411,"Multiple times per day",60,"Daily",20,"Weekly",4,"Monthly",1,"Quarterly",0.33,"Ad hoc",0.5,"Unknown",0),0)</f>
        <v/>
      </c>
      <c r="J411" s="3">
        <f>IFERROR((G411*H411*I411)/60,0)</f>
        <v/>
      </c>
      <c r="K411" s="3">
        <f>IFERROR(J411*12,0)</f>
        <v/>
      </c>
      <c r="L411" s="3">
        <f>IFERROR(XLOOKUP(A411,'Intake Responses'!$A:$A,'Intake Responses'!$T:$T),"")</f>
        <v/>
      </c>
      <c r="M411" s="3">
        <f>IFERROR(XLOOKUP(A411,'Intake Responses'!$A:$A,'Intake Responses'!$U:$U),"")</f>
        <v/>
      </c>
      <c r="N411" s="3">
        <f>IFERROR(XLOOKUP(A411,'Intake Responses'!$A:$A,'Intake Responses'!$V:$V),"")</f>
        <v/>
      </c>
      <c r="O411" s="3">
        <f>IFERROR(XLOOKUP(A411,'Intake Responses'!$A:$A,'Intake Responses'!$W:$W),"")</f>
        <v/>
      </c>
      <c r="P411" s="3">
        <f>IFERROR(XLOOKUP(A411,'Intake Responses'!$A:$A,'Intake Responses'!$X:$X),"")</f>
        <v/>
      </c>
      <c r="Q411" s="3">
        <f>IFERROR(XLOOKUP(A411,'Intake Responses'!$A:$A,'Intake Responses'!$AF:$AF),"")</f>
        <v/>
      </c>
      <c r="R411" s="3">
        <f>IFERROR(XLOOKUP(A411,'Intake Responses'!$A:$A,'Intake Responses'!$S:$S),"")</f>
        <v/>
      </c>
      <c r="S411" s="3" t="n"/>
      <c r="T411" s="3" t="n"/>
      <c r="U411" s="3" t="n"/>
      <c r="V411" s="3">
        <f>IFERROR(MIN(5,ROUND(((M411+O411)/2)+(IF(J411&gt;=20,2,IF(J411&gt;=10,1.5,IF(J411&gt;=5,1,IF(J411&gt;=1,0.5,0))))),1)),0)</f>
        <v/>
      </c>
      <c r="W411" s="3">
        <f>IFERROR(SWITCH(F411,"Multiple times per day",5,"Daily",4,"Weekly",3,"Monthly",2,"Quarterly",1,"Ad hoc",1,"Unknown",0),0)</f>
        <v/>
      </c>
      <c r="X411" s="3">
        <f>IFERROR(ROUND(AVERAGE(L411,N411),1),0)</f>
        <v/>
      </c>
      <c r="Y411" s="3">
        <f>IFERROR(SWITCH(U411,"High",3,"Medium",2,"Low",0,"Unknown",1,1)+IF(Q411="Yes",2,IF(Q411="Unsure",1,0)),0)</f>
        <v/>
      </c>
      <c r="Z411" s="3">
        <f>IFERROR(ROUND((V411*2)+(W411*1)+(X411*2)+(IF(T411="Easy",2,IF(T411="Medium",1,IF(T411="Hard",-1,0))))-(Y411*2),1),0)</f>
        <v/>
      </c>
      <c r="AA411" s="3">
        <f>IFERROR(IF(S411="Not a fit","Not a Fit",IF(Y411&gt;=5,"High Risk / Needs Review",IF(AND(Z411&gt;=18,T411="Easy"),"Quick Win",IF(AND(Z411&gt;=18,T411&lt;&gt;"Easy"),"Strategic Project",IF(Z411&gt;=10,"Discovery Needed","Process Issue"))))),"")</f>
        <v/>
      </c>
      <c r="AB411" s="3">
        <f>IFERROR(SWITCH(AA411,"Quick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1" s="3" t="n"/>
      <c r="AD411" s="3" t="n"/>
      <c r="AE411" s="3" t="n"/>
    </row>
    <row r="412" ht="25" customHeight="1">
      <c r="A412" s="2" t="n"/>
      <c r="B412" s="2">
        <f>IFERROR(XLOOKUP(A412,'Intake Responses'!$A:$A,'Intake Responses'!$E:$E),"")</f>
        <v/>
      </c>
      <c r="C412" s="2">
        <f>IFERROR(XLOOKUP(A412,'Intake Responses'!$A:$A,'Intake Responses'!$D:$D),"")</f>
        <v/>
      </c>
      <c r="D412" s="2">
        <f>IFERROR(XLOOKUP(A412,'Intake Responses'!$A:$A,'Intake Responses'!$F:$F),"")</f>
        <v/>
      </c>
      <c r="E412" s="2" t="n"/>
      <c r="F412" s="2">
        <f>IFERROR(XLOOKUP(A412,'Intake Responses'!$A:$A,'Intake Responses'!$M:$M),"")</f>
        <v/>
      </c>
      <c r="G412" s="2">
        <f>IFERROR(XLOOKUP(A412,'Intake Responses'!$A:$A,'Intake Responses'!$N:$N),"")</f>
        <v/>
      </c>
      <c r="H412" s="2">
        <f>IFERROR(XLOOKUP(A412,'Intake Responses'!$A:$A,'Intake Responses'!$O:$O),"")</f>
        <v/>
      </c>
      <c r="I412" s="2">
        <f>IFERROR(SWITCH(F412,"Multiple times per day",60,"Daily",20,"Weekly",4,"Monthly",1,"Quarterly",0.33,"Ad hoc",0.5,"Unknown",0),0)</f>
        <v/>
      </c>
      <c r="J412" s="2">
        <f>IFERROR((G412*H412*I412)/60,0)</f>
        <v/>
      </c>
      <c r="K412" s="2">
        <f>IFERROR(J412*12,0)</f>
        <v/>
      </c>
      <c r="L412" s="2">
        <f>IFERROR(XLOOKUP(A412,'Intake Responses'!$A:$A,'Intake Responses'!$T:$T),"")</f>
        <v/>
      </c>
      <c r="M412" s="2">
        <f>IFERROR(XLOOKUP(A412,'Intake Responses'!$A:$A,'Intake Responses'!$U:$U),"")</f>
        <v/>
      </c>
      <c r="N412" s="2">
        <f>IFERROR(XLOOKUP(A412,'Intake Responses'!$A:$A,'Intake Responses'!$V:$V),"")</f>
        <v/>
      </c>
      <c r="O412" s="2">
        <f>IFERROR(XLOOKUP(A412,'Intake Responses'!$A:$A,'Intake Responses'!$W:$W),"")</f>
        <v/>
      </c>
      <c r="P412" s="2">
        <f>IFERROR(XLOOKUP(A412,'Intake Responses'!$A:$A,'Intake Responses'!$X:$X),"")</f>
        <v/>
      </c>
      <c r="Q412" s="2">
        <f>IFERROR(XLOOKUP(A412,'Intake Responses'!$A:$A,'Intake Responses'!$AF:$AF),"")</f>
        <v/>
      </c>
      <c r="R412" s="2">
        <f>IFERROR(XLOOKUP(A412,'Intake Responses'!$A:$A,'Intake Responses'!$S:$S),"")</f>
        <v/>
      </c>
      <c r="S412" s="2" t="n"/>
      <c r="T412" s="2" t="n"/>
      <c r="U412" s="2" t="n"/>
      <c r="V412" s="2">
        <f>IFERROR(MIN(5,ROUND(((M412+O412)/2)+(IF(J412&gt;=20,2,IF(J412&gt;=10,1.5,IF(J412&gt;=5,1,IF(J412&gt;=1,0.5,0))))),1)),0)</f>
        <v/>
      </c>
      <c r="W412" s="2">
        <f>IFERROR(SWITCH(F412,"Multiple times per day",5,"Daily",4,"Weekly",3,"Monthly",2,"Quarterly",1,"Ad hoc",1,"Unknown",0),0)</f>
        <v/>
      </c>
      <c r="X412" s="2">
        <f>IFERROR(ROUND(AVERAGE(L412,N412),1),0)</f>
        <v/>
      </c>
      <c r="Y412" s="2">
        <f>IFERROR(SWITCH(U412,"High",3,"Medium",2,"Low",0,"Unknown",1,1)+IF(Q412="Yes",2,IF(Q412="Unsure",1,0)),0)</f>
        <v/>
      </c>
      <c r="Z412" s="2">
        <f>IFERROR(ROUND((V412*2)+(W412*1)+(X412*2)+(IF(T412="Easy",2,IF(T412="Medium",1,IF(T412="Hard",-1,0))))-(Y412*2),1),0)</f>
        <v/>
      </c>
      <c r="AA412" s="2">
        <f>IFERROR(IF(S412="Not a fit","Not a Fit",IF(Y412&gt;=5,"High Risk / Needs Review",IF(AND(Z412&gt;=18,T412="Easy"),"Quick Win",IF(AND(Z412&gt;=18,T412&lt;&gt;"Easy"),"Strategic Project",IF(Z412&gt;=10,"Discovery Needed","Process Issue"))))),"")</f>
        <v/>
      </c>
      <c r="AB412" s="2">
        <f>IFERROR(SWITCH(AA412,"Quick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2" s="2" t="n"/>
      <c r="AD412" s="2" t="n"/>
      <c r="AE412" s="2" t="n"/>
    </row>
    <row r="413" ht="25" customHeight="1">
      <c r="A413" s="3" t="n"/>
      <c r="B413" s="3">
        <f>IFERROR(XLOOKUP(A413,'Intake Responses'!$A:$A,'Intake Responses'!$E:$E),"")</f>
        <v/>
      </c>
      <c r="C413" s="3">
        <f>IFERROR(XLOOKUP(A413,'Intake Responses'!$A:$A,'Intake Responses'!$D:$D),"")</f>
        <v/>
      </c>
      <c r="D413" s="3">
        <f>IFERROR(XLOOKUP(A413,'Intake Responses'!$A:$A,'Intake Responses'!$F:$F),"")</f>
        <v/>
      </c>
      <c r="E413" s="3" t="n"/>
      <c r="F413" s="3">
        <f>IFERROR(XLOOKUP(A413,'Intake Responses'!$A:$A,'Intake Responses'!$M:$M),"")</f>
        <v/>
      </c>
      <c r="G413" s="3">
        <f>IFERROR(XLOOKUP(A413,'Intake Responses'!$A:$A,'Intake Responses'!$N:$N),"")</f>
        <v/>
      </c>
      <c r="H413" s="3">
        <f>IFERROR(XLOOKUP(A413,'Intake Responses'!$A:$A,'Intake Responses'!$O:$O),"")</f>
        <v/>
      </c>
      <c r="I413" s="3">
        <f>IFERROR(SWITCH(F413,"Multiple times per day",60,"Daily",20,"Weekly",4,"Monthly",1,"Quarterly",0.33,"Ad hoc",0.5,"Unknown",0),0)</f>
        <v/>
      </c>
      <c r="J413" s="3">
        <f>IFERROR((G413*H413*I413)/60,0)</f>
        <v/>
      </c>
      <c r="K413" s="3">
        <f>IFERROR(J413*12,0)</f>
        <v/>
      </c>
      <c r="L413" s="3">
        <f>IFERROR(XLOOKUP(A413,'Intake Responses'!$A:$A,'Intake Responses'!$T:$T),"")</f>
        <v/>
      </c>
      <c r="M413" s="3">
        <f>IFERROR(XLOOKUP(A413,'Intake Responses'!$A:$A,'Intake Responses'!$U:$U),"")</f>
        <v/>
      </c>
      <c r="N413" s="3">
        <f>IFERROR(XLOOKUP(A413,'Intake Responses'!$A:$A,'Intake Responses'!$V:$V),"")</f>
        <v/>
      </c>
      <c r="O413" s="3">
        <f>IFERROR(XLOOKUP(A413,'Intake Responses'!$A:$A,'Intake Responses'!$W:$W),"")</f>
        <v/>
      </c>
      <c r="P413" s="3">
        <f>IFERROR(XLOOKUP(A413,'Intake Responses'!$A:$A,'Intake Responses'!$X:$X),"")</f>
        <v/>
      </c>
      <c r="Q413" s="3">
        <f>IFERROR(XLOOKUP(A413,'Intake Responses'!$A:$A,'Intake Responses'!$AF:$AF),"")</f>
        <v/>
      </c>
      <c r="R413" s="3">
        <f>IFERROR(XLOOKUP(A413,'Intake Responses'!$A:$A,'Intake Responses'!$S:$S),"")</f>
        <v/>
      </c>
      <c r="S413" s="3" t="n"/>
      <c r="T413" s="3" t="n"/>
      <c r="U413" s="3" t="n"/>
      <c r="V413" s="3">
        <f>IFERROR(MIN(5,ROUND(((M413+O413)/2)+(IF(J413&gt;=20,2,IF(J413&gt;=10,1.5,IF(J413&gt;=5,1,IF(J413&gt;=1,0.5,0))))),1)),0)</f>
        <v/>
      </c>
      <c r="W413" s="3">
        <f>IFERROR(SWITCH(F413,"Multiple times per day",5,"Daily",4,"Weekly",3,"Monthly",2,"Quarterly",1,"Ad hoc",1,"Unknown",0),0)</f>
        <v/>
      </c>
      <c r="X413" s="3">
        <f>IFERROR(ROUND(AVERAGE(L413,N413),1),0)</f>
        <v/>
      </c>
      <c r="Y413" s="3">
        <f>IFERROR(SWITCH(U413,"High",3,"Medium",2,"Low",0,"Unknown",1,1)+IF(Q413="Yes",2,IF(Q413="Unsure",1,0)),0)</f>
        <v/>
      </c>
      <c r="Z413" s="3">
        <f>IFERROR(ROUND((V413*2)+(W413*1)+(X413*2)+(IF(T413="Easy",2,IF(T413="Medium",1,IF(T413="Hard",-1,0))))-(Y413*2),1),0)</f>
        <v/>
      </c>
      <c r="AA413" s="3">
        <f>IFERROR(IF(S413="Not a fit","Not a Fit",IF(Y413&gt;=5,"High Risk / Needs Review",IF(AND(Z413&gt;=18,T413="Easy"),"Quick Win",IF(AND(Z413&gt;=18,T413&lt;&gt;"Easy"),"Strategic Project",IF(Z413&gt;=10,"Discovery Needed","Process Issue"))))),"")</f>
        <v/>
      </c>
      <c r="AB413" s="3">
        <f>IFERROR(SWITCH(AA413,"Quick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3" s="3" t="n"/>
      <c r="AD413" s="3" t="n"/>
      <c r="AE413" s="3" t="n"/>
    </row>
    <row r="414" ht="25" customHeight="1">
      <c r="A414" s="2" t="n"/>
      <c r="B414" s="2">
        <f>IFERROR(XLOOKUP(A414,'Intake Responses'!$A:$A,'Intake Responses'!$E:$E),"")</f>
        <v/>
      </c>
      <c r="C414" s="2">
        <f>IFERROR(XLOOKUP(A414,'Intake Responses'!$A:$A,'Intake Responses'!$D:$D),"")</f>
        <v/>
      </c>
      <c r="D414" s="2">
        <f>IFERROR(XLOOKUP(A414,'Intake Responses'!$A:$A,'Intake Responses'!$F:$F),"")</f>
        <v/>
      </c>
      <c r="E414" s="2" t="n"/>
      <c r="F414" s="2">
        <f>IFERROR(XLOOKUP(A414,'Intake Responses'!$A:$A,'Intake Responses'!$M:$M),"")</f>
        <v/>
      </c>
      <c r="G414" s="2">
        <f>IFERROR(XLOOKUP(A414,'Intake Responses'!$A:$A,'Intake Responses'!$N:$N),"")</f>
        <v/>
      </c>
      <c r="H414" s="2">
        <f>IFERROR(XLOOKUP(A414,'Intake Responses'!$A:$A,'Intake Responses'!$O:$O),"")</f>
        <v/>
      </c>
      <c r="I414" s="2">
        <f>IFERROR(SWITCH(F414,"Multiple times per day",60,"Daily",20,"Weekly",4,"Monthly",1,"Quarterly",0.33,"Ad hoc",0.5,"Unknown",0),0)</f>
        <v/>
      </c>
      <c r="J414" s="2">
        <f>IFERROR((G414*H414*I414)/60,0)</f>
        <v/>
      </c>
      <c r="K414" s="2">
        <f>IFERROR(J414*12,0)</f>
        <v/>
      </c>
      <c r="L414" s="2">
        <f>IFERROR(XLOOKUP(A414,'Intake Responses'!$A:$A,'Intake Responses'!$T:$T),"")</f>
        <v/>
      </c>
      <c r="M414" s="2">
        <f>IFERROR(XLOOKUP(A414,'Intake Responses'!$A:$A,'Intake Responses'!$U:$U),"")</f>
        <v/>
      </c>
      <c r="N414" s="2">
        <f>IFERROR(XLOOKUP(A414,'Intake Responses'!$A:$A,'Intake Responses'!$V:$V),"")</f>
        <v/>
      </c>
      <c r="O414" s="2">
        <f>IFERROR(XLOOKUP(A414,'Intake Responses'!$A:$A,'Intake Responses'!$W:$W),"")</f>
        <v/>
      </c>
      <c r="P414" s="2">
        <f>IFERROR(XLOOKUP(A414,'Intake Responses'!$A:$A,'Intake Responses'!$X:$X),"")</f>
        <v/>
      </c>
      <c r="Q414" s="2">
        <f>IFERROR(XLOOKUP(A414,'Intake Responses'!$A:$A,'Intake Responses'!$AF:$AF),"")</f>
        <v/>
      </c>
      <c r="R414" s="2">
        <f>IFERROR(XLOOKUP(A414,'Intake Responses'!$A:$A,'Intake Responses'!$S:$S),"")</f>
        <v/>
      </c>
      <c r="S414" s="2" t="n"/>
      <c r="T414" s="2" t="n"/>
      <c r="U414" s="2" t="n"/>
      <c r="V414" s="2">
        <f>IFERROR(MIN(5,ROUND(((M414+O414)/2)+(IF(J414&gt;=20,2,IF(J414&gt;=10,1.5,IF(J414&gt;=5,1,IF(J414&gt;=1,0.5,0))))),1)),0)</f>
        <v/>
      </c>
      <c r="W414" s="2">
        <f>IFERROR(SWITCH(F414,"Multiple times per day",5,"Daily",4,"Weekly",3,"Monthly",2,"Quarterly",1,"Ad hoc",1,"Unknown",0),0)</f>
        <v/>
      </c>
      <c r="X414" s="2">
        <f>IFERROR(ROUND(AVERAGE(L414,N414),1),0)</f>
        <v/>
      </c>
      <c r="Y414" s="2">
        <f>IFERROR(SWITCH(U414,"High",3,"Medium",2,"Low",0,"Unknown",1,1)+IF(Q414="Yes",2,IF(Q414="Unsure",1,0)),0)</f>
        <v/>
      </c>
      <c r="Z414" s="2">
        <f>IFERROR(ROUND((V414*2)+(W414*1)+(X414*2)+(IF(T414="Easy",2,IF(T414="Medium",1,IF(T414="Hard",-1,0))))-(Y414*2),1),0)</f>
        <v/>
      </c>
      <c r="AA414" s="2">
        <f>IFERROR(IF(S414="Not a fit","Not a Fit",IF(Y414&gt;=5,"High Risk / Needs Review",IF(AND(Z414&gt;=18,T414="Easy"),"Quick Win",IF(AND(Z414&gt;=18,T414&lt;&gt;"Easy"),"Strategic Project",IF(Z414&gt;=10,"Discovery Needed","Process Issue"))))),"")</f>
        <v/>
      </c>
      <c r="AB414" s="2">
        <f>IFERROR(SWITCH(AA414,"Quick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4" s="2" t="n"/>
      <c r="AD414" s="2" t="n"/>
      <c r="AE414" s="2" t="n"/>
    </row>
    <row r="415" ht="25" customHeight="1">
      <c r="A415" s="3" t="n"/>
      <c r="B415" s="3">
        <f>IFERROR(XLOOKUP(A415,'Intake Responses'!$A:$A,'Intake Responses'!$E:$E),"")</f>
        <v/>
      </c>
      <c r="C415" s="3">
        <f>IFERROR(XLOOKUP(A415,'Intake Responses'!$A:$A,'Intake Responses'!$D:$D),"")</f>
        <v/>
      </c>
      <c r="D415" s="3">
        <f>IFERROR(XLOOKUP(A415,'Intake Responses'!$A:$A,'Intake Responses'!$F:$F),"")</f>
        <v/>
      </c>
      <c r="E415" s="3" t="n"/>
      <c r="F415" s="3">
        <f>IFERROR(XLOOKUP(A415,'Intake Responses'!$A:$A,'Intake Responses'!$M:$M),"")</f>
        <v/>
      </c>
      <c r="G415" s="3">
        <f>IFERROR(XLOOKUP(A415,'Intake Responses'!$A:$A,'Intake Responses'!$N:$N),"")</f>
        <v/>
      </c>
      <c r="H415" s="3">
        <f>IFERROR(XLOOKUP(A415,'Intake Responses'!$A:$A,'Intake Responses'!$O:$O),"")</f>
        <v/>
      </c>
      <c r="I415" s="3">
        <f>IFERROR(SWITCH(F415,"Multiple times per day",60,"Daily",20,"Weekly",4,"Monthly",1,"Quarterly",0.33,"Ad hoc",0.5,"Unknown",0),0)</f>
        <v/>
      </c>
      <c r="J415" s="3">
        <f>IFERROR((G415*H415*I415)/60,0)</f>
        <v/>
      </c>
      <c r="K415" s="3">
        <f>IFERROR(J415*12,0)</f>
        <v/>
      </c>
      <c r="L415" s="3">
        <f>IFERROR(XLOOKUP(A415,'Intake Responses'!$A:$A,'Intake Responses'!$T:$T),"")</f>
        <v/>
      </c>
      <c r="M415" s="3">
        <f>IFERROR(XLOOKUP(A415,'Intake Responses'!$A:$A,'Intake Responses'!$U:$U),"")</f>
        <v/>
      </c>
      <c r="N415" s="3">
        <f>IFERROR(XLOOKUP(A415,'Intake Responses'!$A:$A,'Intake Responses'!$V:$V),"")</f>
        <v/>
      </c>
      <c r="O415" s="3">
        <f>IFERROR(XLOOKUP(A415,'Intake Responses'!$A:$A,'Intake Responses'!$W:$W),"")</f>
        <v/>
      </c>
      <c r="P415" s="3">
        <f>IFERROR(XLOOKUP(A415,'Intake Responses'!$A:$A,'Intake Responses'!$X:$X),"")</f>
        <v/>
      </c>
      <c r="Q415" s="3">
        <f>IFERROR(XLOOKUP(A415,'Intake Responses'!$A:$A,'Intake Responses'!$AF:$AF),"")</f>
        <v/>
      </c>
      <c r="R415" s="3">
        <f>IFERROR(XLOOKUP(A415,'Intake Responses'!$A:$A,'Intake Responses'!$S:$S),"")</f>
        <v/>
      </c>
      <c r="S415" s="3" t="n"/>
      <c r="T415" s="3" t="n"/>
      <c r="U415" s="3" t="n"/>
      <c r="V415" s="3">
        <f>IFERROR(MIN(5,ROUND(((M415+O415)/2)+(IF(J415&gt;=20,2,IF(J415&gt;=10,1.5,IF(J415&gt;=5,1,IF(J415&gt;=1,0.5,0))))),1)),0)</f>
        <v/>
      </c>
      <c r="W415" s="3">
        <f>IFERROR(SWITCH(F415,"Multiple times per day",5,"Daily",4,"Weekly",3,"Monthly",2,"Quarterly",1,"Ad hoc",1,"Unknown",0),0)</f>
        <v/>
      </c>
      <c r="X415" s="3">
        <f>IFERROR(ROUND(AVERAGE(L415,N415),1),0)</f>
        <v/>
      </c>
      <c r="Y415" s="3">
        <f>IFERROR(SWITCH(U415,"High",3,"Medium",2,"Low",0,"Unknown",1,1)+IF(Q415="Yes",2,IF(Q415="Unsure",1,0)),0)</f>
        <v/>
      </c>
      <c r="Z415" s="3">
        <f>IFERROR(ROUND((V415*2)+(W415*1)+(X415*2)+(IF(T415="Easy",2,IF(T415="Medium",1,IF(T415="Hard",-1,0))))-(Y415*2),1),0)</f>
        <v/>
      </c>
      <c r="AA415" s="3">
        <f>IFERROR(IF(S415="Not a fit","Not a Fit",IF(Y415&gt;=5,"High Risk / Needs Review",IF(AND(Z415&gt;=18,T415="Easy"),"Quick Win",IF(AND(Z415&gt;=18,T415&lt;&gt;"Easy"),"Strategic Project",IF(Z415&gt;=10,"Discovery Needed","Process Issue"))))),"")</f>
        <v/>
      </c>
      <c r="AB415" s="3">
        <f>IFERROR(SWITCH(AA415,"Quick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5" s="3" t="n"/>
      <c r="AD415" s="3" t="n"/>
      <c r="AE415" s="3" t="n"/>
    </row>
    <row r="416" ht="25" customHeight="1">
      <c r="A416" s="2" t="n"/>
      <c r="B416" s="2">
        <f>IFERROR(XLOOKUP(A416,'Intake Responses'!$A:$A,'Intake Responses'!$E:$E),"")</f>
        <v/>
      </c>
      <c r="C416" s="2">
        <f>IFERROR(XLOOKUP(A416,'Intake Responses'!$A:$A,'Intake Responses'!$D:$D),"")</f>
        <v/>
      </c>
      <c r="D416" s="2">
        <f>IFERROR(XLOOKUP(A416,'Intake Responses'!$A:$A,'Intake Responses'!$F:$F),"")</f>
        <v/>
      </c>
      <c r="E416" s="2" t="n"/>
      <c r="F416" s="2">
        <f>IFERROR(XLOOKUP(A416,'Intake Responses'!$A:$A,'Intake Responses'!$M:$M),"")</f>
        <v/>
      </c>
      <c r="G416" s="2">
        <f>IFERROR(XLOOKUP(A416,'Intake Responses'!$A:$A,'Intake Responses'!$N:$N),"")</f>
        <v/>
      </c>
      <c r="H416" s="2">
        <f>IFERROR(XLOOKUP(A416,'Intake Responses'!$A:$A,'Intake Responses'!$O:$O),"")</f>
        <v/>
      </c>
      <c r="I416" s="2">
        <f>IFERROR(SWITCH(F416,"Multiple times per day",60,"Daily",20,"Weekly",4,"Monthly",1,"Quarterly",0.33,"Ad hoc",0.5,"Unknown",0),0)</f>
        <v/>
      </c>
      <c r="J416" s="2">
        <f>IFERROR((G416*H416*I416)/60,0)</f>
        <v/>
      </c>
      <c r="K416" s="2">
        <f>IFERROR(J416*12,0)</f>
        <v/>
      </c>
      <c r="L416" s="2">
        <f>IFERROR(XLOOKUP(A416,'Intake Responses'!$A:$A,'Intake Responses'!$T:$T),"")</f>
        <v/>
      </c>
      <c r="M416" s="2">
        <f>IFERROR(XLOOKUP(A416,'Intake Responses'!$A:$A,'Intake Responses'!$U:$U),"")</f>
        <v/>
      </c>
      <c r="N416" s="2">
        <f>IFERROR(XLOOKUP(A416,'Intake Responses'!$A:$A,'Intake Responses'!$V:$V),"")</f>
        <v/>
      </c>
      <c r="O416" s="2">
        <f>IFERROR(XLOOKUP(A416,'Intake Responses'!$A:$A,'Intake Responses'!$W:$W),"")</f>
        <v/>
      </c>
      <c r="P416" s="2">
        <f>IFERROR(XLOOKUP(A416,'Intake Responses'!$A:$A,'Intake Responses'!$X:$X),"")</f>
        <v/>
      </c>
      <c r="Q416" s="2">
        <f>IFERROR(XLOOKUP(A416,'Intake Responses'!$A:$A,'Intake Responses'!$AF:$AF),"")</f>
        <v/>
      </c>
      <c r="R416" s="2">
        <f>IFERROR(XLOOKUP(A416,'Intake Responses'!$A:$A,'Intake Responses'!$S:$S),"")</f>
        <v/>
      </c>
      <c r="S416" s="2" t="n"/>
      <c r="T416" s="2" t="n"/>
      <c r="U416" s="2" t="n"/>
      <c r="V416" s="2">
        <f>IFERROR(MIN(5,ROUND(((M416+O416)/2)+(IF(J416&gt;=20,2,IF(J416&gt;=10,1.5,IF(J416&gt;=5,1,IF(J416&gt;=1,0.5,0))))),1)),0)</f>
        <v/>
      </c>
      <c r="W416" s="2">
        <f>IFERROR(SWITCH(F416,"Multiple times per day",5,"Daily",4,"Weekly",3,"Monthly",2,"Quarterly",1,"Ad hoc",1,"Unknown",0),0)</f>
        <v/>
      </c>
      <c r="X416" s="2">
        <f>IFERROR(ROUND(AVERAGE(L416,N416),1),0)</f>
        <v/>
      </c>
      <c r="Y416" s="2">
        <f>IFERROR(SWITCH(U416,"High",3,"Medium",2,"Low",0,"Unknown",1,1)+IF(Q416="Yes",2,IF(Q416="Unsure",1,0)),0)</f>
        <v/>
      </c>
      <c r="Z416" s="2">
        <f>IFERROR(ROUND((V416*2)+(W416*1)+(X416*2)+(IF(T416="Easy",2,IF(T416="Medium",1,IF(T416="Hard",-1,0))))-(Y416*2),1),0)</f>
        <v/>
      </c>
      <c r="AA416" s="2">
        <f>IFERROR(IF(S416="Not a fit","Not a Fit",IF(Y416&gt;=5,"High Risk / Needs Review",IF(AND(Z416&gt;=18,T416="Easy"),"Quick Win",IF(AND(Z416&gt;=18,T416&lt;&gt;"Easy"),"Strategic Project",IF(Z416&gt;=10,"Discovery Needed","Process Issue"))))),"")</f>
        <v/>
      </c>
      <c r="AB416" s="2">
        <f>IFERROR(SWITCH(AA416,"Quick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6" s="2" t="n"/>
      <c r="AD416" s="2" t="n"/>
      <c r="AE416" s="2" t="n"/>
    </row>
    <row r="417" ht="25" customHeight="1">
      <c r="A417" s="3" t="n"/>
      <c r="B417" s="3">
        <f>IFERROR(XLOOKUP(A417,'Intake Responses'!$A:$A,'Intake Responses'!$E:$E),"")</f>
        <v/>
      </c>
      <c r="C417" s="3">
        <f>IFERROR(XLOOKUP(A417,'Intake Responses'!$A:$A,'Intake Responses'!$D:$D),"")</f>
        <v/>
      </c>
      <c r="D417" s="3">
        <f>IFERROR(XLOOKUP(A417,'Intake Responses'!$A:$A,'Intake Responses'!$F:$F),"")</f>
        <v/>
      </c>
      <c r="E417" s="3" t="n"/>
      <c r="F417" s="3">
        <f>IFERROR(XLOOKUP(A417,'Intake Responses'!$A:$A,'Intake Responses'!$M:$M),"")</f>
        <v/>
      </c>
      <c r="G417" s="3">
        <f>IFERROR(XLOOKUP(A417,'Intake Responses'!$A:$A,'Intake Responses'!$N:$N),"")</f>
        <v/>
      </c>
      <c r="H417" s="3">
        <f>IFERROR(XLOOKUP(A417,'Intake Responses'!$A:$A,'Intake Responses'!$O:$O),"")</f>
        <v/>
      </c>
      <c r="I417" s="3">
        <f>IFERROR(SWITCH(F417,"Multiple times per day",60,"Daily",20,"Weekly",4,"Monthly",1,"Quarterly",0.33,"Ad hoc",0.5,"Unknown",0),0)</f>
        <v/>
      </c>
      <c r="J417" s="3">
        <f>IFERROR((G417*H417*I417)/60,0)</f>
        <v/>
      </c>
      <c r="K417" s="3">
        <f>IFERROR(J417*12,0)</f>
        <v/>
      </c>
      <c r="L417" s="3">
        <f>IFERROR(XLOOKUP(A417,'Intake Responses'!$A:$A,'Intake Responses'!$T:$T),"")</f>
        <v/>
      </c>
      <c r="M417" s="3">
        <f>IFERROR(XLOOKUP(A417,'Intake Responses'!$A:$A,'Intake Responses'!$U:$U),"")</f>
        <v/>
      </c>
      <c r="N417" s="3">
        <f>IFERROR(XLOOKUP(A417,'Intake Responses'!$A:$A,'Intake Responses'!$V:$V),"")</f>
        <v/>
      </c>
      <c r="O417" s="3">
        <f>IFERROR(XLOOKUP(A417,'Intake Responses'!$A:$A,'Intake Responses'!$W:$W),"")</f>
        <v/>
      </c>
      <c r="P417" s="3">
        <f>IFERROR(XLOOKUP(A417,'Intake Responses'!$A:$A,'Intake Responses'!$X:$X),"")</f>
        <v/>
      </c>
      <c r="Q417" s="3">
        <f>IFERROR(XLOOKUP(A417,'Intake Responses'!$A:$A,'Intake Responses'!$AF:$AF),"")</f>
        <v/>
      </c>
      <c r="R417" s="3">
        <f>IFERROR(XLOOKUP(A417,'Intake Responses'!$A:$A,'Intake Responses'!$S:$S),"")</f>
        <v/>
      </c>
      <c r="S417" s="3" t="n"/>
      <c r="T417" s="3" t="n"/>
      <c r="U417" s="3" t="n"/>
      <c r="V417" s="3">
        <f>IFERROR(MIN(5,ROUND(((M417+O417)/2)+(IF(J417&gt;=20,2,IF(J417&gt;=10,1.5,IF(J417&gt;=5,1,IF(J417&gt;=1,0.5,0))))),1)),0)</f>
        <v/>
      </c>
      <c r="W417" s="3">
        <f>IFERROR(SWITCH(F417,"Multiple times per day",5,"Daily",4,"Weekly",3,"Monthly",2,"Quarterly",1,"Ad hoc",1,"Unknown",0),0)</f>
        <v/>
      </c>
      <c r="X417" s="3">
        <f>IFERROR(ROUND(AVERAGE(L417,N417),1),0)</f>
        <v/>
      </c>
      <c r="Y417" s="3">
        <f>IFERROR(SWITCH(U417,"High",3,"Medium",2,"Low",0,"Unknown",1,1)+IF(Q417="Yes",2,IF(Q417="Unsure",1,0)),0)</f>
        <v/>
      </c>
      <c r="Z417" s="3">
        <f>IFERROR(ROUND((V417*2)+(W417*1)+(X417*2)+(IF(T417="Easy",2,IF(T417="Medium",1,IF(T417="Hard",-1,0))))-(Y417*2),1),0)</f>
        <v/>
      </c>
      <c r="AA417" s="3">
        <f>IFERROR(IF(S417="Not a fit","Not a Fit",IF(Y417&gt;=5,"High Risk / Needs Review",IF(AND(Z417&gt;=18,T417="Easy"),"Quick Win",IF(AND(Z417&gt;=18,T417&lt;&gt;"Easy"),"Strategic Project",IF(Z417&gt;=10,"Discovery Needed","Process Issue"))))),"")</f>
        <v/>
      </c>
      <c r="AB417" s="3">
        <f>IFERROR(SWITCH(AA417,"Quick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7" s="3" t="n"/>
      <c r="AD417" s="3" t="n"/>
      <c r="AE417" s="3" t="n"/>
    </row>
    <row r="418" ht="25" customHeight="1">
      <c r="A418" s="2" t="n"/>
      <c r="B418" s="2">
        <f>IFERROR(XLOOKUP(A418,'Intake Responses'!$A:$A,'Intake Responses'!$E:$E),"")</f>
        <v/>
      </c>
      <c r="C418" s="2">
        <f>IFERROR(XLOOKUP(A418,'Intake Responses'!$A:$A,'Intake Responses'!$D:$D),"")</f>
        <v/>
      </c>
      <c r="D418" s="2">
        <f>IFERROR(XLOOKUP(A418,'Intake Responses'!$A:$A,'Intake Responses'!$F:$F),"")</f>
        <v/>
      </c>
      <c r="E418" s="2" t="n"/>
      <c r="F418" s="2">
        <f>IFERROR(XLOOKUP(A418,'Intake Responses'!$A:$A,'Intake Responses'!$M:$M),"")</f>
        <v/>
      </c>
      <c r="G418" s="2">
        <f>IFERROR(XLOOKUP(A418,'Intake Responses'!$A:$A,'Intake Responses'!$N:$N),"")</f>
        <v/>
      </c>
      <c r="H418" s="2">
        <f>IFERROR(XLOOKUP(A418,'Intake Responses'!$A:$A,'Intake Responses'!$O:$O),"")</f>
        <v/>
      </c>
      <c r="I418" s="2">
        <f>IFERROR(SWITCH(F418,"Multiple times per day",60,"Daily",20,"Weekly",4,"Monthly",1,"Quarterly",0.33,"Ad hoc",0.5,"Unknown",0),0)</f>
        <v/>
      </c>
      <c r="J418" s="2">
        <f>IFERROR((G418*H418*I418)/60,0)</f>
        <v/>
      </c>
      <c r="K418" s="2">
        <f>IFERROR(J418*12,0)</f>
        <v/>
      </c>
      <c r="L418" s="2">
        <f>IFERROR(XLOOKUP(A418,'Intake Responses'!$A:$A,'Intake Responses'!$T:$T),"")</f>
        <v/>
      </c>
      <c r="M418" s="2">
        <f>IFERROR(XLOOKUP(A418,'Intake Responses'!$A:$A,'Intake Responses'!$U:$U),"")</f>
        <v/>
      </c>
      <c r="N418" s="2">
        <f>IFERROR(XLOOKUP(A418,'Intake Responses'!$A:$A,'Intake Responses'!$V:$V),"")</f>
        <v/>
      </c>
      <c r="O418" s="2">
        <f>IFERROR(XLOOKUP(A418,'Intake Responses'!$A:$A,'Intake Responses'!$W:$W),"")</f>
        <v/>
      </c>
      <c r="P418" s="2">
        <f>IFERROR(XLOOKUP(A418,'Intake Responses'!$A:$A,'Intake Responses'!$X:$X),"")</f>
        <v/>
      </c>
      <c r="Q418" s="2">
        <f>IFERROR(XLOOKUP(A418,'Intake Responses'!$A:$A,'Intake Responses'!$AF:$AF),"")</f>
        <v/>
      </c>
      <c r="R418" s="2">
        <f>IFERROR(XLOOKUP(A418,'Intake Responses'!$A:$A,'Intake Responses'!$S:$S),"")</f>
        <v/>
      </c>
      <c r="S418" s="2" t="n"/>
      <c r="T418" s="2" t="n"/>
      <c r="U418" s="2" t="n"/>
      <c r="V418" s="2">
        <f>IFERROR(MIN(5,ROUND(((M418+O418)/2)+(IF(J418&gt;=20,2,IF(J418&gt;=10,1.5,IF(J418&gt;=5,1,IF(J418&gt;=1,0.5,0))))),1)),0)</f>
        <v/>
      </c>
      <c r="W418" s="2">
        <f>IFERROR(SWITCH(F418,"Multiple times per day",5,"Daily",4,"Weekly",3,"Monthly",2,"Quarterly",1,"Ad hoc",1,"Unknown",0),0)</f>
        <v/>
      </c>
      <c r="X418" s="2">
        <f>IFERROR(ROUND(AVERAGE(L418,N418),1),0)</f>
        <v/>
      </c>
      <c r="Y418" s="2">
        <f>IFERROR(SWITCH(U418,"High",3,"Medium",2,"Low",0,"Unknown",1,1)+IF(Q418="Yes",2,IF(Q418="Unsure",1,0)),0)</f>
        <v/>
      </c>
      <c r="Z418" s="2">
        <f>IFERROR(ROUND((V418*2)+(W418*1)+(X418*2)+(IF(T418="Easy",2,IF(T418="Medium",1,IF(T418="Hard",-1,0))))-(Y418*2),1),0)</f>
        <v/>
      </c>
      <c r="AA418" s="2">
        <f>IFERROR(IF(S418="Not a fit","Not a Fit",IF(Y418&gt;=5,"High Risk / Needs Review",IF(AND(Z418&gt;=18,T418="Easy"),"Quick Win",IF(AND(Z418&gt;=18,T418&lt;&gt;"Easy"),"Strategic Project",IF(Z418&gt;=10,"Discovery Needed","Process Issue"))))),"")</f>
        <v/>
      </c>
      <c r="AB418" s="2">
        <f>IFERROR(SWITCH(AA418,"Quick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8" s="2" t="n"/>
      <c r="AD418" s="2" t="n"/>
      <c r="AE418" s="2" t="n"/>
    </row>
    <row r="419" ht="25" customHeight="1">
      <c r="A419" s="3" t="n"/>
      <c r="B419" s="3">
        <f>IFERROR(XLOOKUP(A419,'Intake Responses'!$A:$A,'Intake Responses'!$E:$E),"")</f>
        <v/>
      </c>
      <c r="C419" s="3">
        <f>IFERROR(XLOOKUP(A419,'Intake Responses'!$A:$A,'Intake Responses'!$D:$D),"")</f>
        <v/>
      </c>
      <c r="D419" s="3">
        <f>IFERROR(XLOOKUP(A419,'Intake Responses'!$A:$A,'Intake Responses'!$F:$F),"")</f>
        <v/>
      </c>
      <c r="E419" s="3" t="n"/>
      <c r="F419" s="3">
        <f>IFERROR(XLOOKUP(A419,'Intake Responses'!$A:$A,'Intake Responses'!$M:$M),"")</f>
        <v/>
      </c>
      <c r="G419" s="3">
        <f>IFERROR(XLOOKUP(A419,'Intake Responses'!$A:$A,'Intake Responses'!$N:$N),"")</f>
        <v/>
      </c>
      <c r="H419" s="3">
        <f>IFERROR(XLOOKUP(A419,'Intake Responses'!$A:$A,'Intake Responses'!$O:$O),"")</f>
        <v/>
      </c>
      <c r="I419" s="3">
        <f>IFERROR(SWITCH(F419,"Multiple times per day",60,"Daily",20,"Weekly",4,"Monthly",1,"Quarterly",0.33,"Ad hoc",0.5,"Unknown",0),0)</f>
        <v/>
      </c>
      <c r="J419" s="3">
        <f>IFERROR((G419*H419*I419)/60,0)</f>
        <v/>
      </c>
      <c r="K419" s="3">
        <f>IFERROR(J419*12,0)</f>
        <v/>
      </c>
      <c r="L419" s="3">
        <f>IFERROR(XLOOKUP(A419,'Intake Responses'!$A:$A,'Intake Responses'!$T:$T),"")</f>
        <v/>
      </c>
      <c r="M419" s="3">
        <f>IFERROR(XLOOKUP(A419,'Intake Responses'!$A:$A,'Intake Responses'!$U:$U),"")</f>
        <v/>
      </c>
      <c r="N419" s="3">
        <f>IFERROR(XLOOKUP(A419,'Intake Responses'!$A:$A,'Intake Responses'!$V:$V),"")</f>
        <v/>
      </c>
      <c r="O419" s="3">
        <f>IFERROR(XLOOKUP(A419,'Intake Responses'!$A:$A,'Intake Responses'!$W:$W),"")</f>
        <v/>
      </c>
      <c r="P419" s="3">
        <f>IFERROR(XLOOKUP(A419,'Intake Responses'!$A:$A,'Intake Responses'!$X:$X),"")</f>
        <v/>
      </c>
      <c r="Q419" s="3">
        <f>IFERROR(XLOOKUP(A419,'Intake Responses'!$A:$A,'Intake Responses'!$AF:$AF),"")</f>
        <v/>
      </c>
      <c r="R419" s="3">
        <f>IFERROR(XLOOKUP(A419,'Intake Responses'!$A:$A,'Intake Responses'!$S:$S),"")</f>
        <v/>
      </c>
      <c r="S419" s="3" t="n"/>
      <c r="T419" s="3" t="n"/>
      <c r="U419" s="3" t="n"/>
      <c r="V419" s="3">
        <f>IFERROR(MIN(5,ROUND(((M419+O419)/2)+(IF(J419&gt;=20,2,IF(J419&gt;=10,1.5,IF(J419&gt;=5,1,IF(J419&gt;=1,0.5,0))))),1)),0)</f>
        <v/>
      </c>
      <c r="W419" s="3">
        <f>IFERROR(SWITCH(F419,"Multiple times per day",5,"Daily",4,"Weekly",3,"Monthly",2,"Quarterly",1,"Ad hoc",1,"Unknown",0),0)</f>
        <v/>
      </c>
      <c r="X419" s="3">
        <f>IFERROR(ROUND(AVERAGE(L419,N419),1),0)</f>
        <v/>
      </c>
      <c r="Y419" s="3">
        <f>IFERROR(SWITCH(U419,"High",3,"Medium",2,"Low",0,"Unknown",1,1)+IF(Q419="Yes",2,IF(Q419="Unsure",1,0)),0)</f>
        <v/>
      </c>
      <c r="Z419" s="3">
        <f>IFERROR(ROUND((V419*2)+(W419*1)+(X419*2)+(IF(T419="Easy",2,IF(T419="Medium",1,IF(T419="Hard",-1,0))))-(Y419*2),1),0)</f>
        <v/>
      </c>
      <c r="AA419" s="3">
        <f>IFERROR(IF(S419="Not a fit","Not a Fit",IF(Y419&gt;=5,"High Risk / Needs Review",IF(AND(Z419&gt;=18,T419="Easy"),"Quick Win",IF(AND(Z419&gt;=18,T419&lt;&gt;"Easy"),"Strategic Project",IF(Z419&gt;=10,"Discovery Needed","Process Issue"))))),"")</f>
        <v/>
      </c>
      <c r="AB419" s="3">
        <f>IFERROR(SWITCH(AA419,"Quick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19" s="3" t="n"/>
      <c r="AD419" s="3" t="n"/>
      <c r="AE419" s="3" t="n"/>
    </row>
    <row r="420" ht="25" customHeight="1">
      <c r="A420" s="2" t="n"/>
      <c r="B420" s="2">
        <f>IFERROR(XLOOKUP(A420,'Intake Responses'!$A:$A,'Intake Responses'!$E:$E),"")</f>
        <v/>
      </c>
      <c r="C420" s="2">
        <f>IFERROR(XLOOKUP(A420,'Intake Responses'!$A:$A,'Intake Responses'!$D:$D),"")</f>
        <v/>
      </c>
      <c r="D420" s="2">
        <f>IFERROR(XLOOKUP(A420,'Intake Responses'!$A:$A,'Intake Responses'!$F:$F),"")</f>
        <v/>
      </c>
      <c r="E420" s="2" t="n"/>
      <c r="F420" s="2">
        <f>IFERROR(XLOOKUP(A420,'Intake Responses'!$A:$A,'Intake Responses'!$M:$M),"")</f>
        <v/>
      </c>
      <c r="G420" s="2">
        <f>IFERROR(XLOOKUP(A420,'Intake Responses'!$A:$A,'Intake Responses'!$N:$N),"")</f>
        <v/>
      </c>
      <c r="H420" s="2">
        <f>IFERROR(XLOOKUP(A420,'Intake Responses'!$A:$A,'Intake Responses'!$O:$O),"")</f>
        <v/>
      </c>
      <c r="I420" s="2">
        <f>IFERROR(SWITCH(F420,"Multiple times per day",60,"Daily",20,"Weekly",4,"Monthly",1,"Quarterly",0.33,"Ad hoc",0.5,"Unknown",0),0)</f>
        <v/>
      </c>
      <c r="J420" s="2">
        <f>IFERROR((G420*H420*I420)/60,0)</f>
        <v/>
      </c>
      <c r="K420" s="2">
        <f>IFERROR(J420*12,0)</f>
        <v/>
      </c>
      <c r="L420" s="2">
        <f>IFERROR(XLOOKUP(A420,'Intake Responses'!$A:$A,'Intake Responses'!$T:$T),"")</f>
        <v/>
      </c>
      <c r="M420" s="2">
        <f>IFERROR(XLOOKUP(A420,'Intake Responses'!$A:$A,'Intake Responses'!$U:$U),"")</f>
        <v/>
      </c>
      <c r="N420" s="2">
        <f>IFERROR(XLOOKUP(A420,'Intake Responses'!$A:$A,'Intake Responses'!$V:$V),"")</f>
        <v/>
      </c>
      <c r="O420" s="2">
        <f>IFERROR(XLOOKUP(A420,'Intake Responses'!$A:$A,'Intake Responses'!$W:$W),"")</f>
        <v/>
      </c>
      <c r="P420" s="2">
        <f>IFERROR(XLOOKUP(A420,'Intake Responses'!$A:$A,'Intake Responses'!$X:$X),"")</f>
        <v/>
      </c>
      <c r="Q420" s="2">
        <f>IFERROR(XLOOKUP(A420,'Intake Responses'!$A:$A,'Intake Responses'!$AF:$AF),"")</f>
        <v/>
      </c>
      <c r="R420" s="2">
        <f>IFERROR(XLOOKUP(A420,'Intake Responses'!$A:$A,'Intake Responses'!$S:$S),"")</f>
        <v/>
      </c>
      <c r="S420" s="2" t="n"/>
      <c r="T420" s="2" t="n"/>
      <c r="U420" s="2" t="n"/>
      <c r="V420" s="2">
        <f>IFERROR(MIN(5,ROUND(((M420+O420)/2)+(IF(J420&gt;=20,2,IF(J420&gt;=10,1.5,IF(J420&gt;=5,1,IF(J420&gt;=1,0.5,0))))),1)),0)</f>
        <v/>
      </c>
      <c r="W420" s="2">
        <f>IFERROR(SWITCH(F420,"Multiple times per day",5,"Daily",4,"Weekly",3,"Monthly",2,"Quarterly",1,"Ad hoc",1,"Unknown",0),0)</f>
        <v/>
      </c>
      <c r="X420" s="2">
        <f>IFERROR(ROUND(AVERAGE(L420,N420),1),0)</f>
        <v/>
      </c>
      <c r="Y420" s="2">
        <f>IFERROR(SWITCH(U420,"High",3,"Medium",2,"Low",0,"Unknown",1,1)+IF(Q420="Yes",2,IF(Q420="Unsure",1,0)),0)</f>
        <v/>
      </c>
      <c r="Z420" s="2">
        <f>IFERROR(ROUND((V420*2)+(W420*1)+(X420*2)+(IF(T420="Easy",2,IF(T420="Medium",1,IF(T420="Hard",-1,0))))-(Y420*2),1),0)</f>
        <v/>
      </c>
      <c r="AA420" s="2">
        <f>IFERROR(IF(S420="Not a fit","Not a Fit",IF(Y420&gt;=5,"High Risk / Needs Review",IF(AND(Z420&gt;=18,T420="Easy"),"Quick Win",IF(AND(Z420&gt;=18,T420&lt;&gt;"Easy"),"Strategic Project",IF(Z420&gt;=10,"Discovery Needed","Process Issue"))))),"")</f>
        <v/>
      </c>
      <c r="AB420" s="2">
        <f>IFERROR(SWITCH(AA420,"Quick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0" s="2" t="n"/>
      <c r="AD420" s="2" t="n"/>
      <c r="AE420" s="2" t="n"/>
    </row>
    <row r="421" ht="25" customHeight="1">
      <c r="A421" s="3" t="n"/>
      <c r="B421" s="3">
        <f>IFERROR(XLOOKUP(A421,'Intake Responses'!$A:$A,'Intake Responses'!$E:$E),"")</f>
        <v/>
      </c>
      <c r="C421" s="3">
        <f>IFERROR(XLOOKUP(A421,'Intake Responses'!$A:$A,'Intake Responses'!$D:$D),"")</f>
        <v/>
      </c>
      <c r="D421" s="3">
        <f>IFERROR(XLOOKUP(A421,'Intake Responses'!$A:$A,'Intake Responses'!$F:$F),"")</f>
        <v/>
      </c>
      <c r="E421" s="3" t="n"/>
      <c r="F421" s="3">
        <f>IFERROR(XLOOKUP(A421,'Intake Responses'!$A:$A,'Intake Responses'!$M:$M),"")</f>
        <v/>
      </c>
      <c r="G421" s="3">
        <f>IFERROR(XLOOKUP(A421,'Intake Responses'!$A:$A,'Intake Responses'!$N:$N),"")</f>
        <v/>
      </c>
      <c r="H421" s="3">
        <f>IFERROR(XLOOKUP(A421,'Intake Responses'!$A:$A,'Intake Responses'!$O:$O),"")</f>
        <v/>
      </c>
      <c r="I421" s="3">
        <f>IFERROR(SWITCH(F421,"Multiple times per day",60,"Daily",20,"Weekly",4,"Monthly",1,"Quarterly",0.33,"Ad hoc",0.5,"Unknown",0),0)</f>
        <v/>
      </c>
      <c r="J421" s="3">
        <f>IFERROR((G421*H421*I421)/60,0)</f>
        <v/>
      </c>
      <c r="K421" s="3">
        <f>IFERROR(J421*12,0)</f>
        <v/>
      </c>
      <c r="L421" s="3">
        <f>IFERROR(XLOOKUP(A421,'Intake Responses'!$A:$A,'Intake Responses'!$T:$T),"")</f>
        <v/>
      </c>
      <c r="M421" s="3">
        <f>IFERROR(XLOOKUP(A421,'Intake Responses'!$A:$A,'Intake Responses'!$U:$U),"")</f>
        <v/>
      </c>
      <c r="N421" s="3">
        <f>IFERROR(XLOOKUP(A421,'Intake Responses'!$A:$A,'Intake Responses'!$V:$V),"")</f>
        <v/>
      </c>
      <c r="O421" s="3">
        <f>IFERROR(XLOOKUP(A421,'Intake Responses'!$A:$A,'Intake Responses'!$W:$W),"")</f>
        <v/>
      </c>
      <c r="P421" s="3">
        <f>IFERROR(XLOOKUP(A421,'Intake Responses'!$A:$A,'Intake Responses'!$X:$X),"")</f>
        <v/>
      </c>
      <c r="Q421" s="3">
        <f>IFERROR(XLOOKUP(A421,'Intake Responses'!$A:$A,'Intake Responses'!$AF:$AF),"")</f>
        <v/>
      </c>
      <c r="R421" s="3">
        <f>IFERROR(XLOOKUP(A421,'Intake Responses'!$A:$A,'Intake Responses'!$S:$S),"")</f>
        <v/>
      </c>
      <c r="S421" s="3" t="n"/>
      <c r="T421" s="3" t="n"/>
      <c r="U421" s="3" t="n"/>
      <c r="V421" s="3">
        <f>IFERROR(MIN(5,ROUND(((M421+O421)/2)+(IF(J421&gt;=20,2,IF(J421&gt;=10,1.5,IF(J421&gt;=5,1,IF(J421&gt;=1,0.5,0))))),1)),0)</f>
        <v/>
      </c>
      <c r="W421" s="3">
        <f>IFERROR(SWITCH(F421,"Multiple times per day",5,"Daily",4,"Weekly",3,"Monthly",2,"Quarterly",1,"Ad hoc",1,"Unknown",0),0)</f>
        <v/>
      </c>
      <c r="X421" s="3">
        <f>IFERROR(ROUND(AVERAGE(L421,N421),1),0)</f>
        <v/>
      </c>
      <c r="Y421" s="3">
        <f>IFERROR(SWITCH(U421,"High",3,"Medium",2,"Low",0,"Unknown",1,1)+IF(Q421="Yes",2,IF(Q421="Unsure",1,0)),0)</f>
        <v/>
      </c>
      <c r="Z421" s="3">
        <f>IFERROR(ROUND((V421*2)+(W421*1)+(X421*2)+(IF(T421="Easy",2,IF(T421="Medium",1,IF(T421="Hard",-1,0))))-(Y421*2),1),0)</f>
        <v/>
      </c>
      <c r="AA421" s="3">
        <f>IFERROR(IF(S421="Not a fit","Not a Fit",IF(Y421&gt;=5,"High Risk / Needs Review",IF(AND(Z421&gt;=18,T421="Easy"),"Quick Win",IF(AND(Z421&gt;=18,T421&lt;&gt;"Easy"),"Strategic Project",IF(Z421&gt;=10,"Discovery Needed","Process Issue"))))),"")</f>
        <v/>
      </c>
      <c r="AB421" s="3">
        <f>IFERROR(SWITCH(AA421,"Quick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1" s="3" t="n"/>
      <c r="AD421" s="3" t="n"/>
      <c r="AE421" s="3" t="n"/>
    </row>
    <row r="422" ht="25" customHeight="1">
      <c r="A422" s="2" t="n"/>
      <c r="B422" s="2">
        <f>IFERROR(XLOOKUP(A422,'Intake Responses'!$A:$A,'Intake Responses'!$E:$E),"")</f>
        <v/>
      </c>
      <c r="C422" s="2">
        <f>IFERROR(XLOOKUP(A422,'Intake Responses'!$A:$A,'Intake Responses'!$D:$D),"")</f>
        <v/>
      </c>
      <c r="D422" s="2">
        <f>IFERROR(XLOOKUP(A422,'Intake Responses'!$A:$A,'Intake Responses'!$F:$F),"")</f>
        <v/>
      </c>
      <c r="E422" s="2" t="n"/>
      <c r="F422" s="2">
        <f>IFERROR(XLOOKUP(A422,'Intake Responses'!$A:$A,'Intake Responses'!$M:$M),"")</f>
        <v/>
      </c>
      <c r="G422" s="2">
        <f>IFERROR(XLOOKUP(A422,'Intake Responses'!$A:$A,'Intake Responses'!$N:$N),"")</f>
        <v/>
      </c>
      <c r="H422" s="2">
        <f>IFERROR(XLOOKUP(A422,'Intake Responses'!$A:$A,'Intake Responses'!$O:$O),"")</f>
        <v/>
      </c>
      <c r="I422" s="2">
        <f>IFERROR(SWITCH(F422,"Multiple times per day",60,"Daily",20,"Weekly",4,"Monthly",1,"Quarterly",0.33,"Ad hoc",0.5,"Unknown",0),0)</f>
        <v/>
      </c>
      <c r="J422" s="2">
        <f>IFERROR((G422*H422*I422)/60,0)</f>
        <v/>
      </c>
      <c r="K422" s="2">
        <f>IFERROR(J422*12,0)</f>
        <v/>
      </c>
      <c r="L422" s="2">
        <f>IFERROR(XLOOKUP(A422,'Intake Responses'!$A:$A,'Intake Responses'!$T:$T),"")</f>
        <v/>
      </c>
      <c r="M422" s="2">
        <f>IFERROR(XLOOKUP(A422,'Intake Responses'!$A:$A,'Intake Responses'!$U:$U),"")</f>
        <v/>
      </c>
      <c r="N422" s="2">
        <f>IFERROR(XLOOKUP(A422,'Intake Responses'!$A:$A,'Intake Responses'!$V:$V),"")</f>
        <v/>
      </c>
      <c r="O422" s="2">
        <f>IFERROR(XLOOKUP(A422,'Intake Responses'!$A:$A,'Intake Responses'!$W:$W),"")</f>
        <v/>
      </c>
      <c r="P422" s="2">
        <f>IFERROR(XLOOKUP(A422,'Intake Responses'!$A:$A,'Intake Responses'!$X:$X),"")</f>
        <v/>
      </c>
      <c r="Q422" s="2">
        <f>IFERROR(XLOOKUP(A422,'Intake Responses'!$A:$A,'Intake Responses'!$AF:$AF),"")</f>
        <v/>
      </c>
      <c r="R422" s="2">
        <f>IFERROR(XLOOKUP(A422,'Intake Responses'!$A:$A,'Intake Responses'!$S:$S),"")</f>
        <v/>
      </c>
      <c r="S422" s="2" t="n"/>
      <c r="T422" s="2" t="n"/>
      <c r="U422" s="2" t="n"/>
      <c r="V422" s="2">
        <f>IFERROR(MIN(5,ROUND(((M422+O422)/2)+(IF(J422&gt;=20,2,IF(J422&gt;=10,1.5,IF(J422&gt;=5,1,IF(J422&gt;=1,0.5,0))))),1)),0)</f>
        <v/>
      </c>
      <c r="W422" s="2">
        <f>IFERROR(SWITCH(F422,"Multiple times per day",5,"Daily",4,"Weekly",3,"Monthly",2,"Quarterly",1,"Ad hoc",1,"Unknown",0),0)</f>
        <v/>
      </c>
      <c r="X422" s="2">
        <f>IFERROR(ROUND(AVERAGE(L422,N422),1),0)</f>
        <v/>
      </c>
      <c r="Y422" s="2">
        <f>IFERROR(SWITCH(U422,"High",3,"Medium",2,"Low",0,"Unknown",1,1)+IF(Q422="Yes",2,IF(Q422="Unsure",1,0)),0)</f>
        <v/>
      </c>
      <c r="Z422" s="2">
        <f>IFERROR(ROUND((V422*2)+(W422*1)+(X422*2)+(IF(T422="Easy",2,IF(T422="Medium",1,IF(T422="Hard",-1,0))))-(Y422*2),1),0)</f>
        <v/>
      </c>
      <c r="AA422" s="2">
        <f>IFERROR(IF(S422="Not a fit","Not a Fit",IF(Y422&gt;=5,"High Risk / Needs Review",IF(AND(Z422&gt;=18,T422="Easy"),"Quick Win",IF(AND(Z422&gt;=18,T422&lt;&gt;"Easy"),"Strategic Project",IF(Z422&gt;=10,"Discovery Needed","Process Issue"))))),"")</f>
        <v/>
      </c>
      <c r="AB422" s="2">
        <f>IFERROR(SWITCH(AA422,"Quick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2" s="2" t="n"/>
      <c r="AD422" s="2" t="n"/>
      <c r="AE422" s="2" t="n"/>
    </row>
    <row r="423" ht="25" customHeight="1">
      <c r="A423" s="3" t="n"/>
      <c r="B423" s="3">
        <f>IFERROR(XLOOKUP(A423,'Intake Responses'!$A:$A,'Intake Responses'!$E:$E),"")</f>
        <v/>
      </c>
      <c r="C423" s="3">
        <f>IFERROR(XLOOKUP(A423,'Intake Responses'!$A:$A,'Intake Responses'!$D:$D),"")</f>
        <v/>
      </c>
      <c r="D423" s="3">
        <f>IFERROR(XLOOKUP(A423,'Intake Responses'!$A:$A,'Intake Responses'!$F:$F),"")</f>
        <v/>
      </c>
      <c r="E423" s="3" t="n"/>
      <c r="F423" s="3">
        <f>IFERROR(XLOOKUP(A423,'Intake Responses'!$A:$A,'Intake Responses'!$M:$M),"")</f>
        <v/>
      </c>
      <c r="G423" s="3">
        <f>IFERROR(XLOOKUP(A423,'Intake Responses'!$A:$A,'Intake Responses'!$N:$N),"")</f>
        <v/>
      </c>
      <c r="H423" s="3">
        <f>IFERROR(XLOOKUP(A423,'Intake Responses'!$A:$A,'Intake Responses'!$O:$O),"")</f>
        <v/>
      </c>
      <c r="I423" s="3">
        <f>IFERROR(SWITCH(F423,"Multiple times per day",60,"Daily",20,"Weekly",4,"Monthly",1,"Quarterly",0.33,"Ad hoc",0.5,"Unknown",0),0)</f>
        <v/>
      </c>
      <c r="J423" s="3">
        <f>IFERROR((G423*H423*I423)/60,0)</f>
        <v/>
      </c>
      <c r="K423" s="3">
        <f>IFERROR(J423*12,0)</f>
        <v/>
      </c>
      <c r="L423" s="3">
        <f>IFERROR(XLOOKUP(A423,'Intake Responses'!$A:$A,'Intake Responses'!$T:$T),"")</f>
        <v/>
      </c>
      <c r="M423" s="3">
        <f>IFERROR(XLOOKUP(A423,'Intake Responses'!$A:$A,'Intake Responses'!$U:$U),"")</f>
        <v/>
      </c>
      <c r="N423" s="3">
        <f>IFERROR(XLOOKUP(A423,'Intake Responses'!$A:$A,'Intake Responses'!$V:$V),"")</f>
        <v/>
      </c>
      <c r="O423" s="3">
        <f>IFERROR(XLOOKUP(A423,'Intake Responses'!$A:$A,'Intake Responses'!$W:$W),"")</f>
        <v/>
      </c>
      <c r="P423" s="3">
        <f>IFERROR(XLOOKUP(A423,'Intake Responses'!$A:$A,'Intake Responses'!$X:$X),"")</f>
        <v/>
      </c>
      <c r="Q423" s="3">
        <f>IFERROR(XLOOKUP(A423,'Intake Responses'!$A:$A,'Intake Responses'!$AF:$AF),"")</f>
        <v/>
      </c>
      <c r="R423" s="3">
        <f>IFERROR(XLOOKUP(A423,'Intake Responses'!$A:$A,'Intake Responses'!$S:$S),"")</f>
        <v/>
      </c>
      <c r="S423" s="3" t="n"/>
      <c r="T423" s="3" t="n"/>
      <c r="U423" s="3" t="n"/>
      <c r="V423" s="3">
        <f>IFERROR(MIN(5,ROUND(((M423+O423)/2)+(IF(J423&gt;=20,2,IF(J423&gt;=10,1.5,IF(J423&gt;=5,1,IF(J423&gt;=1,0.5,0))))),1)),0)</f>
        <v/>
      </c>
      <c r="W423" s="3">
        <f>IFERROR(SWITCH(F423,"Multiple times per day",5,"Daily",4,"Weekly",3,"Monthly",2,"Quarterly",1,"Ad hoc",1,"Unknown",0),0)</f>
        <v/>
      </c>
      <c r="X423" s="3">
        <f>IFERROR(ROUND(AVERAGE(L423,N423),1),0)</f>
        <v/>
      </c>
      <c r="Y423" s="3">
        <f>IFERROR(SWITCH(U423,"High",3,"Medium",2,"Low",0,"Unknown",1,1)+IF(Q423="Yes",2,IF(Q423="Unsure",1,0)),0)</f>
        <v/>
      </c>
      <c r="Z423" s="3">
        <f>IFERROR(ROUND((V423*2)+(W423*1)+(X423*2)+(IF(T423="Easy",2,IF(T423="Medium",1,IF(T423="Hard",-1,0))))-(Y423*2),1),0)</f>
        <v/>
      </c>
      <c r="AA423" s="3">
        <f>IFERROR(IF(S423="Not a fit","Not a Fit",IF(Y423&gt;=5,"High Risk / Needs Review",IF(AND(Z423&gt;=18,T423="Easy"),"Quick Win",IF(AND(Z423&gt;=18,T423&lt;&gt;"Easy"),"Strategic Project",IF(Z423&gt;=10,"Discovery Needed","Process Issue"))))),"")</f>
        <v/>
      </c>
      <c r="AB423" s="3">
        <f>IFERROR(SWITCH(AA423,"Quick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3" s="3" t="n"/>
      <c r="AD423" s="3" t="n"/>
      <c r="AE423" s="3" t="n"/>
    </row>
    <row r="424" ht="25" customHeight="1">
      <c r="A424" s="2" t="n"/>
      <c r="B424" s="2">
        <f>IFERROR(XLOOKUP(A424,'Intake Responses'!$A:$A,'Intake Responses'!$E:$E),"")</f>
        <v/>
      </c>
      <c r="C424" s="2">
        <f>IFERROR(XLOOKUP(A424,'Intake Responses'!$A:$A,'Intake Responses'!$D:$D),"")</f>
        <v/>
      </c>
      <c r="D424" s="2">
        <f>IFERROR(XLOOKUP(A424,'Intake Responses'!$A:$A,'Intake Responses'!$F:$F),"")</f>
        <v/>
      </c>
      <c r="E424" s="2" t="n"/>
      <c r="F424" s="2">
        <f>IFERROR(XLOOKUP(A424,'Intake Responses'!$A:$A,'Intake Responses'!$M:$M),"")</f>
        <v/>
      </c>
      <c r="G424" s="2">
        <f>IFERROR(XLOOKUP(A424,'Intake Responses'!$A:$A,'Intake Responses'!$N:$N),"")</f>
        <v/>
      </c>
      <c r="H424" s="2">
        <f>IFERROR(XLOOKUP(A424,'Intake Responses'!$A:$A,'Intake Responses'!$O:$O),"")</f>
        <v/>
      </c>
      <c r="I424" s="2">
        <f>IFERROR(SWITCH(F424,"Multiple times per day",60,"Daily",20,"Weekly",4,"Monthly",1,"Quarterly",0.33,"Ad hoc",0.5,"Unknown",0),0)</f>
        <v/>
      </c>
      <c r="J424" s="2">
        <f>IFERROR((G424*H424*I424)/60,0)</f>
        <v/>
      </c>
      <c r="K424" s="2">
        <f>IFERROR(J424*12,0)</f>
        <v/>
      </c>
      <c r="L424" s="2">
        <f>IFERROR(XLOOKUP(A424,'Intake Responses'!$A:$A,'Intake Responses'!$T:$T),"")</f>
        <v/>
      </c>
      <c r="M424" s="2">
        <f>IFERROR(XLOOKUP(A424,'Intake Responses'!$A:$A,'Intake Responses'!$U:$U),"")</f>
        <v/>
      </c>
      <c r="N424" s="2">
        <f>IFERROR(XLOOKUP(A424,'Intake Responses'!$A:$A,'Intake Responses'!$V:$V),"")</f>
        <v/>
      </c>
      <c r="O424" s="2">
        <f>IFERROR(XLOOKUP(A424,'Intake Responses'!$A:$A,'Intake Responses'!$W:$W),"")</f>
        <v/>
      </c>
      <c r="P424" s="2">
        <f>IFERROR(XLOOKUP(A424,'Intake Responses'!$A:$A,'Intake Responses'!$X:$X),"")</f>
        <v/>
      </c>
      <c r="Q424" s="2">
        <f>IFERROR(XLOOKUP(A424,'Intake Responses'!$A:$A,'Intake Responses'!$AF:$AF),"")</f>
        <v/>
      </c>
      <c r="R424" s="2">
        <f>IFERROR(XLOOKUP(A424,'Intake Responses'!$A:$A,'Intake Responses'!$S:$S),"")</f>
        <v/>
      </c>
      <c r="S424" s="2" t="n"/>
      <c r="T424" s="2" t="n"/>
      <c r="U424" s="2" t="n"/>
      <c r="V424" s="2">
        <f>IFERROR(MIN(5,ROUND(((M424+O424)/2)+(IF(J424&gt;=20,2,IF(J424&gt;=10,1.5,IF(J424&gt;=5,1,IF(J424&gt;=1,0.5,0))))),1)),0)</f>
        <v/>
      </c>
      <c r="W424" s="2">
        <f>IFERROR(SWITCH(F424,"Multiple times per day",5,"Daily",4,"Weekly",3,"Monthly",2,"Quarterly",1,"Ad hoc",1,"Unknown",0),0)</f>
        <v/>
      </c>
      <c r="X424" s="2">
        <f>IFERROR(ROUND(AVERAGE(L424,N424),1),0)</f>
        <v/>
      </c>
      <c r="Y424" s="2">
        <f>IFERROR(SWITCH(U424,"High",3,"Medium",2,"Low",0,"Unknown",1,1)+IF(Q424="Yes",2,IF(Q424="Unsure",1,0)),0)</f>
        <v/>
      </c>
      <c r="Z424" s="2">
        <f>IFERROR(ROUND((V424*2)+(W424*1)+(X424*2)+(IF(T424="Easy",2,IF(T424="Medium",1,IF(T424="Hard",-1,0))))-(Y424*2),1),0)</f>
        <v/>
      </c>
      <c r="AA424" s="2">
        <f>IFERROR(IF(S424="Not a fit","Not a Fit",IF(Y424&gt;=5,"High Risk / Needs Review",IF(AND(Z424&gt;=18,T424="Easy"),"Quick Win",IF(AND(Z424&gt;=18,T424&lt;&gt;"Easy"),"Strategic Project",IF(Z424&gt;=10,"Discovery Needed","Process Issue"))))),"")</f>
        <v/>
      </c>
      <c r="AB424" s="2">
        <f>IFERROR(SWITCH(AA424,"Quick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4" s="2" t="n"/>
      <c r="AD424" s="2" t="n"/>
      <c r="AE424" s="2" t="n"/>
    </row>
    <row r="425" ht="25" customHeight="1">
      <c r="A425" s="3" t="n"/>
      <c r="B425" s="3">
        <f>IFERROR(XLOOKUP(A425,'Intake Responses'!$A:$A,'Intake Responses'!$E:$E),"")</f>
        <v/>
      </c>
      <c r="C425" s="3">
        <f>IFERROR(XLOOKUP(A425,'Intake Responses'!$A:$A,'Intake Responses'!$D:$D),"")</f>
        <v/>
      </c>
      <c r="D425" s="3">
        <f>IFERROR(XLOOKUP(A425,'Intake Responses'!$A:$A,'Intake Responses'!$F:$F),"")</f>
        <v/>
      </c>
      <c r="E425" s="3" t="n"/>
      <c r="F425" s="3">
        <f>IFERROR(XLOOKUP(A425,'Intake Responses'!$A:$A,'Intake Responses'!$M:$M),"")</f>
        <v/>
      </c>
      <c r="G425" s="3">
        <f>IFERROR(XLOOKUP(A425,'Intake Responses'!$A:$A,'Intake Responses'!$N:$N),"")</f>
        <v/>
      </c>
      <c r="H425" s="3">
        <f>IFERROR(XLOOKUP(A425,'Intake Responses'!$A:$A,'Intake Responses'!$O:$O),"")</f>
        <v/>
      </c>
      <c r="I425" s="3">
        <f>IFERROR(SWITCH(F425,"Multiple times per day",60,"Daily",20,"Weekly",4,"Monthly",1,"Quarterly",0.33,"Ad hoc",0.5,"Unknown",0),0)</f>
        <v/>
      </c>
      <c r="J425" s="3">
        <f>IFERROR((G425*H425*I425)/60,0)</f>
        <v/>
      </c>
      <c r="K425" s="3">
        <f>IFERROR(J425*12,0)</f>
        <v/>
      </c>
      <c r="L425" s="3">
        <f>IFERROR(XLOOKUP(A425,'Intake Responses'!$A:$A,'Intake Responses'!$T:$T),"")</f>
        <v/>
      </c>
      <c r="M425" s="3">
        <f>IFERROR(XLOOKUP(A425,'Intake Responses'!$A:$A,'Intake Responses'!$U:$U),"")</f>
        <v/>
      </c>
      <c r="N425" s="3">
        <f>IFERROR(XLOOKUP(A425,'Intake Responses'!$A:$A,'Intake Responses'!$V:$V),"")</f>
        <v/>
      </c>
      <c r="O425" s="3">
        <f>IFERROR(XLOOKUP(A425,'Intake Responses'!$A:$A,'Intake Responses'!$W:$W),"")</f>
        <v/>
      </c>
      <c r="P425" s="3">
        <f>IFERROR(XLOOKUP(A425,'Intake Responses'!$A:$A,'Intake Responses'!$X:$X),"")</f>
        <v/>
      </c>
      <c r="Q425" s="3">
        <f>IFERROR(XLOOKUP(A425,'Intake Responses'!$A:$A,'Intake Responses'!$AF:$AF),"")</f>
        <v/>
      </c>
      <c r="R425" s="3">
        <f>IFERROR(XLOOKUP(A425,'Intake Responses'!$A:$A,'Intake Responses'!$S:$S),"")</f>
        <v/>
      </c>
      <c r="S425" s="3" t="n"/>
      <c r="T425" s="3" t="n"/>
      <c r="U425" s="3" t="n"/>
      <c r="V425" s="3">
        <f>IFERROR(MIN(5,ROUND(((M425+O425)/2)+(IF(J425&gt;=20,2,IF(J425&gt;=10,1.5,IF(J425&gt;=5,1,IF(J425&gt;=1,0.5,0))))),1)),0)</f>
        <v/>
      </c>
      <c r="W425" s="3">
        <f>IFERROR(SWITCH(F425,"Multiple times per day",5,"Daily",4,"Weekly",3,"Monthly",2,"Quarterly",1,"Ad hoc",1,"Unknown",0),0)</f>
        <v/>
      </c>
      <c r="X425" s="3">
        <f>IFERROR(ROUND(AVERAGE(L425,N425),1),0)</f>
        <v/>
      </c>
      <c r="Y425" s="3">
        <f>IFERROR(SWITCH(U425,"High",3,"Medium",2,"Low",0,"Unknown",1,1)+IF(Q425="Yes",2,IF(Q425="Unsure",1,0)),0)</f>
        <v/>
      </c>
      <c r="Z425" s="3">
        <f>IFERROR(ROUND((V425*2)+(W425*1)+(X425*2)+(IF(T425="Easy",2,IF(T425="Medium",1,IF(T425="Hard",-1,0))))-(Y425*2),1),0)</f>
        <v/>
      </c>
      <c r="AA425" s="3">
        <f>IFERROR(IF(S425="Not a fit","Not a Fit",IF(Y425&gt;=5,"High Risk / Needs Review",IF(AND(Z425&gt;=18,T425="Easy"),"Quick Win",IF(AND(Z425&gt;=18,T425&lt;&gt;"Easy"),"Strategic Project",IF(Z425&gt;=10,"Discovery Needed","Process Issue"))))),"")</f>
        <v/>
      </c>
      <c r="AB425" s="3">
        <f>IFERROR(SWITCH(AA425,"Quick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5" s="3" t="n"/>
      <c r="AD425" s="3" t="n"/>
      <c r="AE425" s="3" t="n"/>
    </row>
    <row r="426" ht="25" customHeight="1">
      <c r="A426" s="2" t="n"/>
      <c r="B426" s="2">
        <f>IFERROR(XLOOKUP(A426,'Intake Responses'!$A:$A,'Intake Responses'!$E:$E),"")</f>
        <v/>
      </c>
      <c r="C426" s="2">
        <f>IFERROR(XLOOKUP(A426,'Intake Responses'!$A:$A,'Intake Responses'!$D:$D),"")</f>
        <v/>
      </c>
      <c r="D426" s="2">
        <f>IFERROR(XLOOKUP(A426,'Intake Responses'!$A:$A,'Intake Responses'!$F:$F),"")</f>
        <v/>
      </c>
      <c r="E426" s="2" t="n"/>
      <c r="F426" s="2">
        <f>IFERROR(XLOOKUP(A426,'Intake Responses'!$A:$A,'Intake Responses'!$M:$M),"")</f>
        <v/>
      </c>
      <c r="G426" s="2">
        <f>IFERROR(XLOOKUP(A426,'Intake Responses'!$A:$A,'Intake Responses'!$N:$N),"")</f>
        <v/>
      </c>
      <c r="H426" s="2">
        <f>IFERROR(XLOOKUP(A426,'Intake Responses'!$A:$A,'Intake Responses'!$O:$O),"")</f>
        <v/>
      </c>
      <c r="I426" s="2">
        <f>IFERROR(SWITCH(F426,"Multiple times per day",60,"Daily",20,"Weekly",4,"Monthly",1,"Quarterly",0.33,"Ad hoc",0.5,"Unknown",0),0)</f>
        <v/>
      </c>
      <c r="J426" s="2">
        <f>IFERROR((G426*H426*I426)/60,0)</f>
        <v/>
      </c>
      <c r="K426" s="2">
        <f>IFERROR(J426*12,0)</f>
        <v/>
      </c>
      <c r="L426" s="2">
        <f>IFERROR(XLOOKUP(A426,'Intake Responses'!$A:$A,'Intake Responses'!$T:$T),"")</f>
        <v/>
      </c>
      <c r="M426" s="2">
        <f>IFERROR(XLOOKUP(A426,'Intake Responses'!$A:$A,'Intake Responses'!$U:$U),"")</f>
        <v/>
      </c>
      <c r="N426" s="2">
        <f>IFERROR(XLOOKUP(A426,'Intake Responses'!$A:$A,'Intake Responses'!$V:$V),"")</f>
        <v/>
      </c>
      <c r="O426" s="2">
        <f>IFERROR(XLOOKUP(A426,'Intake Responses'!$A:$A,'Intake Responses'!$W:$W),"")</f>
        <v/>
      </c>
      <c r="P426" s="2">
        <f>IFERROR(XLOOKUP(A426,'Intake Responses'!$A:$A,'Intake Responses'!$X:$X),"")</f>
        <v/>
      </c>
      <c r="Q426" s="2">
        <f>IFERROR(XLOOKUP(A426,'Intake Responses'!$A:$A,'Intake Responses'!$AF:$AF),"")</f>
        <v/>
      </c>
      <c r="R426" s="2">
        <f>IFERROR(XLOOKUP(A426,'Intake Responses'!$A:$A,'Intake Responses'!$S:$S),"")</f>
        <v/>
      </c>
      <c r="S426" s="2" t="n"/>
      <c r="T426" s="2" t="n"/>
      <c r="U426" s="2" t="n"/>
      <c r="V426" s="2">
        <f>IFERROR(MIN(5,ROUND(((M426+O426)/2)+(IF(J426&gt;=20,2,IF(J426&gt;=10,1.5,IF(J426&gt;=5,1,IF(J426&gt;=1,0.5,0))))),1)),0)</f>
        <v/>
      </c>
      <c r="W426" s="2">
        <f>IFERROR(SWITCH(F426,"Multiple times per day",5,"Daily",4,"Weekly",3,"Monthly",2,"Quarterly",1,"Ad hoc",1,"Unknown",0),0)</f>
        <v/>
      </c>
      <c r="X426" s="2">
        <f>IFERROR(ROUND(AVERAGE(L426,N426),1),0)</f>
        <v/>
      </c>
      <c r="Y426" s="2">
        <f>IFERROR(SWITCH(U426,"High",3,"Medium",2,"Low",0,"Unknown",1,1)+IF(Q426="Yes",2,IF(Q426="Unsure",1,0)),0)</f>
        <v/>
      </c>
      <c r="Z426" s="2">
        <f>IFERROR(ROUND((V426*2)+(W426*1)+(X426*2)+(IF(T426="Easy",2,IF(T426="Medium",1,IF(T426="Hard",-1,0))))-(Y426*2),1),0)</f>
        <v/>
      </c>
      <c r="AA426" s="2">
        <f>IFERROR(IF(S426="Not a fit","Not a Fit",IF(Y426&gt;=5,"High Risk / Needs Review",IF(AND(Z426&gt;=18,T426="Easy"),"Quick Win",IF(AND(Z426&gt;=18,T426&lt;&gt;"Easy"),"Strategic Project",IF(Z426&gt;=10,"Discovery Needed","Process Issue"))))),"")</f>
        <v/>
      </c>
      <c r="AB426" s="2">
        <f>IFERROR(SWITCH(AA426,"Quick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6" s="2" t="n"/>
      <c r="AD426" s="2" t="n"/>
      <c r="AE426" s="2" t="n"/>
    </row>
    <row r="427" ht="25" customHeight="1">
      <c r="A427" s="3" t="n"/>
      <c r="B427" s="3">
        <f>IFERROR(XLOOKUP(A427,'Intake Responses'!$A:$A,'Intake Responses'!$E:$E),"")</f>
        <v/>
      </c>
      <c r="C427" s="3">
        <f>IFERROR(XLOOKUP(A427,'Intake Responses'!$A:$A,'Intake Responses'!$D:$D),"")</f>
        <v/>
      </c>
      <c r="D427" s="3">
        <f>IFERROR(XLOOKUP(A427,'Intake Responses'!$A:$A,'Intake Responses'!$F:$F),"")</f>
        <v/>
      </c>
      <c r="E427" s="3" t="n"/>
      <c r="F427" s="3">
        <f>IFERROR(XLOOKUP(A427,'Intake Responses'!$A:$A,'Intake Responses'!$M:$M),"")</f>
        <v/>
      </c>
      <c r="G427" s="3">
        <f>IFERROR(XLOOKUP(A427,'Intake Responses'!$A:$A,'Intake Responses'!$N:$N),"")</f>
        <v/>
      </c>
      <c r="H427" s="3">
        <f>IFERROR(XLOOKUP(A427,'Intake Responses'!$A:$A,'Intake Responses'!$O:$O),"")</f>
        <v/>
      </c>
      <c r="I427" s="3">
        <f>IFERROR(SWITCH(F427,"Multiple times per day",60,"Daily",20,"Weekly",4,"Monthly",1,"Quarterly",0.33,"Ad hoc",0.5,"Unknown",0),0)</f>
        <v/>
      </c>
      <c r="J427" s="3">
        <f>IFERROR((G427*H427*I427)/60,0)</f>
        <v/>
      </c>
      <c r="K427" s="3">
        <f>IFERROR(J427*12,0)</f>
        <v/>
      </c>
      <c r="L427" s="3">
        <f>IFERROR(XLOOKUP(A427,'Intake Responses'!$A:$A,'Intake Responses'!$T:$T),"")</f>
        <v/>
      </c>
      <c r="M427" s="3">
        <f>IFERROR(XLOOKUP(A427,'Intake Responses'!$A:$A,'Intake Responses'!$U:$U),"")</f>
        <v/>
      </c>
      <c r="N427" s="3">
        <f>IFERROR(XLOOKUP(A427,'Intake Responses'!$A:$A,'Intake Responses'!$V:$V),"")</f>
        <v/>
      </c>
      <c r="O427" s="3">
        <f>IFERROR(XLOOKUP(A427,'Intake Responses'!$A:$A,'Intake Responses'!$W:$W),"")</f>
        <v/>
      </c>
      <c r="P427" s="3">
        <f>IFERROR(XLOOKUP(A427,'Intake Responses'!$A:$A,'Intake Responses'!$X:$X),"")</f>
        <v/>
      </c>
      <c r="Q427" s="3">
        <f>IFERROR(XLOOKUP(A427,'Intake Responses'!$A:$A,'Intake Responses'!$AF:$AF),"")</f>
        <v/>
      </c>
      <c r="R427" s="3">
        <f>IFERROR(XLOOKUP(A427,'Intake Responses'!$A:$A,'Intake Responses'!$S:$S),"")</f>
        <v/>
      </c>
      <c r="S427" s="3" t="n"/>
      <c r="T427" s="3" t="n"/>
      <c r="U427" s="3" t="n"/>
      <c r="V427" s="3">
        <f>IFERROR(MIN(5,ROUND(((M427+O427)/2)+(IF(J427&gt;=20,2,IF(J427&gt;=10,1.5,IF(J427&gt;=5,1,IF(J427&gt;=1,0.5,0))))),1)),0)</f>
        <v/>
      </c>
      <c r="W427" s="3">
        <f>IFERROR(SWITCH(F427,"Multiple times per day",5,"Daily",4,"Weekly",3,"Monthly",2,"Quarterly",1,"Ad hoc",1,"Unknown",0),0)</f>
        <v/>
      </c>
      <c r="X427" s="3">
        <f>IFERROR(ROUND(AVERAGE(L427,N427),1),0)</f>
        <v/>
      </c>
      <c r="Y427" s="3">
        <f>IFERROR(SWITCH(U427,"High",3,"Medium",2,"Low",0,"Unknown",1,1)+IF(Q427="Yes",2,IF(Q427="Unsure",1,0)),0)</f>
        <v/>
      </c>
      <c r="Z427" s="3">
        <f>IFERROR(ROUND((V427*2)+(W427*1)+(X427*2)+(IF(T427="Easy",2,IF(T427="Medium",1,IF(T427="Hard",-1,0))))-(Y427*2),1),0)</f>
        <v/>
      </c>
      <c r="AA427" s="3">
        <f>IFERROR(IF(S427="Not a fit","Not a Fit",IF(Y427&gt;=5,"High Risk / Needs Review",IF(AND(Z427&gt;=18,T427="Easy"),"Quick Win",IF(AND(Z427&gt;=18,T427&lt;&gt;"Easy"),"Strategic Project",IF(Z427&gt;=10,"Discovery Needed","Process Issue"))))),"")</f>
        <v/>
      </c>
      <c r="AB427" s="3">
        <f>IFERROR(SWITCH(AA427,"Quick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7" s="3" t="n"/>
      <c r="AD427" s="3" t="n"/>
      <c r="AE427" s="3" t="n"/>
    </row>
    <row r="428" ht="25" customHeight="1">
      <c r="A428" s="2" t="n"/>
      <c r="B428" s="2">
        <f>IFERROR(XLOOKUP(A428,'Intake Responses'!$A:$A,'Intake Responses'!$E:$E),"")</f>
        <v/>
      </c>
      <c r="C428" s="2">
        <f>IFERROR(XLOOKUP(A428,'Intake Responses'!$A:$A,'Intake Responses'!$D:$D),"")</f>
        <v/>
      </c>
      <c r="D428" s="2">
        <f>IFERROR(XLOOKUP(A428,'Intake Responses'!$A:$A,'Intake Responses'!$F:$F),"")</f>
        <v/>
      </c>
      <c r="E428" s="2" t="n"/>
      <c r="F428" s="2">
        <f>IFERROR(XLOOKUP(A428,'Intake Responses'!$A:$A,'Intake Responses'!$M:$M),"")</f>
        <v/>
      </c>
      <c r="G428" s="2">
        <f>IFERROR(XLOOKUP(A428,'Intake Responses'!$A:$A,'Intake Responses'!$N:$N),"")</f>
        <v/>
      </c>
      <c r="H428" s="2">
        <f>IFERROR(XLOOKUP(A428,'Intake Responses'!$A:$A,'Intake Responses'!$O:$O),"")</f>
        <v/>
      </c>
      <c r="I428" s="2">
        <f>IFERROR(SWITCH(F428,"Multiple times per day",60,"Daily",20,"Weekly",4,"Monthly",1,"Quarterly",0.33,"Ad hoc",0.5,"Unknown",0),0)</f>
        <v/>
      </c>
      <c r="J428" s="2">
        <f>IFERROR((G428*H428*I428)/60,0)</f>
        <v/>
      </c>
      <c r="K428" s="2">
        <f>IFERROR(J428*12,0)</f>
        <v/>
      </c>
      <c r="L428" s="2">
        <f>IFERROR(XLOOKUP(A428,'Intake Responses'!$A:$A,'Intake Responses'!$T:$T),"")</f>
        <v/>
      </c>
      <c r="M428" s="2">
        <f>IFERROR(XLOOKUP(A428,'Intake Responses'!$A:$A,'Intake Responses'!$U:$U),"")</f>
        <v/>
      </c>
      <c r="N428" s="2">
        <f>IFERROR(XLOOKUP(A428,'Intake Responses'!$A:$A,'Intake Responses'!$V:$V),"")</f>
        <v/>
      </c>
      <c r="O428" s="2">
        <f>IFERROR(XLOOKUP(A428,'Intake Responses'!$A:$A,'Intake Responses'!$W:$W),"")</f>
        <v/>
      </c>
      <c r="P428" s="2">
        <f>IFERROR(XLOOKUP(A428,'Intake Responses'!$A:$A,'Intake Responses'!$X:$X),"")</f>
        <v/>
      </c>
      <c r="Q428" s="2">
        <f>IFERROR(XLOOKUP(A428,'Intake Responses'!$A:$A,'Intake Responses'!$AF:$AF),"")</f>
        <v/>
      </c>
      <c r="R428" s="2">
        <f>IFERROR(XLOOKUP(A428,'Intake Responses'!$A:$A,'Intake Responses'!$S:$S),"")</f>
        <v/>
      </c>
      <c r="S428" s="2" t="n"/>
      <c r="T428" s="2" t="n"/>
      <c r="U428" s="2" t="n"/>
      <c r="V428" s="2">
        <f>IFERROR(MIN(5,ROUND(((M428+O428)/2)+(IF(J428&gt;=20,2,IF(J428&gt;=10,1.5,IF(J428&gt;=5,1,IF(J428&gt;=1,0.5,0))))),1)),0)</f>
        <v/>
      </c>
      <c r="W428" s="2">
        <f>IFERROR(SWITCH(F428,"Multiple times per day",5,"Daily",4,"Weekly",3,"Monthly",2,"Quarterly",1,"Ad hoc",1,"Unknown",0),0)</f>
        <v/>
      </c>
      <c r="X428" s="2">
        <f>IFERROR(ROUND(AVERAGE(L428,N428),1),0)</f>
        <v/>
      </c>
      <c r="Y428" s="2">
        <f>IFERROR(SWITCH(U428,"High",3,"Medium",2,"Low",0,"Unknown",1,1)+IF(Q428="Yes",2,IF(Q428="Unsure",1,0)),0)</f>
        <v/>
      </c>
      <c r="Z428" s="2">
        <f>IFERROR(ROUND((V428*2)+(W428*1)+(X428*2)+(IF(T428="Easy",2,IF(T428="Medium",1,IF(T428="Hard",-1,0))))-(Y428*2),1),0)</f>
        <v/>
      </c>
      <c r="AA428" s="2">
        <f>IFERROR(IF(S428="Not a fit","Not a Fit",IF(Y428&gt;=5,"High Risk / Needs Review",IF(AND(Z428&gt;=18,T428="Easy"),"Quick Win",IF(AND(Z428&gt;=18,T428&lt;&gt;"Easy"),"Strategic Project",IF(Z428&gt;=10,"Discovery Needed","Process Issue"))))),"")</f>
        <v/>
      </c>
      <c r="AB428" s="2">
        <f>IFERROR(SWITCH(AA428,"Quick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8" s="2" t="n"/>
      <c r="AD428" s="2" t="n"/>
      <c r="AE428" s="2" t="n"/>
    </row>
    <row r="429" ht="25" customHeight="1">
      <c r="A429" s="3" t="n"/>
      <c r="B429" s="3">
        <f>IFERROR(XLOOKUP(A429,'Intake Responses'!$A:$A,'Intake Responses'!$E:$E),"")</f>
        <v/>
      </c>
      <c r="C429" s="3">
        <f>IFERROR(XLOOKUP(A429,'Intake Responses'!$A:$A,'Intake Responses'!$D:$D),"")</f>
        <v/>
      </c>
      <c r="D429" s="3">
        <f>IFERROR(XLOOKUP(A429,'Intake Responses'!$A:$A,'Intake Responses'!$F:$F),"")</f>
        <v/>
      </c>
      <c r="E429" s="3" t="n"/>
      <c r="F429" s="3">
        <f>IFERROR(XLOOKUP(A429,'Intake Responses'!$A:$A,'Intake Responses'!$M:$M),"")</f>
        <v/>
      </c>
      <c r="G429" s="3">
        <f>IFERROR(XLOOKUP(A429,'Intake Responses'!$A:$A,'Intake Responses'!$N:$N),"")</f>
        <v/>
      </c>
      <c r="H429" s="3">
        <f>IFERROR(XLOOKUP(A429,'Intake Responses'!$A:$A,'Intake Responses'!$O:$O),"")</f>
        <v/>
      </c>
      <c r="I429" s="3">
        <f>IFERROR(SWITCH(F429,"Multiple times per day",60,"Daily",20,"Weekly",4,"Monthly",1,"Quarterly",0.33,"Ad hoc",0.5,"Unknown",0),0)</f>
        <v/>
      </c>
      <c r="J429" s="3">
        <f>IFERROR((G429*H429*I429)/60,0)</f>
        <v/>
      </c>
      <c r="K429" s="3">
        <f>IFERROR(J429*12,0)</f>
        <v/>
      </c>
      <c r="L429" s="3">
        <f>IFERROR(XLOOKUP(A429,'Intake Responses'!$A:$A,'Intake Responses'!$T:$T),"")</f>
        <v/>
      </c>
      <c r="M429" s="3">
        <f>IFERROR(XLOOKUP(A429,'Intake Responses'!$A:$A,'Intake Responses'!$U:$U),"")</f>
        <v/>
      </c>
      <c r="N429" s="3">
        <f>IFERROR(XLOOKUP(A429,'Intake Responses'!$A:$A,'Intake Responses'!$V:$V),"")</f>
        <v/>
      </c>
      <c r="O429" s="3">
        <f>IFERROR(XLOOKUP(A429,'Intake Responses'!$A:$A,'Intake Responses'!$W:$W),"")</f>
        <v/>
      </c>
      <c r="P429" s="3">
        <f>IFERROR(XLOOKUP(A429,'Intake Responses'!$A:$A,'Intake Responses'!$X:$X),"")</f>
        <v/>
      </c>
      <c r="Q429" s="3">
        <f>IFERROR(XLOOKUP(A429,'Intake Responses'!$A:$A,'Intake Responses'!$AF:$AF),"")</f>
        <v/>
      </c>
      <c r="R429" s="3">
        <f>IFERROR(XLOOKUP(A429,'Intake Responses'!$A:$A,'Intake Responses'!$S:$S),"")</f>
        <v/>
      </c>
      <c r="S429" s="3" t="n"/>
      <c r="T429" s="3" t="n"/>
      <c r="U429" s="3" t="n"/>
      <c r="V429" s="3">
        <f>IFERROR(MIN(5,ROUND(((M429+O429)/2)+(IF(J429&gt;=20,2,IF(J429&gt;=10,1.5,IF(J429&gt;=5,1,IF(J429&gt;=1,0.5,0))))),1)),0)</f>
        <v/>
      </c>
      <c r="W429" s="3">
        <f>IFERROR(SWITCH(F429,"Multiple times per day",5,"Daily",4,"Weekly",3,"Monthly",2,"Quarterly",1,"Ad hoc",1,"Unknown",0),0)</f>
        <v/>
      </c>
      <c r="X429" s="3">
        <f>IFERROR(ROUND(AVERAGE(L429,N429),1),0)</f>
        <v/>
      </c>
      <c r="Y429" s="3">
        <f>IFERROR(SWITCH(U429,"High",3,"Medium",2,"Low",0,"Unknown",1,1)+IF(Q429="Yes",2,IF(Q429="Unsure",1,0)),0)</f>
        <v/>
      </c>
      <c r="Z429" s="3">
        <f>IFERROR(ROUND((V429*2)+(W429*1)+(X429*2)+(IF(T429="Easy",2,IF(T429="Medium",1,IF(T429="Hard",-1,0))))-(Y429*2),1),0)</f>
        <v/>
      </c>
      <c r="AA429" s="3">
        <f>IFERROR(IF(S429="Not a fit","Not a Fit",IF(Y429&gt;=5,"High Risk / Needs Review",IF(AND(Z429&gt;=18,T429="Easy"),"Quick Win",IF(AND(Z429&gt;=18,T429&lt;&gt;"Easy"),"Strategic Project",IF(Z429&gt;=10,"Discovery Needed","Process Issue"))))),"")</f>
        <v/>
      </c>
      <c r="AB429" s="3">
        <f>IFERROR(SWITCH(AA429,"Quick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29" s="3" t="n"/>
      <c r="AD429" s="3" t="n"/>
      <c r="AE429" s="3" t="n"/>
    </row>
    <row r="430" ht="25" customHeight="1">
      <c r="A430" s="2" t="n"/>
      <c r="B430" s="2">
        <f>IFERROR(XLOOKUP(A430,'Intake Responses'!$A:$A,'Intake Responses'!$E:$E),"")</f>
        <v/>
      </c>
      <c r="C430" s="2">
        <f>IFERROR(XLOOKUP(A430,'Intake Responses'!$A:$A,'Intake Responses'!$D:$D),"")</f>
        <v/>
      </c>
      <c r="D430" s="2">
        <f>IFERROR(XLOOKUP(A430,'Intake Responses'!$A:$A,'Intake Responses'!$F:$F),"")</f>
        <v/>
      </c>
      <c r="E430" s="2" t="n"/>
      <c r="F430" s="2">
        <f>IFERROR(XLOOKUP(A430,'Intake Responses'!$A:$A,'Intake Responses'!$M:$M),"")</f>
        <v/>
      </c>
      <c r="G430" s="2">
        <f>IFERROR(XLOOKUP(A430,'Intake Responses'!$A:$A,'Intake Responses'!$N:$N),"")</f>
        <v/>
      </c>
      <c r="H430" s="2">
        <f>IFERROR(XLOOKUP(A430,'Intake Responses'!$A:$A,'Intake Responses'!$O:$O),"")</f>
        <v/>
      </c>
      <c r="I430" s="2">
        <f>IFERROR(SWITCH(F430,"Multiple times per day",60,"Daily",20,"Weekly",4,"Monthly",1,"Quarterly",0.33,"Ad hoc",0.5,"Unknown",0),0)</f>
        <v/>
      </c>
      <c r="J430" s="2">
        <f>IFERROR((G430*H430*I430)/60,0)</f>
        <v/>
      </c>
      <c r="K430" s="2">
        <f>IFERROR(J430*12,0)</f>
        <v/>
      </c>
      <c r="L430" s="2">
        <f>IFERROR(XLOOKUP(A430,'Intake Responses'!$A:$A,'Intake Responses'!$T:$T),"")</f>
        <v/>
      </c>
      <c r="M430" s="2">
        <f>IFERROR(XLOOKUP(A430,'Intake Responses'!$A:$A,'Intake Responses'!$U:$U),"")</f>
        <v/>
      </c>
      <c r="N430" s="2">
        <f>IFERROR(XLOOKUP(A430,'Intake Responses'!$A:$A,'Intake Responses'!$V:$V),"")</f>
        <v/>
      </c>
      <c r="O430" s="2">
        <f>IFERROR(XLOOKUP(A430,'Intake Responses'!$A:$A,'Intake Responses'!$W:$W),"")</f>
        <v/>
      </c>
      <c r="P430" s="2">
        <f>IFERROR(XLOOKUP(A430,'Intake Responses'!$A:$A,'Intake Responses'!$X:$X),"")</f>
        <v/>
      </c>
      <c r="Q430" s="2">
        <f>IFERROR(XLOOKUP(A430,'Intake Responses'!$A:$A,'Intake Responses'!$AF:$AF),"")</f>
        <v/>
      </c>
      <c r="R430" s="2">
        <f>IFERROR(XLOOKUP(A430,'Intake Responses'!$A:$A,'Intake Responses'!$S:$S),"")</f>
        <v/>
      </c>
      <c r="S430" s="2" t="n"/>
      <c r="T430" s="2" t="n"/>
      <c r="U430" s="2" t="n"/>
      <c r="V430" s="2">
        <f>IFERROR(MIN(5,ROUND(((M430+O430)/2)+(IF(J430&gt;=20,2,IF(J430&gt;=10,1.5,IF(J430&gt;=5,1,IF(J430&gt;=1,0.5,0))))),1)),0)</f>
        <v/>
      </c>
      <c r="W430" s="2">
        <f>IFERROR(SWITCH(F430,"Multiple times per day",5,"Daily",4,"Weekly",3,"Monthly",2,"Quarterly",1,"Ad hoc",1,"Unknown",0),0)</f>
        <v/>
      </c>
      <c r="X430" s="2">
        <f>IFERROR(ROUND(AVERAGE(L430,N430),1),0)</f>
        <v/>
      </c>
      <c r="Y430" s="2">
        <f>IFERROR(SWITCH(U430,"High",3,"Medium",2,"Low",0,"Unknown",1,1)+IF(Q430="Yes",2,IF(Q430="Unsure",1,0)),0)</f>
        <v/>
      </c>
      <c r="Z430" s="2">
        <f>IFERROR(ROUND((V430*2)+(W430*1)+(X430*2)+(IF(T430="Easy",2,IF(T430="Medium",1,IF(T430="Hard",-1,0))))-(Y430*2),1),0)</f>
        <v/>
      </c>
      <c r="AA430" s="2">
        <f>IFERROR(IF(S430="Not a fit","Not a Fit",IF(Y430&gt;=5,"High Risk / Needs Review",IF(AND(Z430&gt;=18,T430="Easy"),"Quick Win",IF(AND(Z430&gt;=18,T430&lt;&gt;"Easy"),"Strategic Project",IF(Z430&gt;=10,"Discovery Needed","Process Issue"))))),"")</f>
        <v/>
      </c>
      <c r="AB430" s="2">
        <f>IFERROR(SWITCH(AA430,"Quick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0" s="2" t="n"/>
      <c r="AD430" s="2" t="n"/>
      <c r="AE430" s="2" t="n"/>
    </row>
    <row r="431" ht="25" customHeight="1">
      <c r="A431" s="3" t="n"/>
      <c r="B431" s="3">
        <f>IFERROR(XLOOKUP(A431,'Intake Responses'!$A:$A,'Intake Responses'!$E:$E),"")</f>
        <v/>
      </c>
      <c r="C431" s="3">
        <f>IFERROR(XLOOKUP(A431,'Intake Responses'!$A:$A,'Intake Responses'!$D:$D),"")</f>
        <v/>
      </c>
      <c r="D431" s="3">
        <f>IFERROR(XLOOKUP(A431,'Intake Responses'!$A:$A,'Intake Responses'!$F:$F),"")</f>
        <v/>
      </c>
      <c r="E431" s="3" t="n"/>
      <c r="F431" s="3">
        <f>IFERROR(XLOOKUP(A431,'Intake Responses'!$A:$A,'Intake Responses'!$M:$M),"")</f>
        <v/>
      </c>
      <c r="G431" s="3">
        <f>IFERROR(XLOOKUP(A431,'Intake Responses'!$A:$A,'Intake Responses'!$N:$N),"")</f>
        <v/>
      </c>
      <c r="H431" s="3">
        <f>IFERROR(XLOOKUP(A431,'Intake Responses'!$A:$A,'Intake Responses'!$O:$O),"")</f>
        <v/>
      </c>
      <c r="I431" s="3">
        <f>IFERROR(SWITCH(F431,"Multiple times per day",60,"Daily",20,"Weekly",4,"Monthly",1,"Quarterly",0.33,"Ad hoc",0.5,"Unknown",0),0)</f>
        <v/>
      </c>
      <c r="J431" s="3">
        <f>IFERROR((G431*H431*I431)/60,0)</f>
        <v/>
      </c>
      <c r="K431" s="3">
        <f>IFERROR(J431*12,0)</f>
        <v/>
      </c>
      <c r="L431" s="3">
        <f>IFERROR(XLOOKUP(A431,'Intake Responses'!$A:$A,'Intake Responses'!$T:$T),"")</f>
        <v/>
      </c>
      <c r="M431" s="3">
        <f>IFERROR(XLOOKUP(A431,'Intake Responses'!$A:$A,'Intake Responses'!$U:$U),"")</f>
        <v/>
      </c>
      <c r="N431" s="3">
        <f>IFERROR(XLOOKUP(A431,'Intake Responses'!$A:$A,'Intake Responses'!$V:$V),"")</f>
        <v/>
      </c>
      <c r="O431" s="3">
        <f>IFERROR(XLOOKUP(A431,'Intake Responses'!$A:$A,'Intake Responses'!$W:$W),"")</f>
        <v/>
      </c>
      <c r="P431" s="3">
        <f>IFERROR(XLOOKUP(A431,'Intake Responses'!$A:$A,'Intake Responses'!$X:$X),"")</f>
        <v/>
      </c>
      <c r="Q431" s="3">
        <f>IFERROR(XLOOKUP(A431,'Intake Responses'!$A:$A,'Intake Responses'!$AF:$AF),"")</f>
        <v/>
      </c>
      <c r="R431" s="3">
        <f>IFERROR(XLOOKUP(A431,'Intake Responses'!$A:$A,'Intake Responses'!$S:$S),"")</f>
        <v/>
      </c>
      <c r="S431" s="3" t="n"/>
      <c r="T431" s="3" t="n"/>
      <c r="U431" s="3" t="n"/>
      <c r="V431" s="3">
        <f>IFERROR(MIN(5,ROUND(((M431+O431)/2)+(IF(J431&gt;=20,2,IF(J431&gt;=10,1.5,IF(J431&gt;=5,1,IF(J431&gt;=1,0.5,0))))),1)),0)</f>
        <v/>
      </c>
      <c r="W431" s="3">
        <f>IFERROR(SWITCH(F431,"Multiple times per day",5,"Daily",4,"Weekly",3,"Monthly",2,"Quarterly",1,"Ad hoc",1,"Unknown",0),0)</f>
        <v/>
      </c>
      <c r="X431" s="3">
        <f>IFERROR(ROUND(AVERAGE(L431,N431),1),0)</f>
        <v/>
      </c>
      <c r="Y431" s="3">
        <f>IFERROR(SWITCH(U431,"High",3,"Medium",2,"Low",0,"Unknown",1,1)+IF(Q431="Yes",2,IF(Q431="Unsure",1,0)),0)</f>
        <v/>
      </c>
      <c r="Z431" s="3">
        <f>IFERROR(ROUND((V431*2)+(W431*1)+(X431*2)+(IF(T431="Easy",2,IF(T431="Medium",1,IF(T431="Hard",-1,0))))-(Y431*2),1),0)</f>
        <v/>
      </c>
      <c r="AA431" s="3">
        <f>IFERROR(IF(S431="Not a fit","Not a Fit",IF(Y431&gt;=5,"High Risk / Needs Review",IF(AND(Z431&gt;=18,T431="Easy"),"Quick Win",IF(AND(Z431&gt;=18,T431&lt;&gt;"Easy"),"Strategic Project",IF(Z431&gt;=10,"Discovery Needed","Process Issue"))))),"")</f>
        <v/>
      </c>
      <c r="AB431" s="3">
        <f>IFERROR(SWITCH(AA431,"Quick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1" s="3" t="n"/>
      <c r="AD431" s="3" t="n"/>
      <c r="AE431" s="3" t="n"/>
    </row>
    <row r="432" ht="25" customHeight="1">
      <c r="A432" s="2" t="n"/>
      <c r="B432" s="2">
        <f>IFERROR(XLOOKUP(A432,'Intake Responses'!$A:$A,'Intake Responses'!$E:$E),"")</f>
        <v/>
      </c>
      <c r="C432" s="2">
        <f>IFERROR(XLOOKUP(A432,'Intake Responses'!$A:$A,'Intake Responses'!$D:$D),"")</f>
        <v/>
      </c>
      <c r="D432" s="2">
        <f>IFERROR(XLOOKUP(A432,'Intake Responses'!$A:$A,'Intake Responses'!$F:$F),"")</f>
        <v/>
      </c>
      <c r="E432" s="2" t="n"/>
      <c r="F432" s="2">
        <f>IFERROR(XLOOKUP(A432,'Intake Responses'!$A:$A,'Intake Responses'!$M:$M),"")</f>
        <v/>
      </c>
      <c r="G432" s="2">
        <f>IFERROR(XLOOKUP(A432,'Intake Responses'!$A:$A,'Intake Responses'!$N:$N),"")</f>
        <v/>
      </c>
      <c r="H432" s="2">
        <f>IFERROR(XLOOKUP(A432,'Intake Responses'!$A:$A,'Intake Responses'!$O:$O),"")</f>
        <v/>
      </c>
      <c r="I432" s="2">
        <f>IFERROR(SWITCH(F432,"Multiple times per day",60,"Daily",20,"Weekly",4,"Monthly",1,"Quarterly",0.33,"Ad hoc",0.5,"Unknown",0),0)</f>
        <v/>
      </c>
      <c r="J432" s="2">
        <f>IFERROR((G432*H432*I432)/60,0)</f>
        <v/>
      </c>
      <c r="K432" s="2">
        <f>IFERROR(J432*12,0)</f>
        <v/>
      </c>
      <c r="L432" s="2">
        <f>IFERROR(XLOOKUP(A432,'Intake Responses'!$A:$A,'Intake Responses'!$T:$T),"")</f>
        <v/>
      </c>
      <c r="M432" s="2">
        <f>IFERROR(XLOOKUP(A432,'Intake Responses'!$A:$A,'Intake Responses'!$U:$U),"")</f>
        <v/>
      </c>
      <c r="N432" s="2">
        <f>IFERROR(XLOOKUP(A432,'Intake Responses'!$A:$A,'Intake Responses'!$V:$V),"")</f>
        <v/>
      </c>
      <c r="O432" s="2">
        <f>IFERROR(XLOOKUP(A432,'Intake Responses'!$A:$A,'Intake Responses'!$W:$W),"")</f>
        <v/>
      </c>
      <c r="P432" s="2">
        <f>IFERROR(XLOOKUP(A432,'Intake Responses'!$A:$A,'Intake Responses'!$X:$X),"")</f>
        <v/>
      </c>
      <c r="Q432" s="2">
        <f>IFERROR(XLOOKUP(A432,'Intake Responses'!$A:$A,'Intake Responses'!$AF:$AF),"")</f>
        <v/>
      </c>
      <c r="R432" s="2">
        <f>IFERROR(XLOOKUP(A432,'Intake Responses'!$A:$A,'Intake Responses'!$S:$S),"")</f>
        <v/>
      </c>
      <c r="S432" s="2" t="n"/>
      <c r="T432" s="2" t="n"/>
      <c r="U432" s="2" t="n"/>
      <c r="V432" s="2">
        <f>IFERROR(MIN(5,ROUND(((M432+O432)/2)+(IF(J432&gt;=20,2,IF(J432&gt;=10,1.5,IF(J432&gt;=5,1,IF(J432&gt;=1,0.5,0))))),1)),0)</f>
        <v/>
      </c>
      <c r="W432" s="2">
        <f>IFERROR(SWITCH(F432,"Multiple times per day",5,"Daily",4,"Weekly",3,"Monthly",2,"Quarterly",1,"Ad hoc",1,"Unknown",0),0)</f>
        <v/>
      </c>
      <c r="X432" s="2">
        <f>IFERROR(ROUND(AVERAGE(L432,N432),1),0)</f>
        <v/>
      </c>
      <c r="Y432" s="2">
        <f>IFERROR(SWITCH(U432,"High",3,"Medium",2,"Low",0,"Unknown",1,1)+IF(Q432="Yes",2,IF(Q432="Unsure",1,0)),0)</f>
        <v/>
      </c>
      <c r="Z432" s="2">
        <f>IFERROR(ROUND((V432*2)+(W432*1)+(X432*2)+(IF(T432="Easy",2,IF(T432="Medium",1,IF(T432="Hard",-1,0))))-(Y432*2),1),0)</f>
        <v/>
      </c>
      <c r="AA432" s="2">
        <f>IFERROR(IF(S432="Not a fit","Not a Fit",IF(Y432&gt;=5,"High Risk / Needs Review",IF(AND(Z432&gt;=18,T432="Easy"),"Quick Win",IF(AND(Z432&gt;=18,T432&lt;&gt;"Easy"),"Strategic Project",IF(Z432&gt;=10,"Discovery Needed","Process Issue"))))),"")</f>
        <v/>
      </c>
      <c r="AB432" s="2">
        <f>IFERROR(SWITCH(AA432,"Quick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2" s="2" t="n"/>
      <c r="AD432" s="2" t="n"/>
      <c r="AE432" s="2" t="n"/>
    </row>
    <row r="433" ht="25" customHeight="1">
      <c r="A433" s="3" t="n"/>
      <c r="B433" s="3">
        <f>IFERROR(XLOOKUP(A433,'Intake Responses'!$A:$A,'Intake Responses'!$E:$E),"")</f>
        <v/>
      </c>
      <c r="C433" s="3">
        <f>IFERROR(XLOOKUP(A433,'Intake Responses'!$A:$A,'Intake Responses'!$D:$D),"")</f>
        <v/>
      </c>
      <c r="D433" s="3">
        <f>IFERROR(XLOOKUP(A433,'Intake Responses'!$A:$A,'Intake Responses'!$F:$F),"")</f>
        <v/>
      </c>
      <c r="E433" s="3" t="n"/>
      <c r="F433" s="3">
        <f>IFERROR(XLOOKUP(A433,'Intake Responses'!$A:$A,'Intake Responses'!$M:$M),"")</f>
        <v/>
      </c>
      <c r="G433" s="3">
        <f>IFERROR(XLOOKUP(A433,'Intake Responses'!$A:$A,'Intake Responses'!$N:$N),"")</f>
        <v/>
      </c>
      <c r="H433" s="3">
        <f>IFERROR(XLOOKUP(A433,'Intake Responses'!$A:$A,'Intake Responses'!$O:$O),"")</f>
        <v/>
      </c>
      <c r="I433" s="3">
        <f>IFERROR(SWITCH(F433,"Multiple times per day",60,"Daily",20,"Weekly",4,"Monthly",1,"Quarterly",0.33,"Ad hoc",0.5,"Unknown",0),0)</f>
        <v/>
      </c>
      <c r="J433" s="3">
        <f>IFERROR((G433*H433*I433)/60,0)</f>
        <v/>
      </c>
      <c r="K433" s="3">
        <f>IFERROR(J433*12,0)</f>
        <v/>
      </c>
      <c r="L433" s="3">
        <f>IFERROR(XLOOKUP(A433,'Intake Responses'!$A:$A,'Intake Responses'!$T:$T),"")</f>
        <v/>
      </c>
      <c r="M433" s="3">
        <f>IFERROR(XLOOKUP(A433,'Intake Responses'!$A:$A,'Intake Responses'!$U:$U),"")</f>
        <v/>
      </c>
      <c r="N433" s="3">
        <f>IFERROR(XLOOKUP(A433,'Intake Responses'!$A:$A,'Intake Responses'!$V:$V),"")</f>
        <v/>
      </c>
      <c r="O433" s="3">
        <f>IFERROR(XLOOKUP(A433,'Intake Responses'!$A:$A,'Intake Responses'!$W:$W),"")</f>
        <v/>
      </c>
      <c r="P433" s="3">
        <f>IFERROR(XLOOKUP(A433,'Intake Responses'!$A:$A,'Intake Responses'!$X:$X),"")</f>
        <v/>
      </c>
      <c r="Q433" s="3">
        <f>IFERROR(XLOOKUP(A433,'Intake Responses'!$A:$A,'Intake Responses'!$AF:$AF),"")</f>
        <v/>
      </c>
      <c r="R433" s="3">
        <f>IFERROR(XLOOKUP(A433,'Intake Responses'!$A:$A,'Intake Responses'!$S:$S),"")</f>
        <v/>
      </c>
      <c r="S433" s="3" t="n"/>
      <c r="T433" s="3" t="n"/>
      <c r="U433" s="3" t="n"/>
      <c r="V433" s="3">
        <f>IFERROR(MIN(5,ROUND(((M433+O433)/2)+(IF(J433&gt;=20,2,IF(J433&gt;=10,1.5,IF(J433&gt;=5,1,IF(J433&gt;=1,0.5,0))))),1)),0)</f>
        <v/>
      </c>
      <c r="W433" s="3">
        <f>IFERROR(SWITCH(F433,"Multiple times per day",5,"Daily",4,"Weekly",3,"Monthly",2,"Quarterly",1,"Ad hoc",1,"Unknown",0),0)</f>
        <v/>
      </c>
      <c r="X433" s="3">
        <f>IFERROR(ROUND(AVERAGE(L433,N433),1),0)</f>
        <v/>
      </c>
      <c r="Y433" s="3">
        <f>IFERROR(SWITCH(U433,"High",3,"Medium",2,"Low",0,"Unknown",1,1)+IF(Q433="Yes",2,IF(Q433="Unsure",1,0)),0)</f>
        <v/>
      </c>
      <c r="Z433" s="3">
        <f>IFERROR(ROUND((V433*2)+(W433*1)+(X433*2)+(IF(T433="Easy",2,IF(T433="Medium",1,IF(T433="Hard",-1,0))))-(Y433*2),1),0)</f>
        <v/>
      </c>
      <c r="AA433" s="3">
        <f>IFERROR(IF(S433="Not a fit","Not a Fit",IF(Y433&gt;=5,"High Risk / Needs Review",IF(AND(Z433&gt;=18,T433="Easy"),"Quick Win",IF(AND(Z433&gt;=18,T433&lt;&gt;"Easy"),"Strategic Project",IF(Z433&gt;=10,"Discovery Needed","Process Issue"))))),"")</f>
        <v/>
      </c>
      <c r="AB433" s="3">
        <f>IFERROR(SWITCH(AA433,"Quick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3" s="3" t="n"/>
      <c r="AD433" s="3" t="n"/>
      <c r="AE433" s="3" t="n"/>
    </row>
    <row r="434" ht="25" customHeight="1">
      <c r="A434" s="2" t="n"/>
      <c r="B434" s="2">
        <f>IFERROR(XLOOKUP(A434,'Intake Responses'!$A:$A,'Intake Responses'!$E:$E),"")</f>
        <v/>
      </c>
      <c r="C434" s="2">
        <f>IFERROR(XLOOKUP(A434,'Intake Responses'!$A:$A,'Intake Responses'!$D:$D),"")</f>
        <v/>
      </c>
      <c r="D434" s="2">
        <f>IFERROR(XLOOKUP(A434,'Intake Responses'!$A:$A,'Intake Responses'!$F:$F),"")</f>
        <v/>
      </c>
      <c r="E434" s="2" t="n"/>
      <c r="F434" s="2">
        <f>IFERROR(XLOOKUP(A434,'Intake Responses'!$A:$A,'Intake Responses'!$M:$M),"")</f>
        <v/>
      </c>
      <c r="G434" s="2">
        <f>IFERROR(XLOOKUP(A434,'Intake Responses'!$A:$A,'Intake Responses'!$N:$N),"")</f>
        <v/>
      </c>
      <c r="H434" s="2">
        <f>IFERROR(XLOOKUP(A434,'Intake Responses'!$A:$A,'Intake Responses'!$O:$O),"")</f>
        <v/>
      </c>
      <c r="I434" s="2">
        <f>IFERROR(SWITCH(F434,"Multiple times per day",60,"Daily",20,"Weekly",4,"Monthly",1,"Quarterly",0.33,"Ad hoc",0.5,"Unknown",0),0)</f>
        <v/>
      </c>
      <c r="J434" s="2">
        <f>IFERROR((G434*H434*I434)/60,0)</f>
        <v/>
      </c>
      <c r="K434" s="2">
        <f>IFERROR(J434*12,0)</f>
        <v/>
      </c>
      <c r="L434" s="2">
        <f>IFERROR(XLOOKUP(A434,'Intake Responses'!$A:$A,'Intake Responses'!$T:$T),"")</f>
        <v/>
      </c>
      <c r="M434" s="2">
        <f>IFERROR(XLOOKUP(A434,'Intake Responses'!$A:$A,'Intake Responses'!$U:$U),"")</f>
        <v/>
      </c>
      <c r="N434" s="2">
        <f>IFERROR(XLOOKUP(A434,'Intake Responses'!$A:$A,'Intake Responses'!$V:$V),"")</f>
        <v/>
      </c>
      <c r="O434" s="2">
        <f>IFERROR(XLOOKUP(A434,'Intake Responses'!$A:$A,'Intake Responses'!$W:$W),"")</f>
        <v/>
      </c>
      <c r="P434" s="2">
        <f>IFERROR(XLOOKUP(A434,'Intake Responses'!$A:$A,'Intake Responses'!$X:$X),"")</f>
        <v/>
      </c>
      <c r="Q434" s="2">
        <f>IFERROR(XLOOKUP(A434,'Intake Responses'!$A:$A,'Intake Responses'!$AF:$AF),"")</f>
        <v/>
      </c>
      <c r="R434" s="2">
        <f>IFERROR(XLOOKUP(A434,'Intake Responses'!$A:$A,'Intake Responses'!$S:$S),"")</f>
        <v/>
      </c>
      <c r="S434" s="2" t="n"/>
      <c r="T434" s="2" t="n"/>
      <c r="U434" s="2" t="n"/>
      <c r="V434" s="2">
        <f>IFERROR(MIN(5,ROUND(((M434+O434)/2)+(IF(J434&gt;=20,2,IF(J434&gt;=10,1.5,IF(J434&gt;=5,1,IF(J434&gt;=1,0.5,0))))),1)),0)</f>
        <v/>
      </c>
      <c r="W434" s="2">
        <f>IFERROR(SWITCH(F434,"Multiple times per day",5,"Daily",4,"Weekly",3,"Monthly",2,"Quarterly",1,"Ad hoc",1,"Unknown",0),0)</f>
        <v/>
      </c>
      <c r="X434" s="2">
        <f>IFERROR(ROUND(AVERAGE(L434,N434),1),0)</f>
        <v/>
      </c>
      <c r="Y434" s="2">
        <f>IFERROR(SWITCH(U434,"High",3,"Medium",2,"Low",0,"Unknown",1,1)+IF(Q434="Yes",2,IF(Q434="Unsure",1,0)),0)</f>
        <v/>
      </c>
      <c r="Z434" s="2">
        <f>IFERROR(ROUND((V434*2)+(W434*1)+(X434*2)+(IF(T434="Easy",2,IF(T434="Medium",1,IF(T434="Hard",-1,0))))-(Y434*2),1),0)</f>
        <v/>
      </c>
      <c r="AA434" s="2">
        <f>IFERROR(IF(S434="Not a fit","Not a Fit",IF(Y434&gt;=5,"High Risk / Needs Review",IF(AND(Z434&gt;=18,T434="Easy"),"Quick Win",IF(AND(Z434&gt;=18,T434&lt;&gt;"Easy"),"Strategic Project",IF(Z434&gt;=10,"Discovery Needed","Process Issue"))))),"")</f>
        <v/>
      </c>
      <c r="AB434" s="2">
        <f>IFERROR(SWITCH(AA434,"Quick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4" s="2" t="n"/>
      <c r="AD434" s="2" t="n"/>
      <c r="AE434" s="2" t="n"/>
    </row>
    <row r="435" ht="25" customHeight="1">
      <c r="A435" s="3" t="n"/>
      <c r="B435" s="3">
        <f>IFERROR(XLOOKUP(A435,'Intake Responses'!$A:$A,'Intake Responses'!$E:$E),"")</f>
        <v/>
      </c>
      <c r="C435" s="3">
        <f>IFERROR(XLOOKUP(A435,'Intake Responses'!$A:$A,'Intake Responses'!$D:$D),"")</f>
        <v/>
      </c>
      <c r="D435" s="3">
        <f>IFERROR(XLOOKUP(A435,'Intake Responses'!$A:$A,'Intake Responses'!$F:$F),"")</f>
        <v/>
      </c>
      <c r="E435" s="3" t="n"/>
      <c r="F435" s="3">
        <f>IFERROR(XLOOKUP(A435,'Intake Responses'!$A:$A,'Intake Responses'!$M:$M),"")</f>
        <v/>
      </c>
      <c r="G435" s="3">
        <f>IFERROR(XLOOKUP(A435,'Intake Responses'!$A:$A,'Intake Responses'!$N:$N),"")</f>
        <v/>
      </c>
      <c r="H435" s="3">
        <f>IFERROR(XLOOKUP(A435,'Intake Responses'!$A:$A,'Intake Responses'!$O:$O),"")</f>
        <v/>
      </c>
      <c r="I435" s="3">
        <f>IFERROR(SWITCH(F435,"Multiple times per day",60,"Daily",20,"Weekly",4,"Monthly",1,"Quarterly",0.33,"Ad hoc",0.5,"Unknown",0),0)</f>
        <v/>
      </c>
      <c r="J435" s="3">
        <f>IFERROR((G435*H435*I435)/60,0)</f>
        <v/>
      </c>
      <c r="K435" s="3">
        <f>IFERROR(J435*12,0)</f>
        <v/>
      </c>
      <c r="L435" s="3">
        <f>IFERROR(XLOOKUP(A435,'Intake Responses'!$A:$A,'Intake Responses'!$T:$T),"")</f>
        <v/>
      </c>
      <c r="M435" s="3">
        <f>IFERROR(XLOOKUP(A435,'Intake Responses'!$A:$A,'Intake Responses'!$U:$U),"")</f>
        <v/>
      </c>
      <c r="N435" s="3">
        <f>IFERROR(XLOOKUP(A435,'Intake Responses'!$A:$A,'Intake Responses'!$V:$V),"")</f>
        <v/>
      </c>
      <c r="O435" s="3">
        <f>IFERROR(XLOOKUP(A435,'Intake Responses'!$A:$A,'Intake Responses'!$W:$W),"")</f>
        <v/>
      </c>
      <c r="P435" s="3">
        <f>IFERROR(XLOOKUP(A435,'Intake Responses'!$A:$A,'Intake Responses'!$X:$X),"")</f>
        <v/>
      </c>
      <c r="Q435" s="3">
        <f>IFERROR(XLOOKUP(A435,'Intake Responses'!$A:$A,'Intake Responses'!$AF:$AF),"")</f>
        <v/>
      </c>
      <c r="R435" s="3">
        <f>IFERROR(XLOOKUP(A435,'Intake Responses'!$A:$A,'Intake Responses'!$S:$S),"")</f>
        <v/>
      </c>
      <c r="S435" s="3" t="n"/>
      <c r="T435" s="3" t="n"/>
      <c r="U435" s="3" t="n"/>
      <c r="V435" s="3">
        <f>IFERROR(MIN(5,ROUND(((M435+O435)/2)+(IF(J435&gt;=20,2,IF(J435&gt;=10,1.5,IF(J435&gt;=5,1,IF(J435&gt;=1,0.5,0))))),1)),0)</f>
        <v/>
      </c>
      <c r="W435" s="3">
        <f>IFERROR(SWITCH(F435,"Multiple times per day",5,"Daily",4,"Weekly",3,"Monthly",2,"Quarterly",1,"Ad hoc",1,"Unknown",0),0)</f>
        <v/>
      </c>
      <c r="X435" s="3">
        <f>IFERROR(ROUND(AVERAGE(L435,N435),1),0)</f>
        <v/>
      </c>
      <c r="Y435" s="3">
        <f>IFERROR(SWITCH(U435,"High",3,"Medium",2,"Low",0,"Unknown",1,1)+IF(Q435="Yes",2,IF(Q435="Unsure",1,0)),0)</f>
        <v/>
      </c>
      <c r="Z435" s="3">
        <f>IFERROR(ROUND((V435*2)+(W435*1)+(X435*2)+(IF(T435="Easy",2,IF(T435="Medium",1,IF(T435="Hard",-1,0))))-(Y435*2),1),0)</f>
        <v/>
      </c>
      <c r="AA435" s="3">
        <f>IFERROR(IF(S435="Not a fit","Not a Fit",IF(Y435&gt;=5,"High Risk / Needs Review",IF(AND(Z435&gt;=18,T435="Easy"),"Quick Win",IF(AND(Z435&gt;=18,T435&lt;&gt;"Easy"),"Strategic Project",IF(Z435&gt;=10,"Discovery Needed","Process Issue"))))),"")</f>
        <v/>
      </c>
      <c r="AB435" s="3">
        <f>IFERROR(SWITCH(AA435,"Quick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5" s="3" t="n"/>
      <c r="AD435" s="3" t="n"/>
      <c r="AE435" s="3" t="n"/>
    </row>
    <row r="436" ht="25" customHeight="1">
      <c r="A436" s="2" t="n"/>
      <c r="B436" s="2">
        <f>IFERROR(XLOOKUP(A436,'Intake Responses'!$A:$A,'Intake Responses'!$E:$E),"")</f>
        <v/>
      </c>
      <c r="C436" s="2">
        <f>IFERROR(XLOOKUP(A436,'Intake Responses'!$A:$A,'Intake Responses'!$D:$D),"")</f>
        <v/>
      </c>
      <c r="D436" s="2">
        <f>IFERROR(XLOOKUP(A436,'Intake Responses'!$A:$A,'Intake Responses'!$F:$F),"")</f>
        <v/>
      </c>
      <c r="E436" s="2" t="n"/>
      <c r="F436" s="2">
        <f>IFERROR(XLOOKUP(A436,'Intake Responses'!$A:$A,'Intake Responses'!$M:$M),"")</f>
        <v/>
      </c>
      <c r="G436" s="2">
        <f>IFERROR(XLOOKUP(A436,'Intake Responses'!$A:$A,'Intake Responses'!$N:$N),"")</f>
        <v/>
      </c>
      <c r="H436" s="2">
        <f>IFERROR(XLOOKUP(A436,'Intake Responses'!$A:$A,'Intake Responses'!$O:$O),"")</f>
        <v/>
      </c>
      <c r="I436" s="2">
        <f>IFERROR(SWITCH(F436,"Multiple times per day",60,"Daily",20,"Weekly",4,"Monthly",1,"Quarterly",0.33,"Ad hoc",0.5,"Unknown",0),0)</f>
        <v/>
      </c>
      <c r="J436" s="2">
        <f>IFERROR((G436*H436*I436)/60,0)</f>
        <v/>
      </c>
      <c r="K436" s="2">
        <f>IFERROR(J436*12,0)</f>
        <v/>
      </c>
      <c r="L436" s="2">
        <f>IFERROR(XLOOKUP(A436,'Intake Responses'!$A:$A,'Intake Responses'!$T:$T),"")</f>
        <v/>
      </c>
      <c r="M436" s="2">
        <f>IFERROR(XLOOKUP(A436,'Intake Responses'!$A:$A,'Intake Responses'!$U:$U),"")</f>
        <v/>
      </c>
      <c r="N436" s="2">
        <f>IFERROR(XLOOKUP(A436,'Intake Responses'!$A:$A,'Intake Responses'!$V:$V),"")</f>
        <v/>
      </c>
      <c r="O436" s="2">
        <f>IFERROR(XLOOKUP(A436,'Intake Responses'!$A:$A,'Intake Responses'!$W:$W),"")</f>
        <v/>
      </c>
      <c r="P436" s="2">
        <f>IFERROR(XLOOKUP(A436,'Intake Responses'!$A:$A,'Intake Responses'!$X:$X),"")</f>
        <v/>
      </c>
      <c r="Q436" s="2">
        <f>IFERROR(XLOOKUP(A436,'Intake Responses'!$A:$A,'Intake Responses'!$AF:$AF),"")</f>
        <v/>
      </c>
      <c r="R436" s="2">
        <f>IFERROR(XLOOKUP(A436,'Intake Responses'!$A:$A,'Intake Responses'!$S:$S),"")</f>
        <v/>
      </c>
      <c r="S436" s="2" t="n"/>
      <c r="T436" s="2" t="n"/>
      <c r="U436" s="2" t="n"/>
      <c r="V436" s="2">
        <f>IFERROR(MIN(5,ROUND(((M436+O436)/2)+(IF(J436&gt;=20,2,IF(J436&gt;=10,1.5,IF(J436&gt;=5,1,IF(J436&gt;=1,0.5,0))))),1)),0)</f>
        <v/>
      </c>
      <c r="W436" s="2">
        <f>IFERROR(SWITCH(F436,"Multiple times per day",5,"Daily",4,"Weekly",3,"Monthly",2,"Quarterly",1,"Ad hoc",1,"Unknown",0),0)</f>
        <v/>
      </c>
      <c r="X436" s="2">
        <f>IFERROR(ROUND(AVERAGE(L436,N436),1),0)</f>
        <v/>
      </c>
      <c r="Y436" s="2">
        <f>IFERROR(SWITCH(U436,"High",3,"Medium",2,"Low",0,"Unknown",1,1)+IF(Q436="Yes",2,IF(Q436="Unsure",1,0)),0)</f>
        <v/>
      </c>
      <c r="Z436" s="2">
        <f>IFERROR(ROUND((V436*2)+(W436*1)+(X436*2)+(IF(T436="Easy",2,IF(T436="Medium",1,IF(T436="Hard",-1,0))))-(Y436*2),1),0)</f>
        <v/>
      </c>
      <c r="AA436" s="2">
        <f>IFERROR(IF(S436="Not a fit","Not a Fit",IF(Y436&gt;=5,"High Risk / Needs Review",IF(AND(Z436&gt;=18,T436="Easy"),"Quick Win",IF(AND(Z436&gt;=18,T436&lt;&gt;"Easy"),"Strategic Project",IF(Z436&gt;=10,"Discovery Needed","Process Issue"))))),"")</f>
        <v/>
      </c>
      <c r="AB436" s="2">
        <f>IFERROR(SWITCH(AA436,"Quick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6" s="2" t="n"/>
      <c r="AD436" s="2" t="n"/>
      <c r="AE436" s="2" t="n"/>
    </row>
    <row r="437" ht="25" customHeight="1">
      <c r="A437" s="3" t="n"/>
      <c r="B437" s="3">
        <f>IFERROR(XLOOKUP(A437,'Intake Responses'!$A:$A,'Intake Responses'!$E:$E),"")</f>
        <v/>
      </c>
      <c r="C437" s="3">
        <f>IFERROR(XLOOKUP(A437,'Intake Responses'!$A:$A,'Intake Responses'!$D:$D),"")</f>
        <v/>
      </c>
      <c r="D437" s="3">
        <f>IFERROR(XLOOKUP(A437,'Intake Responses'!$A:$A,'Intake Responses'!$F:$F),"")</f>
        <v/>
      </c>
      <c r="E437" s="3" t="n"/>
      <c r="F437" s="3">
        <f>IFERROR(XLOOKUP(A437,'Intake Responses'!$A:$A,'Intake Responses'!$M:$M),"")</f>
        <v/>
      </c>
      <c r="G437" s="3">
        <f>IFERROR(XLOOKUP(A437,'Intake Responses'!$A:$A,'Intake Responses'!$N:$N),"")</f>
        <v/>
      </c>
      <c r="H437" s="3">
        <f>IFERROR(XLOOKUP(A437,'Intake Responses'!$A:$A,'Intake Responses'!$O:$O),"")</f>
        <v/>
      </c>
      <c r="I437" s="3">
        <f>IFERROR(SWITCH(F437,"Multiple times per day",60,"Daily",20,"Weekly",4,"Monthly",1,"Quarterly",0.33,"Ad hoc",0.5,"Unknown",0),0)</f>
        <v/>
      </c>
      <c r="J437" s="3">
        <f>IFERROR((G437*H437*I437)/60,0)</f>
        <v/>
      </c>
      <c r="K437" s="3">
        <f>IFERROR(J437*12,0)</f>
        <v/>
      </c>
      <c r="L437" s="3">
        <f>IFERROR(XLOOKUP(A437,'Intake Responses'!$A:$A,'Intake Responses'!$T:$T),"")</f>
        <v/>
      </c>
      <c r="M437" s="3">
        <f>IFERROR(XLOOKUP(A437,'Intake Responses'!$A:$A,'Intake Responses'!$U:$U),"")</f>
        <v/>
      </c>
      <c r="N437" s="3">
        <f>IFERROR(XLOOKUP(A437,'Intake Responses'!$A:$A,'Intake Responses'!$V:$V),"")</f>
        <v/>
      </c>
      <c r="O437" s="3">
        <f>IFERROR(XLOOKUP(A437,'Intake Responses'!$A:$A,'Intake Responses'!$W:$W),"")</f>
        <v/>
      </c>
      <c r="P437" s="3">
        <f>IFERROR(XLOOKUP(A437,'Intake Responses'!$A:$A,'Intake Responses'!$X:$X),"")</f>
        <v/>
      </c>
      <c r="Q437" s="3">
        <f>IFERROR(XLOOKUP(A437,'Intake Responses'!$A:$A,'Intake Responses'!$AF:$AF),"")</f>
        <v/>
      </c>
      <c r="R437" s="3">
        <f>IFERROR(XLOOKUP(A437,'Intake Responses'!$A:$A,'Intake Responses'!$S:$S),"")</f>
        <v/>
      </c>
      <c r="S437" s="3" t="n"/>
      <c r="T437" s="3" t="n"/>
      <c r="U437" s="3" t="n"/>
      <c r="V437" s="3">
        <f>IFERROR(MIN(5,ROUND(((M437+O437)/2)+(IF(J437&gt;=20,2,IF(J437&gt;=10,1.5,IF(J437&gt;=5,1,IF(J437&gt;=1,0.5,0))))),1)),0)</f>
        <v/>
      </c>
      <c r="W437" s="3">
        <f>IFERROR(SWITCH(F437,"Multiple times per day",5,"Daily",4,"Weekly",3,"Monthly",2,"Quarterly",1,"Ad hoc",1,"Unknown",0),0)</f>
        <v/>
      </c>
      <c r="X437" s="3">
        <f>IFERROR(ROUND(AVERAGE(L437,N437),1),0)</f>
        <v/>
      </c>
      <c r="Y437" s="3">
        <f>IFERROR(SWITCH(U437,"High",3,"Medium",2,"Low",0,"Unknown",1,1)+IF(Q437="Yes",2,IF(Q437="Unsure",1,0)),0)</f>
        <v/>
      </c>
      <c r="Z437" s="3">
        <f>IFERROR(ROUND((V437*2)+(W437*1)+(X437*2)+(IF(T437="Easy",2,IF(T437="Medium",1,IF(T437="Hard",-1,0))))-(Y437*2),1),0)</f>
        <v/>
      </c>
      <c r="AA437" s="3">
        <f>IFERROR(IF(S437="Not a fit","Not a Fit",IF(Y437&gt;=5,"High Risk / Needs Review",IF(AND(Z437&gt;=18,T437="Easy"),"Quick Win",IF(AND(Z437&gt;=18,T437&lt;&gt;"Easy"),"Strategic Project",IF(Z437&gt;=10,"Discovery Needed","Process Issue"))))),"")</f>
        <v/>
      </c>
      <c r="AB437" s="3">
        <f>IFERROR(SWITCH(AA437,"Quick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7" s="3" t="n"/>
      <c r="AD437" s="3" t="n"/>
      <c r="AE437" s="3" t="n"/>
    </row>
    <row r="438" ht="25" customHeight="1">
      <c r="A438" s="2" t="n"/>
      <c r="B438" s="2">
        <f>IFERROR(XLOOKUP(A438,'Intake Responses'!$A:$A,'Intake Responses'!$E:$E),"")</f>
        <v/>
      </c>
      <c r="C438" s="2">
        <f>IFERROR(XLOOKUP(A438,'Intake Responses'!$A:$A,'Intake Responses'!$D:$D),"")</f>
        <v/>
      </c>
      <c r="D438" s="2">
        <f>IFERROR(XLOOKUP(A438,'Intake Responses'!$A:$A,'Intake Responses'!$F:$F),"")</f>
        <v/>
      </c>
      <c r="E438" s="2" t="n"/>
      <c r="F438" s="2">
        <f>IFERROR(XLOOKUP(A438,'Intake Responses'!$A:$A,'Intake Responses'!$M:$M),"")</f>
        <v/>
      </c>
      <c r="G438" s="2">
        <f>IFERROR(XLOOKUP(A438,'Intake Responses'!$A:$A,'Intake Responses'!$N:$N),"")</f>
        <v/>
      </c>
      <c r="H438" s="2">
        <f>IFERROR(XLOOKUP(A438,'Intake Responses'!$A:$A,'Intake Responses'!$O:$O),"")</f>
        <v/>
      </c>
      <c r="I438" s="2">
        <f>IFERROR(SWITCH(F438,"Multiple times per day",60,"Daily",20,"Weekly",4,"Monthly",1,"Quarterly",0.33,"Ad hoc",0.5,"Unknown",0),0)</f>
        <v/>
      </c>
      <c r="J438" s="2">
        <f>IFERROR((G438*H438*I438)/60,0)</f>
        <v/>
      </c>
      <c r="K438" s="2">
        <f>IFERROR(J438*12,0)</f>
        <v/>
      </c>
      <c r="L438" s="2">
        <f>IFERROR(XLOOKUP(A438,'Intake Responses'!$A:$A,'Intake Responses'!$T:$T),"")</f>
        <v/>
      </c>
      <c r="M438" s="2">
        <f>IFERROR(XLOOKUP(A438,'Intake Responses'!$A:$A,'Intake Responses'!$U:$U),"")</f>
        <v/>
      </c>
      <c r="N438" s="2">
        <f>IFERROR(XLOOKUP(A438,'Intake Responses'!$A:$A,'Intake Responses'!$V:$V),"")</f>
        <v/>
      </c>
      <c r="O438" s="2">
        <f>IFERROR(XLOOKUP(A438,'Intake Responses'!$A:$A,'Intake Responses'!$W:$W),"")</f>
        <v/>
      </c>
      <c r="P438" s="2">
        <f>IFERROR(XLOOKUP(A438,'Intake Responses'!$A:$A,'Intake Responses'!$X:$X),"")</f>
        <v/>
      </c>
      <c r="Q438" s="2">
        <f>IFERROR(XLOOKUP(A438,'Intake Responses'!$A:$A,'Intake Responses'!$AF:$AF),"")</f>
        <v/>
      </c>
      <c r="R438" s="2">
        <f>IFERROR(XLOOKUP(A438,'Intake Responses'!$A:$A,'Intake Responses'!$S:$S),"")</f>
        <v/>
      </c>
      <c r="S438" s="2" t="n"/>
      <c r="T438" s="2" t="n"/>
      <c r="U438" s="2" t="n"/>
      <c r="V438" s="2">
        <f>IFERROR(MIN(5,ROUND(((M438+O438)/2)+(IF(J438&gt;=20,2,IF(J438&gt;=10,1.5,IF(J438&gt;=5,1,IF(J438&gt;=1,0.5,0))))),1)),0)</f>
        <v/>
      </c>
      <c r="W438" s="2">
        <f>IFERROR(SWITCH(F438,"Multiple times per day",5,"Daily",4,"Weekly",3,"Monthly",2,"Quarterly",1,"Ad hoc",1,"Unknown",0),0)</f>
        <v/>
      </c>
      <c r="X438" s="2">
        <f>IFERROR(ROUND(AVERAGE(L438,N438),1),0)</f>
        <v/>
      </c>
      <c r="Y438" s="2">
        <f>IFERROR(SWITCH(U438,"High",3,"Medium",2,"Low",0,"Unknown",1,1)+IF(Q438="Yes",2,IF(Q438="Unsure",1,0)),0)</f>
        <v/>
      </c>
      <c r="Z438" s="2">
        <f>IFERROR(ROUND((V438*2)+(W438*1)+(X438*2)+(IF(T438="Easy",2,IF(T438="Medium",1,IF(T438="Hard",-1,0))))-(Y438*2),1),0)</f>
        <v/>
      </c>
      <c r="AA438" s="2">
        <f>IFERROR(IF(S438="Not a fit","Not a Fit",IF(Y438&gt;=5,"High Risk / Needs Review",IF(AND(Z438&gt;=18,T438="Easy"),"Quick Win",IF(AND(Z438&gt;=18,T438&lt;&gt;"Easy"),"Strategic Project",IF(Z438&gt;=10,"Discovery Needed","Process Issue"))))),"")</f>
        <v/>
      </c>
      <c r="AB438" s="2">
        <f>IFERROR(SWITCH(AA438,"Quick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8" s="2" t="n"/>
      <c r="AD438" s="2" t="n"/>
      <c r="AE438" s="2" t="n"/>
    </row>
    <row r="439" ht="25" customHeight="1">
      <c r="A439" s="3" t="n"/>
      <c r="B439" s="3">
        <f>IFERROR(XLOOKUP(A439,'Intake Responses'!$A:$A,'Intake Responses'!$E:$E),"")</f>
        <v/>
      </c>
      <c r="C439" s="3">
        <f>IFERROR(XLOOKUP(A439,'Intake Responses'!$A:$A,'Intake Responses'!$D:$D),"")</f>
        <v/>
      </c>
      <c r="D439" s="3">
        <f>IFERROR(XLOOKUP(A439,'Intake Responses'!$A:$A,'Intake Responses'!$F:$F),"")</f>
        <v/>
      </c>
      <c r="E439" s="3" t="n"/>
      <c r="F439" s="3">
        <f>IFERROR(XLOOKUP(A439,'Intake Responses'!$A:$A,'Intake Responses'!$M:$M),"")</f>
        <v/>
      </c>
      <c r="G439" s="3">
        <f>IFERROR(XLOOKUP(A439,'Intake Responses'!$A:$A,'Intake Responses'!$N:$N),"")</f>
        <v/>
      </c>
      <c r="H439" s="3">
        <f>IFERROR(XLOOKUP(A439,'Intake Responses'!$A:$A,'Intake Responses'!$O:$O),"")</f>
        <v/>
      </c>
      <c r="I439" s="3">
        <f>IFERROR(SWITCH(F439,"Multiple times per day",60,"Daily",20,"Weekly",4,"Monthly",1,"Quarterly",0.33,"Ad hoc",0.5,"Unknown",0),0)</f>
        <v/>
      </c>
      <c r="J439" s="3">
        <f>IFERROR((G439*H439*I439)/60,0)</f>
        <v/>
      </c>
      <c r="K439" s="3">
        <f>IFERROR(J439*12,0)</f>
        <v/>
      </c>
      <c r="L439" s="3">
        <f>IFERROR(XLOOKUP(A439,'Intake Responses'!$A:$A,'Intake Responses'!$T:$T),"")</f>
        <v/>
      </c>
      <c r="M439" s="3">
        <f>IFERROR(XLOOKUP(A439,'Intake Responses'!$A:$A,'Intake Responses'!$U:$U),"")</f>
        <v/>
      </c>
      <c r="N439" s="3">
        <f>IFERROR(XLOOKUP(A439,'Intake Responses'!$A:$A,'Intake Responses'!$V:$V),"")</f>
        <v/>
      </c>
      <c r="O439" s="3">
        <f>IFERROR(XLOOKUP(A439,'Intake Responses'!$A:$A,'Intake Responses'!$W:$W),"")</f>
        <v/>
      </c>
      <c r="P439" s="3">
        <f>IFERROR(XLOOKUP(A439,'Intake Responses'!$A:$A,'Intake Responses'!$X:$X),"")</f>
        <v/>
      </c>
      <c r="Q439" s="3">
        <f>IFERROR(XLOOKUP(A439,'Intake Responses'!$A:$A,'Intake Responses'!$AF:$AF),"")</f>
        <v/>
      </c>
      <c r="R439" s="3">
        <f>IFERROR(XLOOKUP(A439,'Intake Responses'!$A:$A,'Intake Responses'!$S:$S),"")</f>
        <v/>
      </c>
      <c r="S439" s="3" t="n"/>
      <c r="T439" s="3" t="n"/>
      <c r="U439" s="3" t="n"/>
      <c r="V439" s="3">
        <f>IFERROR(MIN(5,ROUND(((M439+O439)/2)+(IF(J439&gt;=20,2,IF(J439&gt;=10,1.5,IF(J439&gt;=5,1,IF(J439&gt;=1,0.5,0))))),1)),0)</f>
        <v/>
      </c>
      <c r="W439" s="3">
        <f>IFERROR(SWITCH(F439,"Multiple times per day",5,"Daily",4,"Weekly",3,"Monthly",2,"Quarterly",1,"Ad hoc",1,"Unknown",0),0)</f>
        <v/>
      </c>
      <c r="X439" s="3">
        <f>IFERROR(ROUND(AVERAGE(L439,N439),1),0)</f>
        <v/>
      </c>
      <c r="Y439" s="3">
        <f>IFERROR(SWITCH(U439,"High",3,"Medium",2,"Low",0,"Unknown",1,1)+IF(Q439="Yes",2,IF(Q439="Unsure",1,0)),0)</f>
        <v/>
      </c>
      <c r="Z439" s="3">
        <f>IFERROR(ROUND((V439*2)+(W439*1)+(X439*2)+(IF(T439="Easy",2,IF(T439="Medium",1,IF(T439="Hard",-1,0))))-(Y439*2),1),0)</f>
        <v/>
      </c>
      <c r="AA439" s="3">
        <f>IFERROR(IF(S439="Not a fit","Not a Fit",IF(Y439&gt;=5,"High Risk / Needs Review",IF(AND(Z439&gt;=18,T439="Easy"),"Quick Win",IF(AND(Z439&gt;=18,T439&lt;&gt;"Easy"),"Strategic Project",IF(Z439&gt;=10,"Discovery Needed","Process Issue"))))),"")</f>
        <v/>
      </c>
      <c r="AB439" s="3">
        <f>IFERROR(SWITCH(AA439,"Quick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39" s="3" t="n"/>
      <c r="AD439" s="3" t="n"/>
      <c r="AE439" s="3" t="n"/>
    </row>
    <row r="440" ht="25" customHeight="1">
      <c r="A440" s="2" t="n"/>
      <c r="B440" s="2">
        <f>IFERROR(XLOOKUP(A440,'Intake Responses'!$A:$A,'Intake Responses'!$E:$E),"")</f>
        <v/>
      </c>
      <c r="C440" s="2">
        <f>IFERROR(XLOOKUP(A440,'Intake Responses'!$A:$A,'Intake Responses'!$D:$D),"")</f>
        <v/>
      </c>
      <c r="D440" s="2">
        <f>IFERROR(XLOOKUP(A440,'Intake Responses'!$A:$A,'Intake Responses'!$F:$F),"")</f>
        <v/>
      </c>
      <c r="E440" s="2" t="n"/>
      <c r="F440" s="2">
        <f>IFERROR(XLOOKUP(A440,'Intake Responses'!$A:$A,'Intake Responses'!$M:$M),"")</f>
        <v/>
      </c>
      <c r="G440" s="2">
        <f>IFERROR(XLOOKUP(A440,'Intake Responses'!$A:$A,'Intake Responses'!$N:$N),"")</f>
        <v/>
      </c>
      <c r="H440" s="2">
        <f>IFERROR(XLOOKUP(A440,'Intake Responses'!$A:$A,'Intake Responses'!$O:$O),"")</f>
        <v/>
      </c>
      <c r="I440" s="2">
        <f>IFERROR(SWITCH(F440,"Multiple times per day",60,"Daily",20,"Weekly",4,"Monthly",1,"Quarterly",0.33,"Ad hoc",0.5,"Unknown",0),0)</f>
        <v/>
      </c>
      <c r="J440" s="2">
        <f>IFERROR((G440*H440*I440)/60,0)</f>
        <v/>
      </c>
      <c r="K440" s="2">
        <f>IFERROR(J440*12,0)</f>
        <v/>
      </c>
      <c r="L440" s="2">
        <f>IFERROR(XLOOKUP(A440,'Intake Responses'!$A:$A,'Intake Responses'!$T:$T),"")</f>
        <v/>
      </c>
      <c r="M440" s="2">
        <f>IFERROR(XLOOKUP(A440,'Intake Responses'!$A:$A,'Intake Responses'!$U:$U),"")</f>
        <v/>
      </c>
      <c r="N440" s="2">
        <f>IFERROR(XLOOKUP(A440,'Intake Responses'!$A:$A,'Intake Responses'!$V:$V),"")</f>
        <v/>
      </c>
      <c r="O440" s="2">
        <f>IFERROR(XLOOKUP(A440,'Intake Responses'!$A:$A,'Intake Responses'!$W:$W),"")</f>
        <v/>
      </c>
      <c r="P440" s="2">
        <f>IFERROR(XLOOKUP(A440,'Intake Responses'!$A:$A,'Intake Responses'!$X:$X),"")</f>
        <v/>
      </c>
      <c r="Q440" s="2">
        <f>IFERROR(XLOOKUP(A440,'Intake Responses'!$A:$A,'Intake Responses'!$AF:$AF),"")</f>
        <v/>
      </c>
      <c r="R440" s="2">
        <f>IFERROR(XLOOKUP(A440,'Intake Responses'!$A:$A,'Intake Responses'!$S:$S),"")</f>
        <v/>
      </c>
      <c r="S440" s="2" t="n"/>
      <c r="T440" s="2" t="n"/>
      <c r="U440" s="2" t="n"/>
      <c r="V440" s="2">
        <f>IFERROR(MIN(5,ROUND(((M440+O440)/2)+(IF(J440&gt;=20,2,IF(J440&gt;=10,1.5,IF(J440&gt;=5,1,IF(J440&gt;=1,0.5,0))))),1)),0)</f>
        <v/>
      </c>
      <c r="W440" s="2">
        <f>IFERROR(SWITCH(F440,"Multiple times per day",5,"Daily",4,"Weekly",3,"Monthly",2,"Quarterly",1,"Ad hoc",1,"Unknown",0),0)</f>
        <v/>
      </c>
      <c r="X440" s="2">
        <f>IFERROR(ROUND(AVERAGE(L440,N440),1),0)</f>
        <v/>
      </c>
      <c r="Y440" s="2">
        <f>IFERROR(SWITCH(U440,"High",3,"Medium",2,"Low",0,"Unknown",1,1)+IF(Q440="Yes",2,IF(Q440="Unsure",1,0)),0)</f>
        <v/>
      </c>
      <c r="Z440" s="2">
        <f>IFERROR(ROUND((V440*2)+(W440*1)+(X440*2)+(IF(T440="Easy",2,IF(T440="Medium",1,IF(T440="Hard",-1,0))))-(Y440*2),1),0)</f>
        <v/>
      </c>
      <c r="AA440" s="2">
        <f>IFERROR(IF(S440="Not a fit","Not a Fit",IF(Y440&gt;=5,"High Risk / Needs Review",IF(AND(Z440&gt;=18,T440="Easy"),"Quick Win",IF(AND(Z440&gt;=18,T440&lt;&gt;"Easy"),"Strategic Project",IF(Z440&gt;=10,"Discovery Needed","Process Issue"))))),"")</f>
        <v/>
      </c>
      <c r="AB440" s="2">
        <f>IFERROR(SWITCH(AA440,"Quick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0" s="2" t="n"/>
      <c r="AD440" s="2" t="n"/>
      <c r="AE440" s="2" t="n"/>
    </row>
    <row r="441" ht="25" customHeight="1">
      <c r="A441" s="3" t="n"/>
      <c r="B441" s="3">
        <f>IFERROR(XLOOKUP(A441,'Intake Responses'!$A:$A,'Intake Responses'!$E:$E),"")</f>
        <v/>
      </c>
      <c r="C441" s="3">
        <f>IFERROR(XLOOKUP(A441,'Intake Responses'!$A:$A,'Intake Responses'!$D:$D),"")</f>
        <v/>
      </c>
      <c r="D441" s="3">
        <f>IFERROR(XLOOKUP(A441,'Intake Responses'!$A:$A,'Intake Responses'!$F:$F),"")</f>
        <v/>
      </c>
      <c r="E441" s="3" t="n"/>
      <c r="F441" s="3">
        <f>IFERROR(XLOOKUP(A441,'Intake Responses'!$A:$A,'Intake Responses'!$M:$M),"")</f>
        <v/>
      </c>
      <c r="G441" s="3">
        <f>IFERROR(XLOOKUP(A441,'Intake Responses'!$A:$A,'Intake Responses'!$N:$N),"")</f>
        <v/>
      </c>
      <c r="H441" s="3">
        <f>IFERROR(XLOOKUP(A441,'Intake Responses'!$A:$A,'Intake Responses'!$O:$O),"")</f>
        <v/>
      </c>
      <c r="I441" s="3">
        <f>IFERROR(SWITCH(F441,"Multiple times per day",60,"Daily",20,"Weekly",4,"Monthly",1,"Quarterly",0.33,"Ad hoc",0.5,"Unknown",0),0)</f>
        <v/>
      </c>
      <c r="J441" s="3">
        <f>IFERROR((G441*H441*I441)/60,0)</f>
        <v/>
      </c>
      <c r="K441" s="3">
        <f>IFERROR(J441*12,0)</f>
        <v/>
      </c>
      <c r="L441" s="3">
        <f>IFERROR(XLOOKUP(A441,'Intake Responses'!$A:$A,'Intake Responses'!$T:$T),"")</f>
        <v/>
      </c>
      <c r="M441" s="3">
        <f>IFERROR(XLOOKUP(A441,'Intake Responses'!$A:$A,'Intake Responses'!$U:$U),"")</f>
        <v/>
      </c>
      <c r="N441" s="3">
        <f>IFERROR(XLOOKUP(A441,'Intake Responses'!$A:$A,'Intake Responses'!$V:$V),"")</f>
        <v/>
      </c>
      <c r="O441" s="3">
        <f>IFERROR(XLOOKUP(A441,'Intake Responses'!$A:$A,'Intake Responses'!$W:$W),"")</f>
        <v/>
      </c>
      <c r="P441" s="3">
        <f>IFERROR(XLOOKUP(A441,'Intake Responses'!$A:$A,'Intake Responses'!$X:$X),"")</f>
        <v/>
      </c>
      <c r="Q441" s="3">
        <f>IFERROR(XLOOKUP(A441,'Intake Responses'!$A:$A,'Intake Responses'!$AF:$AF),"")</f>
        <v/>
      </c>
      <c r="R441" s="3">
        <f>IFERROR(XLOOKUP(A441,'Intake Responses'!$A:$A,'Intake Responses'!$S:$S),"")</f>
        <v/>
      </c>
      <c r="S441" s="3" t="n"/>
      <c r="T441" s="3" t="n"/>
      <c r="U441" s="3" t="n"/>
      <c r="V441" s="3">
        <f>IFERROR(MIN(5,ROUND(((M441+O441)/2)+(IF(J441&gt;=20,2,IF(J441&gt;=10,1.5,IF(J441&gt;=5,1,IF(J441&gt;=1,0.5,0))))),1)),0)</f>
        <v/>
      </c>
      <c r="W441" s="3">
        <f>IFERROR(SWITCH(F441,"Multiple times per day",5,"Daily",4,"Weekly",3,"Monthly",2,"Quarterly",1,"Ad hoc",1,"Unknown",0),0)</f>
        <v/>
      </c>
      <c r="X441" s="3">
        <f>IFERROR(ROUND(AVERAGE(L441,N441),1),0)</f>
        <v/>
      </c>
      <c r="Y441" s="3">
        <f>IFERROR(SWITCH(U441,"High",3,"Medium",2,"Low",0,"Unknown",1,1)+IF(Q441="Yes",2,IF(Q441="Unsure",1,0)),0)</f>
        <v/>
      </c>
      <c r="Z441" s="3">
        <f>IFERROR(ROUND((V441*2)+(W441*1)+(X441*2)+(IF(T441="Easy",2,IF(T441="Medium",1,IF(T441="Hard",-1,0))))-(Y441*2),1),0)</f>
        <v/>
      </c>
      <c r="AA441" s="3">
        <f>IFERROR(IF(S441="Not a fit","Not a Fit",IF(Y441&gt;=5,"High Risk / Needs Review",IF(AND(Z441&gt;=18,T441="Easy"),"Quick Win",IF(AND(Z441&gt;=18,T441&lt;&gt;"Easy"),"Strategic Project",IF(Z441&gt;=10,"Discovery Needed","Process Issue"))))),"")</f>
        <v/>
      </c>
      <c r="AB441" s="3">
        <f>IFERROR(SWITCH(AA441,"Quick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1" s="3" t="n"/>
      <c r="AD441" s="3" t="n"/>
      <c r="AE441" s="3" t="n"/>
    </row>
    <row r="442" ht="25" customHeight="1">
      <c r="A442" s="2" t="n"/>
      <c r="B442" s="2">
        <f>IFERROR(XLOOKUP(A442,'Intake Responses'!$A:$A,'Intake Responses'!$E:$E),"")</f>
        <v/>
      </c>
      <c r="C442" s="2">
        <f>IFERROR(XLOOKUP(A442,'Intake Responses'!$A:$A,'Intake Responses'!$D:$D),"")</f>
        <v/>
      </c>
      <c r="D442" s="2">
        <f>IFERROR(XLOOKUP(A442,'Intake Responses'!$A:$A,'Intake Responses'!$F:$F),"")</f>
        <v/>
      </c>
      <c r="E442" s="2" t="n"/>
      <c r="F442" s="2">
        <f>IFERROR(XLOOKUP(A442,'Intake Responses'!$A:$A,'Intake Responses'!$M:$M),"")</f>
        <v/>
      </c>
      <c r="G442" s="2">
        <f>IFERROR(XLOOKUP(A442,'Intake Responses'!$A:$A,'Intake Responses'!$N:$N),"")</f>
        <v/>
      </c>
      <c r="H442" s="2">
        <f>IFERROR(XLOOKUP(A442,'Intake Responses'!$A:$A,'Intake Responses'!$O:$O),"")</f>
        <v/>
      </c>
      <c r="I442" s="2">
        <f>IFERROR(SWITCH(F442,"Multiple times per day",60,"Daily",20,"Weekly",4,"Monthly",1,"Quarterly",0.33,"Ad hoc",0.5,"Unknown",0),0)</f>
        <v/>
      </c>
      <c r="J442" s="2">
        <f>IFERROR((G442*H442*I442)/60,0)</f>
        <v/>
      </c>
      <c r="K442" s="2">
        <f>IFERROR(J442*12,0)</f>
        <v/>
      </c>
      <c r="L442" s="2">
        <f>IFERROR(XLOOKUP(A442,'Intake Responses'!$A:$A,'Intake Responses'!$T:$T),"")</f>
        <v/>
      </c>
      <c r="M442" s="2">
        <f>IFERROR(XLOOKUP(A442,'Intake Responses'!$A:$A,'Intake Responses'!$U:$U),"")</f>
        <v/>
      </c>
      <c r="N442" s="2">
        <f>IFERROR(XLOOKUP(A442,'Intake Responses'!$A:$A,'Intake Responses'!$V:$V),"")</f>
        <v/>
      </c>
      <c r="O442" s="2">
        <f>IFERROR(XLOOKUP(A442,'Intake Responses'!$A:$A,'Intake Responses'!$W:$W),"")</f>
        <v/>
      </c>
      <c r="P442" s="2">
        <f>IFERROR(XLOOKUP(A442,'Intake Responses'!$A:$A,'Intake Responses'!$X:$X),"")</f>
        <v/>
      </c>
      <c r="Q442" s="2">
        <f>IFERROR(XLOOKUP(A442,'Intake Responses'!$A:$A,'Intake Responses'!$AF:$AF),"")</f>
        <v/>
      </c>
      <c r="R442" s="2">
        <f>IFERROR(XLOOKUP(A442,'Intake Responses'!$A:$A,'Intake Responses'!$S:$S),"")</f>
        <v/>
      </c>
      <c r="S442" s="2" t="n"/>
      <c r="T442" s="2" t="n"/>
      <c r="U442" s="2" t="n"/>
      <c r="V442" s="2">
        <f>IFERROR(MIN(5,ROUND(((M442+O442)/2)+(IF(J442&gt;=20,2,IF(J442&gt;=10,1.5,IF(J442&gt;=5,1,IF(J442&gt;=1,0.5,0))))),1)),0)</f>
        <v/>
      </c>
      <c r="W442" s="2">
        <f>IFERROR(SWITCH(F442,"Multiple times per day",5,"Daily",4,"Weekly",3,"Monthly",2,"Quarterly",1,"Ad hoc",1,"Unknown",0),0)</f>
        <v/>
      </c>
      <c r="X442" s="2">
        <f>IFERROR(ROUND(AVERAGE(L442,N442),1),0)</f>
        <v/>
      </c>
      <c r="Y442" s="2">
        <f>IFERROR(SWITCH(U442,"High",3,"Medium",2,"Low",0,"Unknown",1,1)+IF(Q442="Yes",2,IF(Q442="Unsure",1,0)),0)</f>
        <v/>
      </c>
      <c r="Z442" s="2">
        <f>IFERROR(ROUND((V442*2)+(W442*1)+(X442*2)+(IF(T442="Easy",2,IF(T442="Medium",1,IF(T442="Hard",-1,0))))-(Y442*2),1),0)</f>
        <v/>
      </c>
      <c r="AA442" s="2">
        <f>IFERROR(IF(S442="Not a fit","Not a Fit",IF(Y442&gt;=5,"High Risk / Needs Review",IF(AND(Z442&gt;=18,T442="Easy"),"Quick Win",IF(AND(Z442&gt;=18,T442&lt;&gt;"Easy"),"Strategic Project",IF(Z442&gt;=10,"Discovery Needed","Process Issue"))))),"")</f>
        <v/>
      </c>
      <c r="AB442" s="2">
        <f>IFERROR(SWITCH(AA442,"Quick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2" s="2" t="n"/>
      <c r="AD442" s="2" t="n"/>
      <c r="AE442" s="2" t="n"/>
    </row>
    <row r="443" ht="25" customHeight="1">
      <c r="A443" s="3" t="n"/>
      <c r="B443" s="3">
        <f>IFERROR(XLOOKUP(A443,'Intake Responses'!$A:$A,'Intake Responses'!$E:$E),"")</f>
        <v/>
      </c>
      <c r="C443" s="3">
        <f>IFERROR(XLOOKUP(A443,'Intake Responses'!$A:$A,'Intake Responses'!$D:$D),"")</f>
        <v/>
      </c>
      <c r="D443" s="3">
        <f>IFERROR(XLOOKUP(A443,'Intake Responses'!$A:$A,'Intake Responses'!$F:$F),"")</f>
        <v/>
      </c>
      <c r="E443" s="3" t="n"/>
      <c r="F443" s="3">
        <f>IFERROR(XLOOKUP(A443,'Intake Responses'!$A:$A,'Intake Responses'!$M:$M),"")</f>
        <v/>
      </c>
      <c r="G443" s="3">
        <f>IFERROR(XLOOKUP(A443,'Intake Responses'!$A:$A,'Intake Responses'!$N:$N),"")</f>
        <v/>
      </c>
      <c r="H443" s="3">
        <f>IFERROR(XLOOKUP(A443,'Intake Responses'!$A:$A,'Intake Responses'!$O:$O),"")</f>
        <v/>
      </c>
      <c r="I443" s="3">
        <f>IFERROR(SWITCH(F443,"Multiple times per day",60,"Daily",20,"Weekly",4,"Monthly",1,"Quarterly",0.33,"Ad hoc",0.5,"Unknown",0),0)</f>
        <v/>
      </c>
      <c r="J443" s="3">
        <f>IFERROR((G443*H443*I443)/60,0)</f>
        <v/>
      </c>
      <c r="K443" s="3">
        <f>IFERROR(J443*12,0)</f>
        <v/>
      </c>
      <c r="L443" s="3">
        <f>IFERROR(XLOOKUP(A443,'Intake Responses'!$A:$A,'Intake Responses'!$T:$T),"")</f>
        <v/>
      </c>
      <c r="M443" s="3">
        <f>IFERROR(XLOOKUP(A443,'Intake Responses'!$A:$A,'Intake Responses'!$U:$U),"")</f>
        <v/>
      </c>
      <c r="N443" s="3">
        <f>IFERROR(XLOOKUP(A443,'Intake Responses'!$A:$A,'Intake Responses'!$V:$V),"")</f>
        <v/>
      </c>
      <c r="O443" s="3">
        <f>IFERROR(XLOOKUP(A443,'Intake Responses'!$A:$A,'Intake Responses'!$W:$W),"")</f>
        <v/>
      </c>
      <c r="P443" s="3">
        <f>IFERROR(XLOOKUP(A443,'Intake Responses'!$A:$A,'Intake Responses'!$X:$X),"")</f>
        <v/>
      </c>
      <c r="Q443" s="3">
        <f>IFERROR(XLOOKUP(A443,'Intake Responses'!$A:$A,'Intake Responses'!$AF:$AF),"")</f>
        <v/>
      </c>
      <c r="R443" s="3">
        <f>IFERROR(XLOOKUP(A443,'Intake Responses'!$A:$A,'Intake Responses'!$S:$S),"")</f>
        <v/>
      </c>
      <c r="S443" s="3" t="n"/>
      <c r="T443" s="3" t="n"/>
      <c r="U443" s="3" t="n"/>
      <c r="V443" s="3">
        <f>IFERROR(MIN(5,ROUND(((M443+O443)/2)+(IF(J443&gt;=20,2,IF(J443&gt;=10,1.5,IF(J443&gt;=5,1,IF(J443&gt;=1,0.5,0))))),1)),0)</f>
        <v/>
      </c>
      <c r="W443" s="3">
        <f>IFERROR(SWITCH(F443,"Multiple times per day",5,"Daily",4,"Weekly",3,"Monthly",2,"Quarterly",1,"Ad hoc",1,"Unknown",0),0)</f>
        <v/>
      </c>
      <c r="X443" s="3">
        <f>IFERROR(ROUND(AVERAGE(L443,N443),1),0)</f>
        <v/>
      </c>
      <c r="Y443" s="3">
        <f>IFERROR(SWITCH(U443,"High",3,"Medium",2,"Low",0,"Unknown",1,1)+IF(Q443="Yes",2,IF(Q443="Unsure",1,0)),0)</f>
        <v/>
      </c>
      <c r="Z443" s="3">
        <f>IFERROR(ROUND((V443*2)+(W443*1)+(X443*2)+(IF(T443="Easy",2,IF(T443="Medium",1,IF(T443="Hard",-1,0))))-(Y443*2),1),0)</f>
        <v/>
      </c>
      <c r="AA443" s="3">
        <f>IFERROR(IF(S443="Not a fit","Not a Fit",IF(Y443&gt;=5,"High Risk / Needs Review",IF(AND(Z443&gt;=18,T443="Easy"),"Quick Win",IF(AND(Z443&gt;=18,T443&lt;&gt;"Easy"),"Strategic Project",IF(Z443&gt;=10,"Discovery Needed","Process Issue"))))),"")</f>
        <v/>
      </c>
      <c r="AB443" s="3">
        <f>IFERROR(SWITCH(AA443,"Quick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3" s="3" t="n"/>
      <c r="AD443" s="3" t="n"/>
      <c r="AE443" s="3" t="n"/>
    </row>
    <row r="444" ht="25" customHeight="1">
      <c r="A444" s="2" t="n"/>
      <c r="B444" s="2">
        <f>IFERROR(XLOOKUP(A444,'Intake Responses'!$A:$A,'Intake Responses'!$E:$E),"")</f>
        <v/>
      </c>
      <c r="C444" s="2">
        <f>IFERROR(XLOOKUP(A444,'Intake Responses'!$A:$A,'Intake Responses'!$D:$D),"")</f>
        <v/>
      </c>
      <c r="D444" s="2">
        <f>IFERROR(XLOOKUP(A444,'Intake Responses'!$A:$A,'Intake Responses'!$F:$F),"")</f>
        <v/>
      </c>
      <c r="E444" s="2" t="n"/>
      <c r="F444" s="2">
        <f>IFERROR(XLOOKUP(A444,'Intake Responses'!$A:$A,'Intake Responses'!$M:$M),"")</f>
        <v/>
      </c>
      <c r="G444" s="2">
        <f>IFERROR(XLOOKUP(A444,'Intake Responses'!$A:$A,'Intake Responses'!$N:$N),"")</f>
        <v/>
      </c>
      <c r="H444" s="2">
        <f>IFERROR(XLOOKUP(A444,'Intake Responses'!$A:$A,'Intake Responses'!$O:$O),"")</f>
        <v/>
      </c>
      <c r="I444" s="2">
        <f>IFERROR(SWITCH(F444,"Multiple times per day",60,"Daily",20,"Weekly",4,"Monthly",1,"Quarterly",0.33,"Ad hoc",0.5,"Unknown",0),0)</f>
        <v/>
      </c>
      <c r="J444" s="2">
        <f>IFERROR((G444*H444*I444)/60,0)</f>
        <v/>
      </c>
      <c r="K444" s="2">
        <f>IFERROR(J444*12,0)</f>
        <v/>
      </c>
      <c r="L444" s="2">
        <f>IFERROR(XLOOKUP(A444,'Intake Responses'!$A:$A,'Intake Responses'!$T:$T),"")</f>
        <v/>
      </c>
      <c r="M444" s="2">
        <f>IFERROR(XLOOKUP(A444,'Intake Responses'!$A:$A,'Intake Responses'!$U:$U),"")</f>
        <v/>
      </c>
      <c r="N444" s="2">
        <f>IFERROR(XLOOKUP(A444,'Intake Responses'!$A:$A,'Intake Responses'!$V:$V),"")</f>
        <v/>
      </c>
      <c r="O444" s="2">
        <f>IFERROR(XLOOKUP(A444,'Intake Responses'!$A:$A,'Intake Responses'!$W:$W),"")</f>
        <v/>
      </c>
      <c r="P444" s="2">
        <f>IFERROR(XLOOKUP(A444,'Intake Responses'!$A:$A,'Intake Responses'!$X:$X),"")</f>
        <v/>
      </c>
      <c r="Q444" s="2">
        <f>IFERROR(XLOOKUP(A444,'Intake Responses'!$A:$A,'Intake Responses'!$AF:$AF),"")</f>
        <v/>
      </c>
      <c r="R444" s="2">
        <f>IFERROR(XLOOKUP(A444,'Intake Responses'!$A:$A,'Intake Responses'!$S:$S),"")</f>
        <v/>
      </c>
      <c r="S444" s="2" t="n"/>
      <c r="T444" s="2" t="n"/>
      <c r="U444" s="2" t="n"/>
      <c r="V444" s="2">
        <f>IFERROR(MIN(5,ROUND(((M444+O444)/2)+(IF(J444&gt;=20,2,IF(J444&gt;=10,1.5,IF(J444&gt;=5,1,IF(J444&gt;=1,0.5,0))))),1)),0)</f>
        <v/>
      </c>
      <c r="W444" s="2">
        <f>IFERROR(SWITCH(F444,"Multiple times per day",5,"Daily",4,"Weekly",3,"Monthly",2,"Quarterly",1,"Ad hoc",1,"Unknown",0),0)</f>
        <v/>
      </c>
      <c r="X444" s="2">
        <f>IFERROR(ROUND(AVERAGE(L444,N444),1),0)</f>
        <v/>
      </c>
      <c r="Y444" s="2">
        <f>IFERROR(SWITCH(U444,"High",3,"Medium",2,"Low",0,"Unknown",1,1)+IF(Q444="Yes",2,IF(Q444="Unsure",1,0)),0)</f>
        <v/>
      </c>
      <c r="Z444" s="2">
        <f>IFERROR(ROUND((V444*2)+(W444*1)+(X444*2)+(IF(T444="Easy",2,IF(T444="Medium",1,IF(T444="Hard",-1,0))))-(Y444*2),1),0)</f>
        <v/>
      </c>
      <c r="AA444" s="2">
        <f>IFERROR(IF(S444="Not a fit","Not a Fit",IF(Y444&gt;=5,"High Risk / Needs Review",IF(AND(Z444&gt;=18,T444="Easy"),"Quick Win",IF(AND(Z444&gt;=18,T444&lt;&gt;"Easy"),"Strategic Project",IF(Z444&gt;=10,"Discovery Needed","Process Issue"))))),"")</f>
        <v/>
      </c>
      <c r="AB444" s="2">
        <f>IFERROR(SWITCH(AA444,"Quick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4" s="2" t="n"/>
      <c r="AD444" s="2" t="n"/>
      <c r="AE444" s="2" t="n"/>
    </row>
    <row r="445" ht="25" customHeight="1">
      <c r="A445" s="3" t="n"/>
      <c r="B445" s="3">
        <f>IFERROR(XLOOKUP(A445,'Intake Responses'!$A:$A,'Intake Responses'!$E:$E),"")</f>
        <v/>
      </c>
      <c r="C445" s="3">
        <f>IFERROR(XLOOKUP(A445,'Intake Responses'!$A:$A,'Intake Responses'!$D:$D),"")</f>
        <v/>
      </c>
      <c r="D445" s="3">
        <f>IFERROR(XLOOKUP(A445,'Intake Responses'!$A:$A,'Intake Responses'!$F:$F),"")</f>
        <v/>
      </c>
      <c r="E445" s="3" t="n"/>
      <c r="F445" s="3">
        <f>IFERROR(XLOOKUP(A445,'Intake Responses'!$A:$A,'Intake Responses'!$M:$M),"")</f>
        <v/>
      </c>
      <c r="G445" s="3">
        <f>IFERROR(XLOOKUP(A445,'Intake Responses'!$A:$A,'Intake Responses'!$N:$N),"")</f>
        <v/>
      </c>
      <c r="H445" s="3">
        <f>IFERROR(XLOOKUP(A445,'Intake Responses'!$A:$A,'Intake Responses'!$O:$O),"")</f>
        <v/>
      </c>
      <c r="I445" s="3">
        <f>IFERROR(SWITCH(F445,"Multiple times per day",60,"Daily",20,"Weekly",4,"Monthly",1,"Quarterly",0.33,"Ad hoc",0.5,"Unknown",0),0)</f>
        <v/>
      </c>
      <c r="J445" s="3">
        <f>IFERROR((G445*H445*I445)/60,0)</f>
        <v/>
      </c>
      <c r="K445" s="3">
        <f>IFERROR(J445*12,0)</f>
        <v/>
      </c>
      <c r="L445" s="3">
        <f>IFERROR(XLOOKUP(A445,'Intake Responses'!$A:$A,'Intake Responses'!$T:$T),"")</f>
        <v/>
      </c>
      <c r="M445" s="3">
        <f>IFERROR(XLOOKUP(A445,'Intake Responses'!$A:$A,'Intake Responses'!$U:$U),"")</f>
        <v/>
      </c>
      <c r="N445" s="3">
        <f>IFERROR(XLOOKUP(A445,'Intake Responses'!$A:$A,'Intake Responses'!$V:$V),"")</f>
        <v/>
      </c>
      <c r="O445" s="3">
        <f>IFERROR(XLOOKUP(A445,'Intake Responses'!$A:$A,'Intake Responses'!$W:$W),"")</f>
        <v/>
      </c>
      <c r="P445" s="3">
        <f>IFERROR(XLOOKUP(A445,'Intake Responses'!$A:$A,'Intake Responses'!$X:$X),"")</f>
        <v/>
      </c>
      <c r="Q445" s="3">
        <f>IFERROR(XLOOKUP(A445,'Intake Responses'!$A:$A,'Intake Responses'!$AF:$AF),"")</f>
        <v/>
      </c>
      <c r="R445" s="3">
        <f>IFERROR(XLOOKUP(A445,'Intake Responses'!$A:$A,'Intake Responses'!$S:$S),"")</f>
        <v/>
      </c>
      <c r="S445" s="3" t="n"/>
      <c r="T445" s="3" t="n"/>
      <c r="U445" s="3" t="n"/>
      <c r="V445" s="3">
        <f>IFERROR(MIN(5,ROUND(((M445+O445)/2)+(IF(J445&gt;=20,2,IF(J445&gt;=10,1.5,IF(J445&gt;=5,1,IF(J445&gt;=1,0.5,0))))),1)),0)</f>
        <v/>
      </c>
      <c r="W445" s="3">
        <f>IFERROR(SWITCH(F445,"Multiple times per day",5,"Daily",4,"Weekly",3,"Monthly",2,"Quarterly",1,"Ad hoc",1,"Unknown",0),0)</f>
        <v/>
      </c>
      <c r="X445" s="3">
        <f>IFERROR(ROUND(AVERAGE(L445,N445),1),0)</f>
        <v/>
      </c>
      <c r="Y445" s="3">
        <f>IFERROR(SWITCH(U445,"High",3,"Medium",2,"Low",0,"Unknown",1,1)+IF(Q445="Yes",2,IF(Q445="Unsure",1,0)),0)</f>
        <v/>
      </c>
      <c r="Z445" s="3">
        <f>IFERROR(ROUND((V445*2)+(W445*1)+(X445*2)+(IF(T445="Easy",2,IF(T445="Medium",1,IF(T445="Hard",-1,0))))-(Y445*2),1),0)</f>
        <v/>
      </c>
      <c r="AA445" s="3">
        <f>IFERROR(IF(S445="Not a fit","Not a Fit",IF(Y445&gt;=5,"High Risk / Needs Review",IF(AND(Z445&gt;=18,T445="Easy"),"Quick Win",IF(AND(Z445&gt;=18,T445&lt;&gt;"Easy"),"Strategic Project",IF(Z445&gt;=10,"Discovery Needed","Process Issue"))))),"")</f>
        <v/>
      </c>
      <c r="AB445" s="3">
        <f>IFERROR(SWITCH(AA445,"Quick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5" s="3" t="n"/>
      <c r="AD445" s="3" t="n"/>
      <c r="AE445" s="3" t="n"/>
    </row>
    <row r="446" ht="25" customHeight="1">
      <c r="A446" s="2" t="n"/>
      <c r="B446" s="2">
        <f>IFERROR(XLOOKUP(A446,'Intake Responses'!$A:$A,'Intake Responses'!$E:$E),"")</f>
        <v/>
      </c>
      <c r="C446" s="2">
        <f>IFERROR(XLOOKUP(A446,'Intake Responses'!$A:$A,'Intake Responses'!$D:$D),"")</f>
        <v/>
      </c>
      <c r="D446" s="2">
        <f>IFERROR(XLOOKUP(A446,'Intake Responses'!$A:$A,'Intake Responses'!$F:$F),"")</f>
        <v/>
      </c>
      <c r="E446" s="2" t="n"/>
      <c r="F446" s="2">
        <f>IFERROR(XLOOKUP(A446,'Intake Responses'!$A:$A,'Intake Responses'!$M:$M),"")</f>
        <v/>
      </c>
      <c r="G446" s="2">
        <f>IFERROR(XLOOKUP(A446,'Intake Responses'!$A:$A,'Intake Responses'!$N:$N),"")</f>
        <v/>
      </c>
      <c r="H446" s="2">
        <f>IFERROR(XLOOKUP(A446,'Intake Responses'!$A:$A,'Intake Responses'!$O:$O),"")</f>
        <v/>
      </c>
      <c r="I446" s="2">
        <f>IFERROR(SWITCH(F446,"Multiple times per day",60,"Daily",20,"Weekly",4,"Monthly",1,"Quarterly",0.33,"Ad hoc",0.5,"Unknown",0),0)</f>
        <v/>
      </c>
      <c r="J446" s="2">
        <f>IFERROR((G446*H446*I446)/60,0)</f>
        <v/>
      </c>
      <c r="K446" s="2">
        <f>IFERROR(J446*12,0)</f>
        <v/>
      </c>
      <c r="L446" s="2">
        <f>IFERROR(XLOOKUP(A446,'Intake Responses'!$A:$A,'Intake Responses'!$T:$T),"")</f>
        <v/>
      </c>
      <c r="M446" s="2">
        <f>IFERROR(XLOOKUP(A446,'Intake Responses'!$A:$A,'Intake Responses'!$U:$U),"")</f>
        <v/>
      </c>
      <c r="N446" s="2">
        <f>IFERROR(XLOOKUP(A446,'Intake Responses'!$A:$A,'Intake Responses'!$V:$V),"")</f>
        <v/>
      </c>
      <c r="O446" s="2">
        <f>IFERROR(XLOOKUP(A446,'Intake Responses'!$A:$A,'Intake Responses'!$W:$W),"")</f>
        <v/>
      </c>
      <c r="P446" s="2">
        <f>IFERROR(XLOOKUP(A446,'Intake Responses'!$A:$A,'Intake Responses'!$X:$X),"")</f>
        <v/>
      </c>
      <c r="Q446" s="2">
        <f>IFERROR(XLOOKUP(A446,'Intake Responses'!$A:$A,'Intake Responses'!$AF:$AF),"")</f>
        <v/>
      </c>
      <c r="R446" s="2">
        <f>IFERROR(XLOOKUP(A446,'Intake Responses'!$A:$A,'Intake Responses'!$S:$S),"")</f>
        <v/>
      </c>
      <c r="S446" s="2" t="n"/>
      <c r="T446" s="2" t="n"/>
      <c r="U446" s="2" t="n"/>
      <c r="V446" s="2">
        <f>IFERROR(MIN(5,ROUND(((M446+O446)/2)+(IF(J446&gt;=20,2,IF(J446&gt;=10,1.5,IF(J446&gt;=5,1,IF(J446&gt;=1,0.5,0))))),1)),0)</f>
        <v/>
      </c>
      <c r="W446" s="2">
        <f>IFERROR(SWITCH(F446,"Multiple times per day",5,"Daily",4,"Weekly",3,"Monthly",2,"Quarterly",1,"Ad hoc",1,"Unknown",0),0)</f>
        <v/>
      </c>
      <c r="X446" s="2">
        <f>IFERROR(ROUND(AVERAGE(L446,N446),1),0)</f>
        <v/>
      </c>
      <c r="Y446" s="2">
        <f>IFERROR(SWITCH(U446,"High",3,"Medium",2,"Low",0,"Unknown",1,1)+IF(Q446="Yes",2,IF(Q446="Unsure",1,0)),0)</f>
        <v/>
      </c>
      <c r="Z446" s="2">
        <f>IFERROR(ROUND((V446*2)+(W446*1)+(X446*2)+(IF(T446="Easy",2,IF(T446="Medium",1,IF(T446="Hard",-1,0))))-(Y446*2),1),0)</f>
        <v/>
      </c>
      <c r="AA446" s="2">
        <f>IFERROR(IF(S446="Not a fit","Not a Fit",IF(Y446&gt;=5,"High Risk / Needs Review",IF(AND(Z446&gt;=18,T446="Easy"),"Quick Win",IF(AND(Z446&gt;=18,T446&lt;&gt;"Easy"),"Strategic Project",IF(Z446&gt;=10,"Discovery Needed","Process Issue"))))),"")</f>
        <v/>
      </c>
      <c r="AB446" s="2">
        <f>IFERROR(SWITCH(AA446,"Quick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6" s="2" t="n"/>
      <c r="AD446" s="2" t="n"/>
      <c r="AE446" s="2" t="n"/>
    </row>
    <row r="447" ht="25" customHeight="1">
      <c r="A447" s="3" t="n"/>
      <c r="B447" s="3">
        <f>IFERROR(XLOOKUP(A447,'Intake Responses'!$A:$A,'Intake Responses'!$E:$E),"")</f>
        <v/>
      </c>
      <c r="C447" s="3">
        <f>IFERROR(XLOOKUP(A447,'Intake Responses'!$A:$A,'Intake Responses'!$D:$D),"")</f>
        <v/>
      </c>
      <c r="D447" s="3">
        <f>IFERROR(XLOOKUP(A447,'Intake Responses'!$A:$A,'Intake Responses'!$F:$F),"")</f>
        <v/>
      </c>
      <c r="E447" s="3" t="n"/>
      <c r="F447" s="3">
        <f>IFERROR(XLOOKUP(A447,'Intake Responses'!$A:$A,'Intake Responses'!$M:$M),"")</f>
        <v/>
      </c>
      <c r="G447" s="3">
        <f>IFERROR(XLOOKUP(A447,'Intake Responses'!$A:$A,'Intake Responses'!$N:$N),"")</f>
        <v/>
      </c>
      <c r="H447" s="3">
        <f>IFERROR(XLOOKUP(A447,'Intake Responses'!$A:$A,'Intake Responses'!$O:$O),"")</f>
        <v/>
      </c>
      <c r="I447" s="3">
        <f>IFERROR(SWITCH(F447,"Multiple times per day",60,"Daily",20,"Weekly",4,"Monthly",1,"Quarterly",0.33,"Ad hoc",0.5,"Unknown",0),0)</f>
        <v/>
      </c>
      <c r="J447" s="3">
        <f>IFERROR((G447*H447*I447)/60,0)</f>
        <v/>
      </c>
      <c r="K447" s="3">
        <f>IFERROR(J447*12,0)</f>
        <v/>
      </c>
      <c r="L447" s="3">
        <f>IFERROR(XLOOKUP(A447,'Intake Responses'!$A:$A,'Intake Responses'!$T:$T),"")</f>
        <v/>
      </c>
      <c r="M447" s="3">
        <f>IFERROR(XLOOKUP(A447,'Intake Responses'!$A:$A,'Intake Responses'!$U:$U),"")</f>
        <v/>
      </c>
      <c r="N447" s="3">
        <f>IFERROR(XLOOKUP(A447,'Intake Responses'!$A:$A,'Intake Responses'!$V:$V),"")</f>
        <v/>
      </c>
      <c r="O447" s="3">
        <f>IFERROR(XLOOKUP(A447,'Intake Responses'!$A:$A,'Intake Responses'!$W:$W),"")</f>
        <v/>
      </c>
      <c r="P447" s="3">
        <f>IFERROR(XLOOKUP(A447,'Intake Responses'!$A:$A,'Intake Responses'!$X:$X),"")</f>
        <v/>
      </c>
      <c r="Q447" s="3">
        <f>IFERROR(XLOOKUP(A447,'Intake Responses'!$A:$A,'Intake Responses'!$AF:$AF),"")</f>
        <v/>
      </c>
      <c r="R447" s="3">
        <f>IFERROR(XLOOKUP(A447,'Intake Responses'!$A:$A,'Intake Responses'!$S:$S),"")</f>
        <v/>
      </c>
      <c r="S447" s="3" t="n"/>
      <c r="T447" s="3" t="n"/>
      <c r="U447" s="3" t="n"/>
      <c r="V447" s="3">
        <f>IFERROR(MIN(5,ROUND(((M447+O447)/2)+(IF(J447&gt;=20,2,IF(J447&gt;=10,1.5,IF(J447&gt;=5,1,IF(J447&gt;=1,0.5,0))))),1)),0)</f>
        <v/>
      </c>
      <c r="W447" s="3">
        <f>IFERROR(SWITCH(F447,"Multiple times per day",5,"Daily",4,"Weekly",3,"Monthly",2,"Quarterly",1,"Ad hoc",1,"Unknown",0),0)</f>
        <v/>
      </c>
      <c r="X447" s="3">
        <f>IFERROR(ROUND(AVERAGE(L447,N447),1),0)</f>
        <v/>
      </c>
      <c r="Y447" s="3">
        <f>IFERROR(SWITCH(U447,"High",3,"Medium",2,"Low",0,"Unknown",1,1)+IF(Q447="Yes",2,IF(Q447="Unsure",1,0)),0)</f>
        <v/>
      </c>
      <c r="Z447" s="3">
        <f>IFERROR(ROUND((V447*2)+(W447*1)+(X447*2)+(IF(T447="Easy",2,IF(T447="Medium",1,IF(T447="Hard",-1,0))))-(Y447*2),1),0)</f>
        <v/>
      </c>
      <c r="AA447" s="3">
        <f>IFERROR(IF(S447="Not a fit","Not a Fit",IF(Y447&gt;=5,"High Risk / Needs Review",IF(AND(Z447&gt;=18,T447="Easy"),"Quick Win",IF(AND(Z447&gt;=18,T447&lt;&gt;"Easy"),"Strategic Project",IF(Z447&gt;=10,"Discovery Needed","Process Issue"))))),"")</f>
        <v/>
      </c>
      <c r="AB447" s="3">
        <f>IFERROR(SWITCH(AA447,"Quick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7" s="3" t="n"/>
      <c r="AD447" s="3" t="n"/>
      <c r="AE447" s="3" t="n"/>
    </row>
    <row r="448" ht="25" customHeight="1">
      <c r="A448" s="2" t="n"/>
      <c r="B448" s="2">
        <f>IFERROR(XLOOKUP(A448,'Intake Responses'!$A:$A,'Intake Responses'!$E:$E),"")</f>
        <v/>
      </c>
      <c r="C448" s="2">
        <f>IFERROR(XLOOKUP(A448,'Intake Responses'!$A:$A,'Intake Responses'!$D:$D),"")</f>
        <v/>
      </c>
      <c r="D448" s="2">
        <f>IFERROR(XLOOKUP(A448,'Intake Responses'!$A:$A,'Intake Responses'!$F:$F),"")</f>
        <v/>
      </c>
      <c r="E448" s="2" t="n"/>
      <c r="F448" s="2">
        <f>IFERROR(XLOOKUP(A448,'Intake Responses'!$A:$A,'Intake Responses'!$M:$M),"")</f>
        <v/>
      </c>
      <c r="G448" s="2">
        <f>IFERROR(XLOOKUP(A448,'Intake Responses'!$A:$A,'Intake Responses'!$N:$N),"")</f>
        <v/>
      </c>
      <c r="H448" s="2">
        <f>IFERROR(XLOOKUP(A448,'Intake Responses'!$A:$A,'Intake Responses'!$O:$O),"")</f>
        <v/>
      </c>
      <c r="I448" s="2">
        <f>IFERROR(SWITCH(F448,"Multiple times per day",60,"Daily",20,"Weekly",4,"Monthly",1,"Quarterly",0.33,"Ad hoc",0.5,"Unknown",0),0)</f>
        <v/>
      </c>
      <c r="J448" s="2">
        <f>IFERROR((G448*H448*I448)/60,0)</f>
        <v/>
      </c>
      <c r="K448" s="2">
        <f>IFERROR(J448*12,0)</f>
        <v/>
      </c>
      <c r="L448" s="2">
        <f>IFERROR(XLOOKUP(A448,'Intake Responses'!$A:$A,'Intake Responses'!$T:$T),"")</f>
        <v/>
      </c>
      <c r="M448" s="2">
        <f>IFERROR(XLOOKUP(A448,'Intake Responses'!$A:$A,'Intake Responses'!$U:$U),"")</f>
        <v/>
      </c>
      <c r="N448" s="2">
        <f>IFERROR(XLOOKUP(A448,'Intake Responses'!$A:$A,'Intake Responses'!$V:$V),"")</f>
        <v/>
      </c>
      <c r="O448" s="2">
        <f>IFERROR(XLOOKUP(A448,'Intake Responses'!$A:$A,'Intake Responses'!$W:$W),"")</f>
        <v/>
      </c>
      <c r="P448" s="2">
        <f>IFERROR(XLOOKUP(A448,'Intake Responses'!$A:$A,'Intake Responses'!$X:$X),"")</f>
        <v/>
      </c>
      <c r="Q448" s="2">
        <f>IFERROR(XLOOKUP(A448,'Intake Responses'!$A:$A,'Intake Responses'!$AF:$AF),"")</f>
        <v/>
      </c>
      <c r="R448" s="2">
        <f>IFERROR(XLOOKUP(A448,'Intake Responses'!$A:$A,'Intake Responses'!$S:$S),"")</f>
        <v/>
      </c>
      <c r="S448" s="2" t="n"/>
      <c r="T448" s="2" t="n"/>
      <c r="U448" s="2" t="n"/>
      <c r="V448" s="2">
        <f>IFERROR(MIN(5,ROUND(((M448+O448)/2)+(IF(J448&gt;=20,2,IF(J448&gt;=10,1.5,IF(J448&gt;=5,1,IF(J448&gt;=1,0.5,0))))),1)),0)</f>
        <v/>
      </c>
      <c r="W448" s="2">
        <f>IFERROR(SWITCH(F448,"Multiple times per day",5,"Daily",4,"Weekly",3,"Monthly",2,"Quarterly",1,"Ad hoc",1,"Unknown",0),0)</f>
        <v/>
      </c>
      <c r="X448" s="2">
        <f>IFERROR(ROUND(AVERAGE(L448,N448),1),0)</f>
        <v/>
      </c>
      <c r="Y448" s="2">
        <f>IFERROR(SWITCH(U448,"High",3,"Medium",2,"Low",0,"Unknown",1,1)+IF(Q448="Yes",2,IF(Q448="Unsure",1,0)),0)</f>
        <v/>
      </c>
      <c r="Z448" s="2">
        <f>IFERROR(ROUND((V448*2)+(W448*1)+(X448*2)+(IF(T448="Easy",2,IF(T448="Medium",1,IF(T448="Hard",-1,0))))-(Y448*2),1),0)</f>
        <v/>
      </c>
      <c r="AA448" s="2">
        <f>IFERROR(IF(S448="Not a fit","Not a Fit",IF(Y448&gt;=5,"High Risk / Needs Review",IF(AND(Z448&gt;=18,T448="Easy"),"Quick Win",IF(AND(Z448&gt;=18,T448&lt;&gt;"Easy"),"Strategic Project",IF(Z448&gt;=10,"Discovery Needed","Process Issue"))))),"")</f>
        <v/>
      </c>
      <c r="AB448" s="2">
        <f>IFERROR(SWITCH(AA448,"Quick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8" s="2" t="n"/>
      <c r="AD448" s="2" t="n"/>
      <c r="AE448" s="2" t="n"/>
    </row>
    <row r="449" ht="25" customHeight="1">
      <c r="A449" s="3" t="n"/>
      <c r="B449" s="3">
        <f>IFERROR(XLOOKUP(A449,'Intake Responses'!$A:$A,'Intake Responses'!$E:$E),"")</f>
        <v/>
      </c>
      <c r="C449" s="3">
        <f>IFERROR(XLOOKUP(A449,'Intake Responses'!$A:$A,'Intake Responses'!$D:$D),"")</f>
        <v/>
      </c>
      <c r="D449" s="3">
        <f>IFERROR(XLOOKUP(A449,'Intake Responses'!$A:$A,'Intake Responses'!$F:$F),"")</f>
        <v/>
      </c>
      <c r="E449" s="3" t="n"/>
      <c r="F449" s="3">
        <f>IFERROR(XLOOKUP(A449,'Intake Responses'!$A:$A,'Intake Responses'!$M:$M),"")</f>
        <v/>
      </c>
      <c r="G449" s="3">
        <f>IFERROR(XLOOKUP(A449,'Intake Responses'!$A:$A,'Intake Responses'!$N:$N),"")</f>
        <v/>
      </c>
      <c r="H449" s="3">
        <f>IFERROR(XLOOKUP(A449,'Intake Responses'!$A:$A,'Intake Responses'!$O:$O),"")</f>
        <v/>
      </c>
      <c r="I449" s="3">
        <f>IFERROR(SWITCH(F449,"Multiple times per day",60,"Daily",20,"Weekly",4,"Monthly",1,"Quarterly",0.33,"Ad hoc",0.5,"Unknown",0),0)</f>
        <v/>
      </c>
      <c r="J449" s="3">
        <f>IFERROR((G449*H449*I449)/60,0)</f>
        <v/>
      </c>
      <c r="K449" s="3">
        <f>IFERROR(J449*12,0)</f>
        <v/>
      </c>
      <c r="L449" s="3">
        <f>IFERROR(XLOOKUP(A449,'Intake Responses'!$A:$A,'Intake Responses'!$T:$T),"")</f>
        <v/>
      </c>
      <c r="M449" s="3">
        <f>IFERROR(XLOOKUP(A449,'Intake Responses'!$A:$A,'Intake Responses'!$U:$U),"")</f>
        <v/>
      </c>
      <c r="N449" s="3">
        <f>IFERROR(XLOOKUP(A449,'Intake Responses'!$A:$A,'Intake Responses'!$V:$V),"")</f>
        <v/>
      </c>
      <c r="O449" s="3">
        <f>IFERROR(XLOOKUP(A449,'Intake Responses'!$A:$A,'Intake Responses'!$W:$W),"")</f>
        <v/>
      </c>
      <c r="P449" s="3">
        <f>IFERROR(XLOOKUP(A449,'Intake Responses'!$A:$A,'Intake Responses'!$X:$X),"")</f>
        <v/>
      </c>
      <c r="Q449" s="3">
        <f>IFERROR(XLOOKUP(A449,'Intake Responses'!$A:$A,'Intake Responses'!$AF:$AF),"")</f>
        <v/>
      </c>
      <c r="R449" s="3">
        <f>IFERROR(XLOOKUP(A449,'Intake Responses'!$A:$A,'Intake Responses'!$S:$S),"")</f>
        <v/>
      </c>
      <c r="S449" s="3" t="n"/>
      <c r="T449" s="3" t="n"/>
      <c r="U449" s="3" t="n"/>
      <c r="V449" s="3">
        <f>IFERROR(MIN(5,ROUND(((M449+O449)/2)+(IF(J449&gt;=20,2,IF(J449&gt;=10,1.5,IF(J449&gt;=5,1,IF(J449&gt;=1,0.5,0))))),1)),0)</f>
        <v/>
      </c>
      <c r="W449" s="3">
        <f>IFERROR(SWITCH(F449,"Multiple times per day",5,"Daily",4,"Weekly",3,"Monthly",2,"Quarterly",1,"Ad hoc",1,"Unknown",0),0)</f>
        <v/>
      </c>
      <c r="X449" s="3">
        <f>IFERROR(ROUND(AVERAGE(L449,N449),1),0)</f>
        <v/>
      </c>
      <c r="Y449" s="3">
        <f>IFERROR(SWITCH(U449,"High",3,"Medium",2,"Low",0,"Unknown",1,1)+IF(Q449="Yes",2,IF(Q449="Unsure",1,0)),0)</f>
        <v/>
      </c>
      <c r="Z449" s="3">
        <f>IFERROR(ROUND((V449*2)+(W449*1)+(X449*2)+(IF(T449="Easy",2,IF(T449="Medium",1,IF(T449="Hard",-1,0))))-(Y449*2),1),0)</f>
        <v/>
      </c>
      <c r="AA449" s="3">
        <f>IFERROR(IF(S449="Not a fit","Not a Fit",IF(Y449&gt;=5,"High Risk / Needs Review",IF(AND(Z449&gt;=18,T449="Easy"),"Quick Win",IF(AND(Z449&gt;=18,T449&lt;&gt;"Easy"),"Strategic Project",IF(Z449&gt;=10,"Discovery Needed","Process Issue"))))),"")</f>
        <v/>
      </c>
      <c r="AB449" s="3">
        <f>IFERROR(SWITCH(AA449,"Quick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49" s="3" t="n"/>
      <c r="AD449" s="3" t="n"/>
      <c r="AE449" s="3" t="n"/>
    </row>
    <row r="450" ht="25" customHeight="1">
      <c r="A450" s="2" t="n"/>
      <c r="B450" s="2">
        <f>IFERROR(XLOOKUP(A450,'Intake Responses'!$A:$A,'Intake Responses'!$E:$E),"")</f>
        <v/>
      </c>
      <c r="C450" s="2">
        <f>IFERROR(XLOOKUP(A450,'Intake Responses'!$A:$A,'Intake Responses'!$D:$D),"")</f>
        <v/>
      </c>
      <c r="D450" s="2">
        <f>IFERROR(XLOOKUP(A450,'Intake Responses'!$A:$A,'Intake Responses'!$F:$F),"")</f>
        <v/>
      </c>
      <c r="E450" s="2" t="n"/>
      <c r="F450" s="2">
        <f>IFERROR(XLOOKUP(A450,'Intake Responses'!$A:$A,'Intake Responses'!$M:$M),"")</f>
        <v/>
      </c>
      <c r="G450" s="2">
        <f>IFERROR(XLOOKUP(A450,'Intake Responses'!$A:$A,'Intake Responses'!$N:$N),"")</f>
        <v/>
      </c>
      <c r="H450" s="2">
        <f>IFERROR(XLOOKUP(A450,'Intake Responses'!$A:$A,'Intake Responses'!$O:$O),"")</f>
        <v/>
      </c>
      <c r="I450" s="2">
        <f>IFERROR(SWITCH(F450,"Multiple times per day",60,"Daily",20,"Weekly",4,"Monthly",1,"Quarterly",0.33,"Ad hoc",0.5,"Unknown",0),0)</f>
        <v/>
      </c>
      <c r="J450" s="2">
        <f>IFERROR((G450*H450*I450)/60,0)</f>
        <v/>
      </c>
      <c r="K450" s="2">
        <f>IFERROR(J450*12,0)</f>
        <v/>
      </c>
      <c r="L450" s="2">
        <f>IFERROR(XLOOKUP(A450,'Intake Responses'!$A:$A,'Intake Responses'!$T:$T),"")</f>
        <v/>
      </c>
      <c r="M450" s="2">
        <f>IFERROR(XLOOKUP(A450,'Intake Responses'!$A:$A,'Intake Responses'!$U:$U),"")</f>
        <v/>
      </c>
      <c r="N450" s="2">
        <f>IFERROR(XLOOKUP(A450,'Intake Responses'!$A:$A,'Intake Responses'!$V:$V),"")</f>
        <v/>
      </c>
      <c r="O450" s="2">
        <f>IFERROR(XLOOKUP(A450,'Intake Responses'!$A:$A,'Intake Responses'!$W:$W),"")</f>
        <v/>
      </c>
      <c r="P450" s="2">
        <f>IFERROR(XLOOKUP(A450,'Intake Responses'!$A:$A,'Intake Responses'!$X:$X),"")</f>
        <v/>
      </c>
      <c r="Q450" s="2">
        <f>IFERROR(XLOOKUP(A450,'Intake Responses'!$A:$A,'Intake Responses'!$AF:$AF),"")</f>
        <v/>
      </c>
      <c r="R450" s="2">
        <f>IFERROR(XLOOKUP(A450,'Intake Responses'!$A:$A,'Intake Responses'!$S:$S),"")</f>
        <v/>
      </c>
      <c r="S450" s="2" t="n"/>
      <c r="T450" s="2" t="n"/>
      <c r="U450" s="2" t="n"/>
      <c r="V450" s="2">
        <f>IFERROR(MIN(5,ROUND(((M450+O450)/2)+(IF(J450&gt;=20,2,IF(J450&gt;=10,1.5,IF(J450&gt;=5,1,IF(J450&gt;=1,0.5,0))))),1)),0)</f>
        <v/>
      </c>
      <c r="W450" s="2">
        <f>IFERROR(SWITCH(F450,"Multiple times per day",5,"Daily",4,"Weekly",3,"Monthly",2,"Quarterly",1,"Ad hoc",1,"Unknown",0),0)</f>
        <v/>
      </c>
      <c r="X450" s="2">
        <f>IFERROR(ROUND(AVERAGE(L450,N450),1),0)</f>
        <v/>
      </c>
      <c r="Y450" s="2">
        <f>IFERROR(SWITCH(U450,"High",3,"Medium",2,"Low",0,"Unknown",1,1)+IF(Q450="Yes",2,IF(Q450="Unsure",1,0)),0)</f>
        <v/>
      </c>
      <c r="Z450" s="2">
        <f>IFERROR(ROUND((V450*2)+(W450*1)+(X450*2)+(IF(T450="Easy",2,IF(T450="Medium",1,IF(T450="Hard",-1,0))))-(Y450*2),1),0)</f>
        <v/>
      </c>
      <c r="AA450" s="2">
        <f>IFERROR(IF(S450="Not a fit","Not a Fit",IF(Y450&gt;=5,"High Risk / Needs Review",IF(AND(Z450&gt;=18,T450="Easy"),"Quick Win",IF(AND(Z450&gt;=18,T450&lt;&gt;"Easy"),"Strategic Project",IF(Z450&gt;=10,"Discovery Needed","Process Issue"))))),"")</f>
        <v/>
      </c>
      <c r="AB450" s="2">
        <f>IFERROR(SWITCH(AA450,"Quick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0" s="2" t="n"/>
      <c r="AD450" s="2" t="n"/>
      <c r="AE450" s="2" t="n"/>
    </row>
    <row r="451" ht="25" customHeight="1">
      <c r="A451" s="3" t="n"/>
      <c r="B451" s="3">
        <f>IFERROR(XLOOKUP(A451,'Intake Responses'!$A:$A,'Intake Responses'!$E:$E),"")</f>
        <v/>
      </c>
      <c r="C451" s="3">
        <f>IFERROR(XLOOKUP(A451,'Intake Responses'!$A:$A,'Intake Responses'!$D:$D),"")</f>
        <v/>
      </c>
      <c r="D451" s="3">
        <f>IFERROR(XLOOKUP(A451,'Intake Responses'!$A:$A,'Intake Responses'!$F:$F),"")</f>
        <v/>
      </c>
      <c r="E451" s="3" t="n"/>
      <c r="F451" s="3">
        <f>IFERROR(XLOOKUP(A451,'Intake Responses'!$A:$A,'Intake Responses'!$M:$M),"")</f>
        <v/>
      </c>
      <c r="G451" s="3">
        <f>IFERROR(XLOOKUP(A451,'Intake Responses'!$A:$A,'Intake Responses'!$N:$N),"")</f>
        <v/>
      </c>
      <c r="H451" s="3">
        <f>IFERROR(XLOOKUP(A451,'Intake Responses'!$A:$A,'Intake Responses'!$O:$O),"")</f>
        <v/>
      </c>
      <c r="I451" s="3">
        <f>IFERROR(SWITCH(F451,"Multiple times per day",60,"Daily",20,"Weekly",4,"Monthly",1,"Quarterly",0.33,"Ad hoc",0.5,"Unknown",0),0)</f>
        <v/>
      </c>
      <c r="J451" s="3">
        <f>IFERROR((G451*H451*I451)/60,0)</f>
        <v/>
      </c>
      <c r="K451" s="3">
        <f>IFERROR(J451*12,0)</f>
        <v/>
      </c>
      <c r="L451" s="3">
        <f>IFERROR(XLOOKUP(A451,'Intake Responses'!$A:$A,'Intake Responses'!$T:$T),"")</f>
        <v/>
      </c>
      <c r="M451" s="3">
        <f>IFERROR(XLOOKUP(A451,'Intake Responses'!$A:$A,'Intake Responses'!$U:$U),"")</f>
        <v/>
      </c>
      <c r="N451" s="3">
        <f>IFERROR(XLOOKUP(A451,'Intake Responses'!$A:$A,'Intake Responses'!$V:$V),"")</f>
        <v/>
      </c>
      <c r="O451" s="3">
        <f>IFERROR(XLOOKUP(A451,'Intake Responses'!$A:$A,'Intake Responses'!$W:$W),"")</f>
        <v/>
      </c>
      <c r="P451" s="3">
        <f>IFERROR(XLOOKUP(A451,'Intake Responses'!$A:$A,'Intake Responses'!$X:$X),"")</f>
        <v/>
      </c>
      <c r="Q451" s="3">
        <f>IFERROR(XLOOKUP(A451,'Intake Responses'!$A:$A,'Intake Responses'!$AF:$AF),"")</f>
        <v/>
      </c>
      <c r="R451" s="3">
        <f>IFERROR(XLOOKUP(A451,'Intake Responses'!$A:$A,'Intake Responses'!$S:$S),"")</f>
        <v/>
      </c>
      <c r="S451" s="3" t="n"/>
      <c r="T451" s="3" t="n"/>
      <c r="U451" s="3" t="n"/>
      <c r="V451" s="3">
        <f>IFERROR(MIN(5,ROUND(((M451+O451)/2)+(IF(J451&gt;=20,2,IF(J451&gt;=10,1.5,IF(J451&gt;=5,1,IF(J451&gt;=1,0.5,0))))),1)),0)</f>
        <v/>
      </c>
      <c r="W451" s="3">
        <f>IFERROR(SWITCH(F451,"Multiple times per day",5,"Daily",4,"Weekly",3,"Monthly",2,"Quarterly",1,"Ad hoc",1,"Unknown",0),0)</f>
        <v/>
      </c>
      <c r="X451" s="3">
        <f>IFERROR(ROUND(AVERAGE(L451,N451),1),0)</f>
        <v/>
      </c>
      <c r="Y451" s="3">
        <f>IFERROR(SWITCH(U451,"High",3,"Medium",2,"Low",0,"Unknown",1,1)+IF(Q451="Yes",2,IF(Q451="Unsure",1,0)),0)</f>
        <v/>
      </c>
      <c r="Z451" s="3">
        <f>IFERROR(ROUND((V451*2)+(W451*1)+(X451*2)+(IF(T451="Easy",2,IF(T451="Medium",1,IF(T451="Hard",-1,0))))-(Y451*2),1),0)</f>
        <v/>
      </c>
      <c r="AA451" s="3">
        <f>IFERROR(IF(S451="Not a fit","Not a Fit",IF(Y451&gt;=5,"High Risk / Needs Review",IF(AND(Z451&gt;=18,T451="Easy"),"Quick Win",IF(AND(Z451&gt;=18,T451&lt;&gt;"Easy"),"Strategic Project",IF(Z451&gt;=10,"Discovery Needed","Process Issue"))))),"")</f>
        <v/>
      </c>
      <c r="AB451" s="3">
        <f>IFERROR(SWITCH(AA451,"Quick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1" s="3" t="n"/>
      <c r="AD451" s="3" t="n"/>
      <c r="AE451" s="3" t="n"/>
    </row>
    <row r="452" ht="25" customHeight="1">
      <c r="A452" s="2" t="n"/>
      <c r="B452" s="2">
        <f>IFERROR(XLOOKUP(A452,'Intake Responses'!$A:$A,'Intake Responses'!$E:$E),"")</f>
        <v/>
      </c>
      <c r="C452" s="2">
        <f>IFERROR(XLOOKUP(A452,'Intake Responses'!$A:$A,'Intake Responses'!$D:$D),"")</f>
        <v/>
      </c>
      <c r="D452" s="2">
        <f>IFERROR(XLOOKUP(A452,'Intake Responses'!$A:$A,'Intake Responses'!$F:$F),"")</f>
        <v/>
      </c>
      <c r="E452" s="2" t="n"/>
      <c r="F452" s="2">
        <f>IFERROR(XLOOKUP(A452,'Intake Responses'!$A:$A,'Intake Responses'!$M:$M),"")</f>
        <v/>
      </c>
      <c r="G452" s="2">
        <f>IFERROR(XLOOKUP(A452,'Intake Responses'!$A:$A,'Intake Responses'!$N:$N),"")</f>
        <v/>
      </c>
      <c r="H452" s="2">
        <f>IFERROR(XLOOKUP(A452,'Intake Responses'!$A:$A,'Intake Responses'!$O:$O),"")</f>
        <v/>
      </c>
      <c r="I452" s="2">
        <f>IFERROR(SWITCH(F452,"Multiple times per day",60,"Daily",20,"Weekly",4,"Monthly",1,"Quarterly",0.33,"Ad hoc",0.5,"Unknown",0),0)</f>
        <v/>
      </c>
      <c r="J452" s="2">
        <f>IFERROR((G452*H452*I452)/60,0)</f>
        <v/>
      </c>
      <c r="K452" s="2">
        <f>IFERROR(J452*12,0)</f>
        <v/>
      </c>
      <c r="L452" s="2">
        <f>IFERROR(XLOOKUP(A452,'Intake Responses'!$A:$A,'Intake Responses'!$T:$T),"")</f>
        <v/>
      </c>
      <c r="M452" s="2">
        <f>IFERROR(XLOOKUP(A452,'Intake Responses'!$A:$A,'Intake Responses'!$U:$U),"")</f>
        <v/>
      </c>
      <c r="N452" s="2">
        <f>IFERROR(XLOOKUP(A452,'Intake Responses'!$A:$A,'Intake Responses'!$V:$V),"")</f>
        <v/>
      </c>
      <c r="O452" s="2">
        <f>IFERROR(XLOOKUP(A452,'Intake Responses'!$A:$A,'Intake Responses'!$W:$W),"")</f>
        <v/>
      </c>
      <c r="P452" s="2">
        <f>IFERROR(XLOOKUP(A452,'Intake Responses'!$A:$A,'Intake Responses'!$X:$X),"")</f>
        <v/>
      </c>
      <c r="Q452" s="2">
        <f>IFERROR(XLOOKUP(A452,'Intake Responses'!$A:$A,'Intake Responses'!$AF:$AF),"")</f>
        <v/>
      </c>
      <c r="R452" s="2">
        <f>IFERROR(XLOOKUP(A452,'Intake Responses'!$A:$A,'Intake Responses'!$S:$S),"")</f>
        <v/>
      </c>
      <c r="S452" s="2" t="n"/>
      <c r="T452" s="2" t="n"/>
      <c r="U452" s="2" t="n"/>
      <c r="V452" s="2">
        <f>IFERROR(MIN(5,ROUND(((M452+O452)/2)+(IF(J452&gt;=20,2,IF(J452&gt;=10,1.5,IF(J452&gt;=5,1,IF(J452&gt;=1,0.5,0))))),1)),0)</f>
        <v/>
      </c>
      <c r="W452" s="2">
        <f>IFERROR(SWITCH(F452,"Multiple times per day",5,"Daily",4,"Weekly",3,"Monthly",2,"Quarterly",1,"Ad hoc",1,"Unknown",0),0)</f>
        <v/>
      </c>
      <c r="X452" s="2">
        <f>IFERROR(ROUND(AVERAGE(L452,N452),1),0)</f>
        <v/>
      </c>
      <c r="Y452" s="2">
        <f>IFERROR(SWITCH(U452,"High",3,"Medium",2,"Low",0,"Unknown",1,1)+IF(Q452="Yes",2,IF(Q452="Unsure",1,0)),0)</f>
        <v/>
      </c>
      <c r="Z452" s="2">
        <f>IFERROR(ROUND((V452*2)+(W452*1)+(X452*2)+(IF(T452="Easy",2,IF(T452="Medium",1,IF(T452="Hard",-1,0))))-(Y452*2),1),0)</f>
        <v/>
      </c>
      <c r="AA452" s="2">
        <f>IFERROR(IF(S452="Not a fit","Not a Fit",IF(Y452&gt;=5,"High Risk / Needs Review",IF(AND(Z452&gt;=18,T452="Easy"),"Quick Win",IF(AND(Z452&gt;=18,T452&lt;&gt;"Easy"),"Strategic Project",IF(Z452&gt;=10,"Discovery Needed","Process Issue"))))),"")</f>
        <v/>
      </c>
      <c r="AB452" s="2">
        <f>IFERROR(SWITCH(AA452,"Quick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2" s="2" t="n"/>
      <c r="AD452" s="2" t="n"/>
      <c r="AE452" s="2" t="n"/>
    </row>
    <row r="453" ht="25" customHeight="1">
      <c r="A453" s="3" t="n"/>
      <c r="B453" s="3">
        <f>IFERROR(XLOOKUP(A453,'Intake Responses'!$A:$A,'Intake Responses'!$E:$E),"")</f>
        <v/>
      </c>
      <c r="C453" s="3">
        <f>IFERROR(XLOOKUP(A453,'Intake Responses'!$A:$A,'Intake Responses'!$D:$D),"")</f>
        <v/>
      </c>
      <c r="D453" s="3">
        <f>IFERROR(XLOOKUP(A453,'Intake Responses'!$A:$A,'Intake Responses'!$F:$F),"")</f>
        <v/>
      </c>
      <c r="E453" s="3" t="n"/>
      <c r="F453" s="3">
        <f>IFERROR(XLOOKUP(A453,'Intake Responses'!$A:$A,'Intake Responses'!$M:$M),"")</f>
        <v/>
      </c>
      <c r="G453" s="3">
        <f>IFERROR(XLOOKUP(A453,'Intake Responses'!$A:$A,'Intake Responses'!$N:$N),"")</f>
        <v/>
      </c>
      <c r="H453" s="3">
        <f>IFERROR(XLOOKUP(A453,'Intake Responses'!$A:$A,'Intake Responses'!$O:$O),"")</f>
        <v/>
      </c>
      <c r="I453" s="3">
        <f>IFERROR(SWITCH(F453,"Multiple times per day",60,"Daily",20,"Weekly",4,"Monthly",1,"Quarterly",0.33,"Ad hoc",0.5,"Unknown",0),0)</f>
        <v/>
      </c>
      <c r="J453" s="3">
        <f>IFERROR((G453*H453*I453)/60,0)</f>
        <v/>
      </c>
      <c r="K453" s="3">
        <f>IFERROR(J453*12,0)</f>
        <v/>
      </c>
      <c r="L453" s="3">
        <f>IFERROR(XLOOKUP(A453,'Intake Responses'!$A:$A,'Intake Responses'!$T:$T),"")</f>
        <v/>
      </c>
      <c r="M453" s="3">
        <f>IFERROR(XLOOKUP(A453,'Intake Responses'!$A:$A,'Intake Responses'!$U:$U),"")</f>
        <v/>
      </c>
      <c r="N453" s="3">
        <f>IFERROR(XLOOKUP(A453,'Intake Responses'!$A:$A,'Intake Responses'!$V:$V),"")</f>
        <v/>
      </c>
      <c r="O453" s="3">
        <f>IFERROR(XLOOKUP(A453,'Intake Responses'!$A:$A,'Intake Responses'!$W:$W),"")</f>
        <v/>
      </c>
      <c r="P453" s="3">
        <f>IFERROR(XLOOKUP(A453,'Intake Responses'!$A:$A,'Intake Responses'!$X:$X),"")</f>
        <v/>
      </c>
      <c r="Q453" s="3">
        <f>IFERROR(XLOOKUP(A453,'Intake Responses'!$A:$A,'Intake Responses'!$AF:$AF),"")</f>
        <v/>
      </c>
      <c r="R453" s="3">
        <f>IFERROR(XLOOKUP(A453,'Intake Responses'!$A:$A,'Intake Responses'!$S:$S),"")</f>
        <v/>
      </c>
      <c r="S453" s="3" t="n"/>
      <c r="T453" s="3" t="n"/>
      <c r="U453" s="3" t="n"/>
      <c r="V453" s="3">
        <f>IFERROR(MIN(5,ROUND(((M453+O453)/2)+(IF(J453&gt;=20,2,IF(J453&gt;=10,1.5,IF(J453&gt;=5,1,IF(J453&gt;=1,0.5,0))))),1)),0)</f>
        <v/>
      </c>
      <c r="W453" s="3">
        <f>IFERROR(SWITCH(F453,"Multiple times per day",5,"Daily",4,"Weekly",3,"Monthly",2,"Quarterly",1,"Ad hoc",1,"Unknown",0),0)</f>
        <v/>
      </c>
      <c r="X453" s="3">
        <f>IFERROR(ROUND(AVERAGE(L453,N453),1),0)</f>
        <v/>
      </c>
      <c r="Y453" s="3">
        <f>IFERROR(SWITCH(U453,"High",3,"Medium",2,"Low",0,"Unknown",1,1)+IF(Q453="Yes",2,IF(Q453="Unsure",1,0)),0)</f>
        <v/>
      </c>
      <c r="Z453" s="3">
        <f>IFERROR(ROUND((V453*2)+(W453*1)+(X453*2)+(IF(T453="Easy",2,IF(T453="Medium",1,IF(T453="Hard",-1,0))))-(Y453*2),1),0)</f>
        <v/>
      </c>
      <c r="AA453" s="3">
        <f>IFERROR(IF(S453="Not a fit","Not a Fit",IF(Y453&gt;=5,"High Risk / Needs Review",IF(AND(Z453&gt;=18,T453="Easy"),"Quick Win",IF(AND(Z453&gt;=18,T453&lt;&gt;"Easy"),"Strategic Project",IF(Z453&gt;=10,"Discovery Needed","Process Issue"))))),"")</f>
        <v/>
      </c>
      <c r="AB453" s="3">
        <f>IFERROR(SWITCH(AA453,"Quick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3" s="3" t="n"/>
      <c r="AD453" s="3" t="n"/>
      <c r="AE453" s="3" t="n"/>
    </row>
    <row r="454" ht="25" customHeight="1">
      <c r="A454" s="2" t="n"/>
      <c r="B454" s="2">
        <f>IFERROR(XLOOKUP(A454,'Intake Responses'!$A:$A,'Intake Responses'!$E:$E),"")</f>
        <v/>
      </c>
      <c r="C454" s="2">
        <f>IFERROR(XLOOKUP(A454,'Intake Responses'!$A:$A,'Intake Responses'!$D:$D),"")</f>
        <v/>
      </c>
      <c r="D454" s="2">
        <f>IFERROR(XLOOKUP(A454,'Intake Responses'!$A:$A,'Intake Responses'!$F:$F),"")</f>
        <v/>
      </c>
      <c r="E454" s="2" t="n"/>
      <c r="F454" s="2">
        <f>IFERROR(XLOOKUP(A454,'Intake Responses'!$A:$A,'Intake Responses'!$M:$M),"")</f>
        <v/>
      </c>
      <c r="G454" s="2">
        <f>IFERROR(XLOOKUP(A454,'Intake Responses'!$A:$A,'Intake Responses'!$N:$N),"")</f>
        <v/>
      </c>
      <c r="H454" s="2">
        <f>IFERROR(XLOOKUP(A454,'Intake Responses'!$A:$A,'Intake Responses'!$O:$O),"")</f>
        <v/>
      </c>
      <c r="I454" s="2">
        <f>IFERROR(SWITCH(F454,"Multiple times per day",60,"Daily",20,"Weekly",4,"Monthly",1,"Quarterly",0.33,"Ad hoc",0.5,"Unknown",0),0)</f>
        <v/>
      </c>
      <c r="J454" s="2">
        <f>IFERROR((G454*H454*I454)/60,0)</f>
        <v/>
      </c>
      <c r="K454" s="2">
        <f>IFERROR(J454*12,0)</f>
        <v/>
      </c>
      <c r="L454" s="2">
        <f>IFERROR(XLOOKUP(A454,'Intake Responses'!$A:$A,'Intake Responses'!$T:$T),"")</f>
        <v/>
      </c>
      <c r="M454" s="2">
        <f>IFERROR(XLOOKUP(A454,'Intake Responses'!$A:$A,'Intake Responses'!$U:$U),"")</f>
        <v/>
      </c>
      <c r="N454" s="2">
        <f>IFERROR(XLOOKUP(A454,'Intake Responses'!$A:$A,'Intake Responses'!$V:$V),"")</f>
        <v/>
      </c>
      <c r="O454" s="2">
        <f>IFERROR(XLOOKUP(A454,'Intake Responses'!$A:$A,'Intake Responses'!$W:$W),"")</f>
        <v/>
      </c>
      <c r="P454" s="2">
        <f>IFERROR(XLOOKUP(A454,'Intake Responses'!$A:$A,'Intake Responses'!$X:$X),"")</f>
        <v/>
      </c>
      <c r="Q454" s="2">
        <f>IFERROR(XLOOKUP(A454,'Intake Responses'!$A:$A,'Intake Responses'!$AF:$AF),"")</f>
        <v/>
      </c>
      <c r="R454" s="2">
        <f>IFERROR(XLOOKUP(A454,'Intake Responses'!$A:$A,'Intake Responses'!$S:$S),"")</f>
        <v/>
      </c>
      <c r="S454" s="2" t="n"/>
      <c r="T454" s="2" t="n"/>
      <c r="U454" s="2" t="n"/>
      <c r="V454" s="2">
        <f>IFERROR(MIN(5,ROUND(((M454+O454)/2)+(IF(J454&gt;=20,2,IF(J454&gt;=10,1.5,IF(J454&gt;=5,1,IF(J454&gt;=1,0.5,0))))),1)),0)</f>
        <v/>
      </c>
      <c r="W454" s="2">
        <f>IFERROR(SWITCH(F454,"Multiple times per day",5,"Daily",4,"Weekly",3,"Monthly",2,"Quarterly",1,"Ad hoc",1,"Unknown",0),0)</f>
        <v/>
      </c>
      <c r="X454" s="2">
        <f>IFERROR(ROUND(AVERAGE(L454,N454),1),0)</f>
        <v/>
      </c>
      <c r="Y454" s="2">
        <f>IFERROR(SWITCH(U454,"High",3,"Medium",2,"Low",0,"Unknown",1,1)+IF(Q454="Yes",2,IF(Q454="Unsure",1,0)),0)</f>
        <v/>
      </c>
      <c r="Z454" s="2">
        <f>IFERROR(ROUND((V454*2)+(W454*1)+(X454*2)+(IF(T454="Easy",2,IF(T454="Medium",1,IF(T454="Hard",-1,0))))-(Y454*2),1),0)</f>
        <v/>
      </c>
      <c r="AA454" s="2">
        <f>IFERROR(IF(S454="Not a fit","Not a Fit",IF(Y454&gt;=5,"High Risk / Needs Review",IF(AND(Z454&gt;=18,T454="Easy"),"Quick Win",IF(AND(Z454&gt;=18,T454&lt;&gt;"Easy"),"Strategic Project",IF(Z454&gt;=10,"Discovery Needed","Process Issue"))))),"")</f>
        <v/>
      </c>
      <c r="AB454" s="2">
        <f>IFERROR(SWITCH(AA454,"Quick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4" s="2" t="n"/>
      <c r="AD454" s="2" t="n"/>
      <c r="AE454" s="2" t="n"/>
    </row>
    <row r="455" ht="25" customHeight="1">
      <c r="A455" s="3" t="n"/>
      <c r="B455" s="3">
        <f>IFERROR(XLOOKUP(A455,'Intake Responses'!$A:$A,'Intake Responses'!$E:$E),"")</f>
        <v/>
      </c>
      <c r="C455" s="3">
        <f>IFERROR(XLOOKUP(A455,'Intake Responses'!$A:$A,'Intake Responses'!$D:$D),"")</f>
        <v/>
      </c>
      <c r="D455" s="3">
        <f>IFERROR(XLOOKUP(A455,'Intake Responses'!$A:$A,'Intake Responses'!$F:$F),"")</f>
        <v/>
      </c>
      <c r="E455" s="3" t="n"/>
      <c r="F455" s="3">
        <f>IFERROR(XLOOKUP(A455,'Intake Responses'!$A:$A,'Intake Responses'!$M:$M),"")</f>
        <v/>
      </c>
      <c r="G455" s="3">
        <f>IFERROR(XLOOKUP(A455,'Intake Responses'!$A:$A,'Intake Responses'!$N:$N),"")</f>
        <v/>
      </c>
      <c r="H455" s="3">
        <f>IFERROR(XLOOKUP(A455,'Intake Responses'!$A:$A,'Intake Responses'!$O:$O),"")</f>
        <v/>
      </c>
      <c r="I455" s="3">
        <f>IFERROR(SWITCH(F455,"Multiple times per day",60,"Daily",20,"Weekly",4,"Monthly",1,"Quarterly",0.33,"Ad hoc",0.5,"Unknown",0),0)</f>
        <v/>
      </c>
      <c r="J455" s="3">
        <f>IFERROR((G455*H455*I455)/60,0)</f>
        <v/>
      </c>
      <c r="K455" s="3">
        <f>IFERROR(J455*12,0)</f>
        <v/>
      </c>
      <c r="L455" s="3">
        <f>IFERROR(XLOOKUP(A455,'Intake Responses'!$A:$A,'Intake Responses'!$T:$T),"")</f>
        <v/>
      </c>
      <c r="M455" s="3">
        <f>IFERROR(XLOOKUP(A455,'Intake Responses'!$A:$A,'Intake Responses'!$U:$U),"")</f>
        <v/>
      </c>
      <c r="N455" s="3">
        <f>IFERROR(XLOOKUP(A455,'Intake Responses'!$A:$A,'Intake Responses'!$V:$V),"")</f>
        <v/>
      </c>
      <c r="O455" s="3">
        <f>IFERROR(XLOOKUP(A455,'Intake Responses'!$A:$A,'Intake Responses'!$W:$W),"")</f>
        <v/>
      </c>
      <c r="P455" s="3">
        <f>IFERROR(XLOOKUP(A455,'Intake Responses'!$A:$A,'Intake Responses'!$X:$X),"")</f>
        <v/>
      </c>
      <c r="Q455" s="3">
        <f>IFERROR(XLOOKUP(A455,'Intake Responses'!$A:$A,'Intake Responses'!$AF:$AF),"")</f>
        <v/>
      </c>
      <c r="R455" s="3">
        <f>IFERROR(XLOOKUP(A455,'Intake Responses'!$A:$A,'Intake Responses'!$S:$S),"")</f>
        <v/>
      </c>
      <c r="S455" s="3" t="n"/>
      <c r="T455" s="3" t="n"/>
      <c r="U455" s="3" t="n"/>
      <c r="V455" s="3">
        <f>IFERROR(MIN(5,ROUND(((M455+O455)/2)+(IF(J455&gt;=20,2,IF(J455&gt;=10,1.5,IF(J455&gt;=5,1,IF(J455&gt;=1,0.5,0))))),1)),0)</f>
        <v/>
      </c>
      <c r="W455" s="3">
        <f>IFERROR(SWITCH(F455,"Multiple times per day",5,"Daily",4,"Weekly",3,"Monthly",2,"Quarterly",1,"Ad hoc",1,"Unknown",0),0)</f>
        <v/>
      </c>
      <c r="X455" s="3">
        <f>IFERROR(ROUND(AVERAGE(L455,N455),1),0)</f>
        <v/>
      </c>
      <c r="Y455" s="3">
        <f>IFERROR(SWITCH(U455,"High",3,"Medium",2,"Low",0,"Unknown",1,1)+IF(Q455="Yes",2,IF(Q455="Unsure",1,0)),0)</f>
        <v/>
      </c>
      <c r="Z455" s="3">
        <f>IFERROR(ROUND((V455*2)+(W455*1)+(X455*2)+(IF(T455="Easy",2,IF(T455="Medium",1,IF(T455="Hard",-1,0))))-(Y455*2),1),0)</f>
        <v/>
      </c>
      <c r="AA455" s="3">
        <f>IFERROR(IF(S455="Not a fit","Not a Fit",IF(Y455&gt;=5,"High Risk / Needs Review",IF(AND(Z455&gt;=18,T455="Easy"),"Quick Win",IF(AND(Z455&gt;=18,T455&lt;&gt;"Easy"),"Strategic Project",IF(Z455&gt;=10,"Discovery Needed","Process Issue"))))),"")</f>
        <v/>
      </c>
      <c r="AB455" s="3">
        <f>IFERROR(SWITCH(AA455,"Quick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5" s="3" t="n"/>
      <c r="AD455" s="3" t="n"/>
      <c r="AE455" s="3" t="n"/>
    </row>
    <row r="456" ht="25" customHeight="1">
      <c r="A456" s="2" t="n"/>
      <c r="B456" s="2">
        <f>IFERROR(XLOOKUP(A456,'Intake Responses'!$A:$A,'Intake Responses'!$E:$E),"")</f>
        <v/>
      </c>
      <c r="C456" s="2">
        <f>IFERROR(XLOOKUP(A456,'Intake Responses'!$A:$A,'Intake Responses'!$D:$D),"")</f>
        <v/>
      </c>
      <c r="D456" s="2">
        <f>IFERROR(XLOOKUP(A456,'Intake Responses'!$A:$A,'Intake Responses'!$F:$F),"")</f>
        <v/>
      </c>
      <c r="E456" s="2" t="n"/>
      <c r="F456" s="2">
        <f>IFERROR(XLOOKUP(A456,'Intake Responses'!$A:$A,'Intake Responses'!$M:$M),"")</f>
        <v/>
      </c>
      <c r="G456" s="2">
        <f>IFERROR(XLOOKUP(A456,'Intake Responses'!$A:$A,'Intake Responses'!$N:$N),"")</f>
        <v/>
      </c>
      <c r="H456" s="2">
        <f>IFERROR(XLOOKUP(A456,'Intake Responses'!$A:$A,'Intake Responses'!$O:$O),"")</f>
        <v/>
      </c>
      <c r="I456" s="2">
        <f>IFERROR(SWITCH(F456,"Multiple times per day",60,"Daily",20,"Weekly",4,"Monthly",1,"Quarterly",0.33,"Ad hoc",0.5,"Unknown",0),0)</f>
        <v/>
      </c>
      <c r="J456" s="2">
        <f>IFERROR((G456*H456*I456)/60,0)</f>
        <v/>
      </c>
      <c r="K456" s="2">
        <f>IFERROR(J456*12,0)</f>
        <v/>
      </c>
      <c r="L456" s="2">
        <f>IFERROR(XLOOKUP(A456,'Intake Responses'!$A:$A,'Intake Responses'!$T:$T),"")</f>
        <v/>
      </c>
      <c r="M456" s="2">
        <f>IFERROR(XLOOKUP(A456,'Intake Responses'!$A:$A,'Intake Responses'!$U:$U),"")</f>
        <v/>
      </c>
      <c r="N456" s="2">
        <f>IFERROR(XLOOKUP(A456,'Intake Responses'!$A:$A,'Intake Responses'!$V:$V),"")</f>
        <v/>
      </c>
      <c r="O456" s="2">
        <f>IFERROR(XLOOKUP(A456,'Intake Responses'!$A:$A,'Intake Responses'!$W:$W),"")</f>
        <v/>
      </c>
      <c r="P456" s="2">
        <f>IFERROR(XLOOKUP(A456,'Intake Responses'!$A:$A,'Intake Responses'!$X:$X),"")</f>
        <v/>
      </c>
      <c r="Q456" s="2">
        <f>IFERROR(XLOOKUP(A456,'Intake Responses'!$A:$A,'Intake Responses'!$AF:$AF),"")</f>
        <v/>
      </c>
      <c r="R456" s="2">
        <f>IFERROR(XLOOKUP(A456,'Intake Responses'!$A:$A,'Intake Responses'!$S:$S),"")</f>
        <v/>
      </c>
      <c r="S456" s="2" t="n"/>
      <c r="T456" s="2" t="n"/>
      <c r="U456" s="2" t="n"/>
      <c r="V456" s="2">
        <f>IFERROR(MIN(5,ROUND(((M456+O456)/2)+(IF(J456&gt;=20,2,IF(J456&gt;=10,1.5,IF(J456&gt;=5,1,IF(J456&gt;=1,0.5,0))))),1)),0)</f>
        <v/>
      </c>
      <c r="W456" s="2">
        <f>IFERROR(SWITCH(F456,"Multiple times per day",5,"Daily",4,"Weekly",3,"Monthly",2,"Quarterly",1,"Ad hoc",1,"Unknown",0),0)</f>
        <v/>
      </c>
      <c r="X456" s="2">
        <f>IFERROR(ROUND(AVERAGE(L456,N456),1),0)</f>
        <v/>
      </c>
      <c r="Y456" s="2">
        <f>IFERROR(SWITCH(U456,"High",3,"Medium",2,"Low",0,"Unknown",1,1)+IF(Q456="Yes",2,IF(Q456="Unsure",1,0)),0)</f>
        <v/>
      </c>
      <c r="Z456" s="2">
        <f>IFERROR(ROUND((V456*2)+(W456*1)+(X456*2)+(IF(T456="Easy",2,IF(T456="Medium",1,IF(T456="Hard",-1,0))))-(Y456*2),1),0)</f>
        <v/>
      </c>
      <c r="AA456" s="2">
        <f>IFERROR(IF(S456="Not a fit","Not a Fit",IF(Y456&gt;=5,"High Risk / Needs Review",IF(AND(Z456&gt;=18,T456="Easy"),"Quick Win",IF(AND(Z456&gt;=18,T456&lt;&gt;"Easy"),"Strategic Project",IF(Z456&gt;=10,"Discovery Needed","Process Issue"))))),"")</f>
        <v/>
      </c>
      <c r="AB456" s="2">
        <f>IFERROR(SWITCH(AA456,"Quick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6" s="2" t="n"/>
      <c r="AD456" s="2" t="n"/>
      <c r="AE456" s="2" t="n"/>
    </row>
    <row r="457" ht="25" customHeight="1">
      <c r="A457" s="3" t="n"/>
      <c r="B457" s="3">
        <f>IFERROR(XLOOKUP(A457,'Intake Responses'!$A:$A,'Intake Responses'!$E:$E),"")</f>
        <v/>
      </c>
      <c r="C457" s="3">
        <f>IFERROR(XLOOKUP(A457,'Intake Responses'!$A:$A,'Intake Responses'!$D:$D),"")</f>
        <v/>
      </c>
      <c r="D457" s="3">
        <f>IFERROR(XLOOKUP(A457,'Intake Responses'!$A:$A,'Intake Responses'!$F:$F),"")</f>
        <v/>
      </c>
      <c r="E457" s="3" t="n"/>
      <c r="F457" s="3">
        <f>IFERROR(XLOOKUP(A457,'Intake Responses'!$A:$A,'Intake Responses'!$M:$M),"")</f>
        <v/>
      </c>
      <c r="G457" s="3">
        <f>IFERROR(XLOOKUP(A457,'Intake Responses'!$A:$A,'Intake Responses'!$N:$N),"")</f>
        <v/>
      </c>
      <c r="H457" s="3">
        <f>IFERROR(XLOOKUP(A457,'Intake Responses'!$A:$A,'Intake Responses'!$O:$O),"")</f>
        <v/>
      </c>
      <c r="I457" s="3">
        <f>IFERROR(SWITCH(F457,"Multiple times per day",60,"Daily",20,"Weekly",4,"Monthly",1,"Quarterly",0.33,"Ad hoc",0.5,"Unknown",0),0)</f>
        <v/>
      </c>
      <c r="J457" s="3">
        <f>IFERROR((G457*H457*I457)/60,0)</f>
        <v/>
      </c>
      <c r="K457" s="3">
        <f>IFERROR(J457*12,0)</f>
        <v/>
      </c>
      <c r="L457" s="3">
        <f>IFERROR(XLOOKUP(A457,'Intake Responses'!$A:$A,'Intake Responses'!$T:$T),"")</f>
        <v/>
      </c>
      <c r="M457" s="3">
        <f>IFERROR(XLOOKUP(A457,'Intake Responses'!$A:$A,'Intake Responses'!$U:$U),"")</f>
        <v/>
      </c>
      <c r="N457" s="3">
        <f>IFERROR(XLOOKUP(A457,'Intake Responses'!$A:$A,'Intake Responses'!$V:$V),"")</f>
        <v/>
      </c>
      <c r="O457" s="3">
        <f>IFERROR(XLOOKUP(A457,'Intake Responses'!$A:$A,'Intake Responses'!$W:$W),"")</f>
        <v/>
      </c>
      <c r="P457" s="3">
        <f>IFERROR(XLOOKUP(A457,'Intake Responses'!$A:$A,'Intake Responses'!$X:$X),"")</f>
        <v/>
      </c>
      <c r="Q457" s="3">
        <f>IFERROR(XLOOKUP(A457,'Intake Responses'!$A:$A,'Intake Responses'!$AF:$AF),"")</f>
        <v/>
      </c>
      <c r="R457" s="3">
        <f>IFERROR(XLOOKUP(A457,'Intake Responses'!$A:$A,'Intake Responses'!$S:$S),"")</f>
        <v/>
      </c>
      <c r="S457" s="3" t="n"/>
      <c r="T457" s="3" t="n"/>
      <c r="U457" s="3" t="n"/>
      <c r="V457" s="3">
        <f>IFERROR(MIN(5,ROUND(((M457+O457)/2)+(IF(J457&gt;=20,2,IF(J457&gt;=10,1.5,IF(J457&gt;=5,1,IF(J457&gt;=1,0.5,0))))),1)),0)</f>
        <v/>
      </c>
      <c r="W457" s="3">
        <f>IFERROR(SWITCH(F457,"Multiple times per day",5,"Daily",4,"Weekly",3,"Monthly",2,"Quarterly",1,"Ad hoc",1,"Unknown",0),0)</f>
        <v/>
      </c>
      <c r="X457" s="3">
        <f>IFERROR(ROUND(AVERAGE(L457,N457),1),0)</f>
        <v/>
      </c>
      <c r="Y457" s="3">
        <f>IFERROR(SWITCH(U457,"High",3,"Medium",2,"Low",0,"Unknown",1,1)+IF(Q457="Yes",2,IF(Q457="Unsure",1,0)),0)</f>
        <v/>
      </c>
      <c r="Z457" s="3">
        <f>IFERROR(ROUND((V457*2)+(W457*1)+(X457*2)+(IF(T457="Easy",2,IF(T457="Medium",1,IF(T457="Hard",-1,0))))-(Y457*2),1),0)</f>
        <v/>
      </c>
      <c r="AA457" s="3">
        <f>IFERROR(IF(S457="Not a fit","Not a Fit",IF(Y457&gt;=5,"High Risk / Needs Review",IF(AND(Z457&gt;=18,T457="Easy"),"Quick Win",IF(AND(Z457&gt;=18,T457&lt;&gt;"Easy"),"Strategic Project",IF(Z457&gt;=10,"Discovery Needed","Process Issue"))))),"")</f>
        <v/>
      </c>
      <c r="AB457" s="3">
        <f>IFERROR(SWITCH(AA457,"Quick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7" s="3" t="n"/>
      <c r="AD457" s="3" t="n"/>
      <c r="AE457" s="3" t="n"/>
    </row>
    <row r="458" ht="25" customHeight="1">
      <c r="A458" s="2" t="n"/>
      <c r="B458" s="2">
        <f>IFERROR(XLOOKUP(A458,'Intake Responses'!$A:$A,'Intake Responses'!$E:$E),"")</f>
        <v/>
      </c>
      <c r="C458" s="2">
        <f>IFERROR(XLOOKUP(A458,'Intake Responses'!$A:$A,'Intake Responses'!$D:$D),"")</f>
        <v/>
      </c>
      <c r="D458" s="2">
        <f>IFERROR(XLOOKUP(A458,'Intake Responses'!$A:$A,'Intake Responses'!$F:$F),"")</f>
        <v/>
      </c>
      <c r="E458" s="2" t="n"/>
      <c r="F458" s="2">
        <f>IFERROR(XLOOKUP(A458,'Intake Responses'!$A:$A,'Intake Responses'!$M:$M),"")</f>
        <v/>
      </c>
      <c r="G458" s="2">
        <f>IFERROR(XLOOKUP(A458,'Intake Responses'!$A:$A,'Intake Responses'!$N:$N),"")</f>
        <v/>
      </c>
      <c r="H458" s="2">
        <f>IFERROR(XLOOKUP(A458,'Intake Responses'!$A:$A,'Intake Responses'!$O:$O),"")</f>
        <v/>
      </c>
      <c r="I458" s="2">
        <f>IFERROR(SWITCH(F458,"Multiple times per day",60,"Daily",20,"Weekly",4,"Monthly",1,"Quarterly",0.33,"Ad hoc",0.5,"Unknown",0),0)</f>
        <v/>
      </c>
      <c r="J458" s="2">
        <f>IFERROR((G458*H458*I458)/60,0)</f>
        <v/>
      </c>
      <c r="K458" s="2">
        <f>IFERROR(J458*12,0)</f>
        <v/>
      </c>
      <c r="L458" s="2">
        <f>IFERROR(XLOOKUP(A458,'Intake Responses'!$A:$A,'Intake Responses'!$T:$T),"")</f>
        <v/>
      </c>
      <c r="M458" s="2">
        <f>IFERROR(XLOOKUP(A458,'Intake Responses'!$A:$A,'Intake Responses'!$U:$U),"")</f>
        <v/>
      </c>
      <c r="N458" s="2">
        <f>IFERROR(XLOOKUP(A458,'Intake Responses'!$A:$A,'Intake Responses'!$V:$V),"")</f>
        <v/>
      </c>
      <c r="O458" s="2">
        <f>IFERROR(XLOOKUP(A458,'Intake Responses'!$A:$A,'Intake Responses'!$W:$W),"")</f>
        <v/>
      </c>
      <c r="P458" s="2">
        <f>IFERROR(XLOOKUP(A458,'Intake Responses'!$A:$A,'Intake Responses'!$X:$X),"")</f>
        <v/>
      </c>
      <c r="Q458" s="2">
        <f>IFERROR(XLOOKUP(A458,'Intake Responses'!$A:$A,'Intake Responses'!$AF:$AF),"")</f>
        <v/>
      </c>
      <c r="R458" s="2">
        <f>IFERROR(XLOOKUP(A458,'Intake Responses'!$A:$A,'Intake Responses'!$S:$S),"")</f>
        <v/>
      </c>
      <c r="S458" s="2" t="n"/>
      <c r="T458" s="2" t="n"/>
      <c r="U458" s="2" t="n"/>
      <c r="V458" s="2">
        <f>IFERROR(MIN(5,ROUND(((M458+O458)/2)+(IF(J458&gt;=20,2,IF(J458&gt;=10,1.5,IF(J458&gt;=5,1,IF(J458&gt;=1,0.5,0))))),1)),0)</f>
        <v/>
      </c>
      <c r="W458" s="2">
        <f>IFERROR(SWITCH(F458,"Multiple times per day",5,"Daily",4,"Weekly",3,"Monthly",2,"Quarterly",1,"Ad hoc",1,"Unknown",0),0)</f>
        <v/>
      </c>
      <c r="X458" s="2">
        <f>IFERROR(ROUND(AVERAGE(L458,N458),1),0)</f>
        <v/>
      </c>
      <c r="Y458" s="2">
        <f>IFERROR(SWITCH(U458,"High",3,"Medium",2,"Low",0,"Unknown",1,1)+IF(Q458="Yes",2,IF(Q458="Unsure",1,0)),0)</f>
        <v/>
      </c>
      <c r="Z458" s="2">
        <f>IFERROR(ROUND((V458*2)+(W458*1)+(X458*2)+(IF(T458="Easy",2,IF(T458="Medium",1,IF(T458="Hard",-1,0))))-(Y458*2),1),0)</f>
        <v/>
      </c>
      <c r="AA458" s="2">
        <f>IFERROR(IF(S458="Not a fit","Not a Fit",IF(Y458&gt;=5,"High Risk / Needs Review",IF(AND(Z458&gt;=18,T458="Easy"),"Quick Win",IF(AND(Z458&gt;=18,T458&lt;&gt;"Easy"),"Strategic Project",IF(Z458&gt;=10,"Discovery Needed","Process Issue"))))),"")</f>
        <v/>
      </c>
      <c r="AB458" s="2">
        <f>IFERROR(SWITCH(AA458,"Quick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8" s="2" t="n"/>
      <c r="AD458" s="2" t="n"/>
      <c r="AE458" s="2" t="n"/>
    </row>
    <row r="459" ht="25" customHeight="1">
      <c r="A459" s="3" t="n"/>
      <c r="B459" s="3">
        <f>IFERROR(XLOOKUP(A459,'Intake Responses'!$A:$A,'Intake Responses'!$E:$E),"")</f>
        <v/>
      </c>
      <c r="C459" s="3">
        <f>IFERROR(XLOOKUP(A459,'Intake Responses'!$A:$A,'Intake Responses'!$D:$D),"")</f>
        <v/>
      </c>
      <c r="D459" s="3">
        <f>IFERROR(XLOOKUP(A459,'Intake Responses'!$A:$A,'Intake Responses'!$F:$F),"")</f>
        <v/>
      </c>
      <c r="E459" s="3" t="n"/>
      <c r="F459" s="3">
        <f>IFERROR(XLOOKUP(A459,'Intake Responses'!$A:$A,'Intake Responses'!$M:$M),"")</f>
        <v/>
      </c>
      <c r="G459" s="3">
        <f>IFERROR(XLOOKUP(A459,'Intake Responses'!$A:$A,'Intake Responses'!$N:$N),"")</f>
        <v/>
      </c>
      <c r="H459" s="3">
        <f>IFERROR(XLOOKUP(A459,'Intake Responses'!$A:$A,'Intake Responses'!$O:$O),"")</f>
        <v/>
      </c>
      <c r="I459" s="3">
        <f>IFERROR(SWITCH(F459,"Multiple times per day",60,"Daily",20,"Weekly",4,"Monthly",1,"Quarterly",0.33,"Ad hoc",0.5,"Unknown",0),0)</f>
        <v/>
      </c>
      <c r="J459" s="3">
        <f>IFERROR((G459*H459*I459)/60,0)</f>
        <v/>
      </c>
      <c r="K459" s="3">
        <f>IFERROR(J459*12,0)</f>
        <v/>
      </c>
      <c r="L459" s="3">
        <f>IFERROR(XLOOKUP(A459,'Intake Responses'!$A:$A,'Intake Responses'!$T:$T),"")</f>
        <v/>
      </c>
      <c r="M459" s="3">
        <f>IFERROR(XLOOKUP(A459,'Intake Responses'!$A:$A,'Intake Responses'!$U:$U),"")</f>
        <v/>
      </c>
      <c r="N459" s="3">
        <f>IFERROR(XLOOKUP(A459,'Intake Responses'!$A:$A,'Intake Responses'!$V:$V),"")</f>
        <v/>
      </c>
      <c r="O459" s="3">
        <f>IFERROR(XLOOKUP(A459,'Intake Responses'!$A:$A,'Intake Responses'!$W:$W),"")</f>
        <v/>
      </c>
      <c r="P459" s="3">
        <f>IFERROR(XLOOKUP(A459,'Intake Responses'!$A:$A,'Intake Responses'!$X:$X),"")</f>
        <v/>
      </c>
      <c r="Q459" s="3">
        <f>IFERROR(XLOOKUP(A459,'Intake Responses'!$A:$A,'Intake Responses'!$AF:$AF),"")</f>
        <v/>
      </c>
      <c r="R459" s="3">
        <f>IFERROR(XLOOKUP(A459,'Intake Responses'!$A:$A,'Intake Responses'!$S:$S),"")</f>
        <v/>
      </c>
      <c r="S459" s="3" t="n"/>
      <c r="T459" s="3" t="n"/>
      <c r="U459" s="3" t="n"/>
      <c r="V459" s="3">
        <f>IFERROR(MIN(5,ROUND(((M459+O459)/2)+(IF(J459&gt;=20,2,IF(J459&gt;=10,1.5,IF(J459&gt;=5,1,IF(J459&gt;=1,0.5,0))))),1)),0)</f>
        <v/>
      </c>
      <c r="W459" s="3">
        <f>IFERROR(SWITCH(F459,"Multiple times per day",5,"Daily",4,"Weekly",3,"Monthly",2,"Quarterly",1,"Ad hoc",1,"Unknown",0),0)</f>
        <v/>
      </c>
      <c r="X459" s="3">
        <f>IFERROR(ROUND(AVERAGE(L459,N459),1),0)</f>
        <v/>
      </c>
      <c r="Y459" s="3">
        <f>IFERROR(SWITCH(U459,"High",3,"Medium",2,"Low",0,"Unknown",1,1)+IF(Q459="Yes",2,IF(Q459="Unsure",1,0)),0)</f>
        <v/>
      </c>
      <c r="Z459" s="3">
        <f>IFERROR(ROUND((V459*2)+(W459*1)+(X459*2)+(IF(T459="Easy",2,IF(T459="Medium",1,IF(T459="Hard",-1,0))))-(Y459*2),1),0)</f>
        <v/>
      </c>
      <c r="AA459" s="3">
        <f>IFERROR(IF(S459="Not a fit","Not a Fit",IF(Y459&gt;=5,"High Risk / Needs Review",IF(AND(Z459&gt;=18,T459="Easy"),"Quick Win",IF(AND(Z459&gt;=18,T459&lt;&gt;"Easy"),"Strategic Project",IF(Z459&gt;=10,"Discovery Needed","Process Issue"))))),"")</f>
        <v/>
      </c>
      <c r="AB459" s="3">
        <f>IFERROR(SWITCH(AA459,"Quick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59" s="3" t="n"/>
      <c r="AD459" s="3" t="n"/>
      <c r="AE459" s="3" t="n"/>
    </row>
    <row r="460" ht="25" customHeight="1">
      <c r="A460" s="2" t="n"/>
      <c r="B460" s="2">
        <f>IFERROR(XLOOKUP(A460,'Intake Responses'!$A:$A,'Intake Responses'!$E:$E),"")</f>
        <v/>
      </c>
      <c r="C460" s="2">
        <f>IFERROR(XLOOKUP(A460,'Intake Responses'!$A:$A,'Intake Responses'!$D:$D),"")</f>
        <v/>
      </c>
      <c r="D460" s="2">
        <f>IFERROR(XLOOKUP(A460,'Intake Responses'!$A:$A,'Intake Responses'!$F:$F),"")</f>
        <v/>
      </c>
      <c r="E460" s="2" t="n"/>
      <c r="F460" s="2">
        <f>IFERROR(XLOOKUP(A460,'Intake Responses'!$A:$A,'Intake Responses'!$M:$M),"")</f>
        <v/>
      </c>
      <c r="G460" s="2">
        <f>IFERROR(XLOOKUP(A460,'Intake Responses'!$A:$A,'Intake Responses'!$N:$N),"")</f>
        <v/>
      </c>
      <c r="H460" s="2">
        <f>IFERROR(XLOOKUP(A460,'Intake Responses'!$A:$A,'Intake Responses'!$O:$O),"")</f>
        <v/>
      </c>
      <c r="I460" s="2">
        <f>IFERROR(SWITCH(F460,"Multiple times per day",60,"Daily",20,"Weekly",4,"Monthly",1,"Quarterly",0.33,"Ad hoc",0.5,"Unknown",0),0)</f>
        <v/>
      </c>
      <c r="J460" s="2">
        <f>IFERROR((G460*H460*I460)/60,0)</f>
        <v/>
      </c>
      <c r="K460" s="2">
        <f>IFERROR(J460*12,0)</f>
        <v/>
      </c>
      <c r="L460" s="2">
        <f>IFERROR(XLOOKUP(A460,'Intake Responses'!$A:$A,'Intake Responses'!$T:$T),"")</f>
        <v/>
      </c>
      <c r="M460" s="2">
        <f>IFERROR(XLOOKUP(A460,'Intake Responses'!$A:$A,'Intake Responses'!$U:$U),"")</f>
        <v/>
      </c>
      <c r="N460" s="2">
        <f>IFERROR(XLOOKUP(A460,'Intake Responses'!$A:$A,'Intake Responses'!$V:$V),"")</f>
        <v/>
      </c>
      <c r="O460" s="2">
        <f>IFERROR(XLOOKUP(A460,'Intake Responses'!$A:$A,'Intake Responses'!$W:$W),"")</f>
        <v/>
      </c>
      <c r="P460" s="2">
        <f>IFERROR(XLOOKUP(A460,'Intake Responses'!$A:$A,'Intake Responses'!$X:$X),"")</f>
        <v/>
      </c>
      <c r="Q460" s="2">
        <f>IFERROR(XLOOKUP(A460,'Intake Responses'!$A:$A,'Intake Responses'!$AF:$AF),"")</f>
        <v/>
      </c>
      <c r="R460" s="2">
        <f>IFERROR(XLOOKUP(A460,'Intake Responses'!$A:$A,'Intake Responses'!$S:$S),"")</f>
        <v/>
      </c>
      <c r="S460" s="2" t="n"/>
      <c r="T460" s="2" t="n"/>
      <c r="U460" s="2" t="n"/>
      <c r="V460" s="2">
        <f>IFERROR(MIN(5,ROUND(((M460+O460)/2)+(IF(J460&gt;=20,2,IF(J460&gt;=10,1.5,IF(J460&gt;=5,1,IF(J460&gt;=1,0.5,0))))),1)),0)</f>
        <v/>
      </c>
      <c r="W460" s="2">
        <f>IFERROR(SWITCH(F460,"Multiple times per day",5,"Daily",4,"Weekly",3,"Monthly",2,"Quarterly",1,"Ad hoc",1,"Unknown",0),0)</f>
        <v/>
      </c>
      <c r="X460" s="2">
        <f>IFERROR(ROUND(AVERAGE(L460,N460),1),0)</f>
        <v/>
      </c>
      <c r="Y460" s="2">
        <f>IFERROR(SWITCH(U460,"High",3,"Medium",2,"Low",0,"Unknown",1,1)+IF(Q460="Yes",2,IF(Q460="Unsure",1,0)),0)</f>
        <v/>
      </c>
      <c r="Z460" s="2">
        <f>IFERROR(ROUND((V460*2)+(W460*1)+(X460*2)+(IF(T460="Easy",2,IF(T460="Medium",1,IF(T460="Hard",-1,0))))-(Y460*2),1),0)</f>
        <v/>
      </c>
      <c r="AA460" s="2">
        <f>IFERROR(IF(S460="Not a fit","Not a Fit",IF(Y460&gt;=5,"High Risk / Needs Review",IF(AND(Z460&gt;=18,T460="Easy"),"Quick Win",IF(AND(Z460&gt;=18,T460&lt;&gt;"Easy"),"Strategic Project",IF(Z460&gt;=10,"Discovery Needed","Process Issue"))))),"")</f>
        <v/>
      </c>
      <c r="AB460" s="2">
        <f>IFERROR(SWITCH(AA460,"Quick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0" s="2" t="n"/>
      <c r="AD460" s="2" t="n"/>
      <c r="AE460" s="2" t="n"/>
    </row>
    <row r="461" ht="25" customHeight="1">
      <c r="A461" s="3" t="n"/>
      <c r="B461" s="3">
        <f>IFERROR(XLOOKUP(A461,'Intake Responses'!$A:$A,'Intake Responses'!$E:$E),"")</f>
        <v/>
      </c>
      <c r="C461" s="3">
        <f>IFERROR(XLOOKUP(A461,'Intake Responses'!$A:$A,'Intake Responses'!$D:$D),"")</f>
        <v/>
      </c>
      <c r="D461" s="3">
        <f>IFERROR(XLOOKUP(A461,'Intake Responses'!$A:$A,'Intake Responses'!$F:$F),"")</f>
        <v/>
      </c>
      <c r="E461" s="3" t="n"/>
      <c r="F461" s="3">
        <f>IFERROR(XLOOKUP(A461,'Intake Responses'!$A:$A,'Intake Responses'!$M:$M),"")</f>
        <v/>
      </c>
      <c r="G461" s="3">
        <f>IFERROR(XLOOKUP(A461,'Intake Responses'!$A:$A,'Intake Responses'!$N:$N),"")</f>
        <v/>
      </c>
      <c r="H461" s="3">
        <f>IFERROR(XLOOKUP(A461,'Intake Responses'!$A:$A,'Intake Responses'!$O:$O),"")</f>
        <v/>
      </c>
      <c r="I461" s="3">
        <f>IFERROR(SWITCH(F461,"Multiple times per day",60,"Daily",20,"Weekly",4,"Monthly",1,"Quarterly",0.33,"Ad hoc",0.5,"Unknown",0),0)</f>
        <v/>
      </c>
      <c r="J461" s="3">
        <f>IFERROR((G461*H461*I461)/60,0)</f>
        <v/>
      </c>
      <c r="K461" s="3">
        <f>IFERROR(J461*12,0)</f>
        <v/>
      </c>
      <c r="L461" s="3">
        <f>IFERROR(XLOOKUP(A461,'Intake Responses'!$A:$A,'Intake Responses'!$T:$T),"")</f>
        <v/>
      </c>
      <c r="M461" s="3">
        <f>IFERROR(XLOOKUP(A461,'Intake Responses'!$A:$A,'Intake Responses'!$U:$U),"")</f>
        <v/>
      </c>
      <c r="N461" s="3">
        <f>IFERROR(XLOOKUP(A461,'Intake Responses'!$A:$A,'Intake Responses'!$V:$V),"")</f>
        <v/>
      </c>
      <c r="O461" s="3">
        <f>IFERROR(XLOOKUP(A461,'Intake Responses'!$A:$A,'Intake Responses'!$W:$W),"")</f>
        <v/>
      </c>
      <c r="P461" s="3">
        <f>IFERROR(XLOOKUP(A461,'Intake Responses'!$A:$A,'Intake Responses'!$X:$X),"")</f>
        <v/>
      </c>
      <c r="Q461" s="3">
        <f>IFERROR(XLOOKUP(A461,'Intake Responses'!$A:$A,'Intake Responses'!$AF:$AF),"")</f>
        <v/>
      </c>
      <c r="R461" s="3">
        <f>IFERROR(XLOOKUP(A461,'Intake Responses'!$A:$A,'Intake Responses'!$S:$S),"")</f>
        <v/>
      </c>
      <c r="S461" s="3" t="n"/>
      <c r="T461" s="3" t="n"/>
      <c r="U461" s="3" t="n"/>
      <c r="V461" s="3">
        <f>IFERROR(MIN(5,ROUND(((M461+O461)/2)+(IF(J461&gt;=20,2,IF(J461&gt;=10,1.5,IF(J461&gt;=5,1,IF(J461&gt;=1,0.5,0))))),1)),0)</f>
        <v/>
      </c>
      <c r="W461" s="3">
        <f>IFERROR(SWITCH(F461,"Multiple times per day",5,"Daily",4,"Weekly",3,"Monthly",2,"Quarterly",1,"Ad hoc",1,"Unknown",0),0)</f>
        <v/>
      </c>
      <c r="X461" s="3">
        <f>IFERROR(ROUND(AVERAGE(L461,N461),1),0)</f>
        <v/>
      </c>
      <c r="Y461" s="3">
        <f>IFERROR(SWITCH(U461,"High",3,"Medium",2,"Low",0,"Unknown",1,1)+IF(Q461="Yes",2,IF(Q461="Unsure",1,0)),0)</f>
        <v/>
      </c>
      <c r="Z461" s="3">
        <f>IFERROR(ROUND((V461*2)+(W461*1)+(X461*2)+(IF(T461="Easy",2,IF(T461="Medium",1,IF(T461="Hard",-1,0))))-(Y461*2),1),0)</f>
        <v/>
      </c>
      <c r="AA461" s="3">
        <f>IFERROR(IF(S461="Not a fit","Not a Fit",IF(Y461&gt;=5,"High Risk / Needs Review",IF(AND(Z461&gt;=18,T461="Easy"),"Quick Win",IF(AND(Z461&gt;=18,T461&lt;&gt;"Easy"),"Strategic Project",IF(Z461&gt;=10,"Discovery Needed","Process Issue"))))),"")</f>
        <v/>
      </c>
      <c r="AB461" s="3">
        <f>IFERROR(SWITCH(AA461,"Quick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1" s="3" t="n"/>
      <c r="AD461" s="3" t="n"/>
      <c r="AE461" s="3" t="n"/>
    </row>
    <row r="462" ht="25" customHeight="1">
      <c r="A462" s="2" t="n"/>
      <c r="B462" s="2">
        <f>IFERROR(XLOOKUP(A462,'Intake Responses'!$A:$A,'Intake Responses'!$E:$E),"")</f>
        <v/>
      </c>
      <c r="C462" s="2">
        <f>IFERROR(XLOOKUP(A462,'Intake Responses'!$A:$A,'Intake Responses'!$D:$D),"")</f>
        <v/>
      </c>
      <c r="D462" s="2">
        <f>IFERROR(XLOOKUP(A462,'Intake Responses'!$A:$A,'Intake Responses'!$F:$F),"")</f>
        <v/>
      </c>
      <c r="E462" s="2" t="n"/>
      <c r="F462" s="2">
        <f>IFERROR(XLOOKUP(A462,'Intake Responses'!$A:$A,'Intake Responses'!$M:$M),"")</f>
        <v/>
      </c>
      <c r="G462" s="2">
        <f>IFERROR(XLOOKUP(A462,'Intake Responses'!$A:$A,'Intake Responses'!$N:$N),"")</f>
        <v/>
      </c>
      <c r="H462" s="2">
        <f>IFERROR(XLOOKUP(A462,'Intake Responses'!$A:$A,'Intake Responses'!$O:$O),"")</f>
        <v/>
      </c>
      <c r="I462" s="2">
        <f>IFERROR(SWITCH(F462,"Multiple times per day",60,"Daily",20,"Weekly",4,"Monthly",1,"Quarterly",0.33,"Ad hoc",0.5,"Unknown",0),0)</f>
        <v/>
      </c>
      <c r="J462" s="2">
        <f>IFERROR((G462*H462*I462)/60,0)</f>
        <v/>
      </c>
      <c r="K462" s="2">
        <f>IFERROR(J462*12,0)</f>
        <v/>
      </c>
      <c r="L462" s="2">
        <f>IFERROR(XLOOKUP(A462,'Intake Responses'!$A:$A,'Intake Responses'!$T:$T),"")</f>
        <v/>
      </c>
      <c r="M462" s="2">
        <f>IFERROR(XLOOKUP(A462,'Intake Responses'!$A:$A,'Intake Responses'!$U:$U),"")</f>
        <v/>
      </c>
      <c r="N462" s="2">
        <f>IFERROR(XLOOKUP(A462,'Intake Responses'!$A:$A,'Intake Responses'!$V:$V),"")</f>
        <v/>
      </c>
      <c r="O462" s="2">
        <f>IFERROR(XLOOKUP(A462,'Intake Responses'!$A:$A,'Intake Responses'!$W:$W),"")</f>
        <v/>
      </c>
      <c r="P462" s="2">
        <f>IFERROR(XLOOKUP(A462,'Intake Responses'!$A:$A,'Intake Responses'!$X:$X),"")</f>
        <v/>
      </c>
      <c r="Q462" s="2">
        <f>IFERROR(XLOOKUP(A462,'Intake Responses'!$A:$A,'Intake Responses'!$AF:$AF),"")</f>
        <v/>
      </c>
      <c r="R462" s="2">
        <f>IFERROR(XLOOKUP(A462,'Intake Responses'!$A:$A,'Intake Responses'!$S:$S),"")</f>
        <v/>
      </c>
      <c r="S462" s="2" t="n"/>
      <c r="T462" s="2" t="n"/>
      <c r="U462" s="2" t="n"/>
      <c r="V462" s="2">
        <f>IFERROR(MIN(5,ROUND(((M462+O462)/2)+(IF(J462&gt;=20,2,IF(J462&gt;=10,1.5,IF(J462&gt;=5,1,IF(J462&gt;=1,0.5,0))))),1)),0)</f>
        <v/>
      </c>
      <c r="W462" s="2">
        <f>IFERROR(SWITCH(F462,"Multiple times per day",5,"Daily",4,"Weekly",3,"Monthly",2,"Quarterly",1,"Ad hoc",1,"Unknown",0),0)</f>
        <v/>
      </c>
      <c r="X462" s="2">
        <f>IFERROR(ROUND(AVERAGE(L462,N462),1),0)</f>
        <v/>
      </c>
      <c r="Y462" s="2">
        <f>IFERROR(SWITCH(U462,"High",3,"Medium",2,"Low",0,"Unknown",1,1)+IF(Q462="Yes",2,IF(Q462="Unsure",1,0)),0)</f>
        <v/>
      </c>
      <c r="Z462" s="2">
        <f>IFERROR(ROUND((V462*2)+(W462*1)+(X462*2)+(IF(T462="Easy",2,IF(T462="Medium",1,IF(T462="Hard",-1,0))))-(Y462*2),1),0)</f>
        <v/>
      </c>
      <c r="AA462" s="2">
        <f>IFERROR(IF(S462="Not a fit","Not a Fit",IF(Y462&gt;=5,"High Risk / Needs Review",IF(AND(Z462&gt;=18,T462="Easy"),"Quick Win",IF(AND(Z462&gt;=18,T462&lt;&gt;"Easy"),"Strategic Project",IF(Z462&gt;=10,"Discovery Needed","Process Issue"))))),"")</f>
        <v/>
      </c>
      <c r="AB462" s="2">
        <f>IFERROR(SWITCH(AA462,"Quick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2" s="2" t="n"/>
      <c r="AD462" s="2" t="n"/>
      <c r="AE462" s="2" t="n"/>
    </row>
    <row r="463" ht="25" customHeight="1">
      <c r="A463" s="3" t="n"/>
      <c r="B463" s="3">
        <f>IFERROR(XLOOKUP(A463,'Intake Responses'!$A:$A,'Intake Responses'!$E:$E),"")</f>
        <v/>
      </c>
      <c r="C463" s="3">
        <f>IFERROR(XLOOKUP(A463,'Intake Responses'!$A:$A,'Intake Responses'!$D:$D),"")</f>
        <v/>
      </c>
      <c r="D463" s="3">
        <f>IFERROR(XLOOKUP(A463,'Intake Responses'!$A:$A,'Intake Responses'!$F:$F),"")</f>
        <v/>
      </c>
      <c r="E463" s="3" t="n"/>
      <c r="F463" s="3">
        <f>IFERROR(XLOOKUP(A463,'Intake Responses'!$A:$A,'Intake Responses'!$M:$M),"")</f>
        <v/>
      </c>
      <c r="G463" s="3">
        <f>IFERROR(XLOOKUP(A463,'Intake Responses'!$A:$A,'Intake Responses'!$N:$N),"")</f>
        <v/>
      </c>
      <c r="H463" s="3">
        <f>IFERROR(XLOOKUP(A463,'Intake Responses'!$A:$A,'Intake Responses'!$O:$O),"")</f>
        <v/>
      </c>
      <c r="I463" s="3">
        <f>IFERROR(SWITCH(F463,"Multiple times per day",60,"Daily",20,"Weekly",4,"Monthly",1,"Quarterly",0.33,"Ad hoc",0.5,"Unknown",0),0)</f>
        <v/>
      </c>
      <c r="J463" s="3">
        <f>IFERROR((G463*H463*I463)/60,0)</f>
        <v/>
      </c>
      <c r="K463" s="3">
        <f>IFERROR(J463*12,0)</f>
        <v/>
      </c>
      <c r="L463" s="3">
        <f>IFERROR(XLOOKUP(A463,'Intake Responses'!$A:$A,'Intake Responses'!$T:$T),"")</f>
        <v/>
      </c>
      <c r="M463" s="3">
        <f>IFERROR(XLOOKUP(A463,'Intake Responses'!$A:$A,'Intake Responses'!$U:$U),"")</f>
        <v/>
      </c>
      <c r="N463" s="3">
        <f>IFERROR(XLOOKUP(A463,'Intake Responses'!$A:$A,'Intake Responses'!$V:$V),"")</f>
        <v/>
      </c>
      <c r="O463" s="3">
        <f>IFERROR(XLOOKUP(A463,'Intake Responses'!$A:$A,'Intake Responses'!$W:$W),"")</f>
        <v/>
      </c>
      <c r="P463" s="3">
        <f>IFERROR(XLOOKUP(A463,'Intake Responses'!$A:$A,'Intake Responses'!$X:$X),"")</f>
        <v/>
      </c>
      <c r="Q463" s="3">
        <f>IFERROR(XLOOKUP(A463,'Intake Responses'!$A:$A,'Intake Responses'!$AF:$AF),"")</f>
        <v/>
      </c>
      <c r="R463" s="3">
        <f>IFERROR(XLOOKUP(A463,'Intake Responses'!$A:$A,'Intake Responses'!$S:$S),"")</f>
        <v/>
      </c>
      <c r="S463" s="3" t="n"/>
      <c r="T463" s="3" t="n"/>
      <c r="U463" s="3" t="n"/>
      <c r="V463" s="3">
        <f>IFERROR(MIN(5,ROUND(((M463+O463)/2)+(IF(J463&gt;=20,2,IF(J463&gt;=10,1.5,IF(J463&gt;=5,1,IF(J463&gt;=1,0.5,0))))),1)),0)</f>
        <v/>
      </c>
      <c r="W463" s="3">
        <f>IFERROR(SWITCH(F463,"Multiple times per day",5,"Daily",4,"Weekly",3,"Monthly",2,"Quarterly",1,"Ad hoc",1,"Unknown",0),0)</f>
        <v/>
      </c>
      <c r="X463" s="3">
        <f>IFERROR(ROUND(AVERAGE(L463,N463),1),0)</f>
        <v/>
      </c>
      <c r="Y463" s="3">
        <f>IFERROR(SWITCH(U463,"High",3,"Medium",2,"Low",0,"Unknown",1,1)+IF(Q463="Yes",2,IF(Q463="Unsure",1,0)),0)</f>
        <v/>
      </c>
      <c r="Z463" s="3">
        <f>IFERROR(ROUND((V463*2)+(W463*1)+(X463*2)+(IF(T463="Easy",2,IF(T463="Medium",1,IF(T463="Hard",-1,0))))-(Y463*2),1),0)</f>
        <v/>
      </c>
      <c r="AA463" s="3">
        <f>IFERROR(IF(S463="Not a fit","Not a Fit",IF(Y463&gt;=5,"High Risk / Needs Review",IF(AND(Z463&gt;=18,T463="Easy"),"Quick Win",IF(AND(Z463&gt;=18,T463&lt;&gt;"Easy"),"Strategic Project",IF(Z463&gt;=10,"Discovery Needed","Process Issue"))))),"")</f>
        <v/>
      </c>
      <c r="AB463" s="3">
        <f>IFERROR(SWITCH(AA463,"Quick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3" s="3" t="n"/>
      <c r="AD463" s="3" t="n"/>
      <c r="AE463" s="3" t="n"/>
    </row>
    <row r="464" ht="25" customHeight="1">
      <c r="A464" s="2" t="n"/>
      <c r="B464" s="2">
        <f>IFERROR(XLOOKUP(A464,'Intake Responses'!$A:$A,'Intake Responses'!$E:$E),"")</f>
        <v/>
      </c>
      <c r="C464" s="2">
        <f>IFERROR(XLOOKUP(A464,'Intake Responses'!$A:$A,'Intake Responses'!$D:$D),"")</f>
        <v/>
      </c>
      <c r="D464" s="2">
        <f>IFERROR(XLOOKUP(A464,'Intake Responses'!$A:$A,'Intake Responses'!$F:$F),"")</f>
        <v/>
      </c>
      <c r="E464" s="2" t="n"/>
      <c r="F464" s="2">
        <f>IFERROR(XLOOKUP(A464,'Intake Responses'!$A:$A,'Intake Responses'!$M:$M),"")</f>
        <v/>
      </c>
      <c r="G464" s="2">
        <f>IFERROR(XLOOKUP(A464,'Intake Responses'!$A:$A,'Intake Responses'!$N:$N),"")</f>
        <v/>
      </c>
      <c r="H464" s="2">
        <f>IFERROR(XLOOKUP(A464,'Intake Responses'!$A:$A,'Intake Responses'!$O:$O),"")</f>
        <v/>
      </c>
      <c r="I464" s="2">
        <f>IFERROR(SWITCH(F464,"Multiple times per day",60,"Daily",20,"Weekly",4,"Monthly",1,"Quarterly",0.33,"Ad hoc",0.5,"Unknown",0),0)</f>
        <v/>
      </c>
      <c r="J464" s="2">
        <f>IFERROR((G464*H464*I464)/60,0)</f>
        <v/>
      </c>
      <c r="K464" s="2">
        <f>IFERROR(J464*12,0)</f>
        <v/>
      </c>
      <c r="L464" s="2">
        <f>IFERROR(XLOOKUP(A464,'Intake Responses'!$A:$A,'Intake Responses'!$T:$T),"")</f>
        <v/>
      </c>
      <c r="M464" s="2">
        <f>IFERROR(XLOOKUP(A464,'Intake Responses'!$A:$A,'Intake Responses'!$U:$U),"")</f>
        <v/>
      </c>
      <c r="N464" s="2">
        <f>IFERROR(XLOOKUP(A464,'Intake Responses'!$A:$A,'Intake Responses'!$V:$V),"")</f>
        <v/>
      </c>
      <c r="O464" s="2">
        <f>IFERROR(XLOOKUP(A464,'Intake Responses'!$A:$A,'Intake Responses'!$W:$W),"")</f>
        <v/>
      </c>
      <c r="P464" s="2">
        <f>IFERROR(XLOOKUP(A464,'Intake Responses'!$A:$A,'Intake Responses'!$X:$X),"")</f>
        <v/>
      </c>
      <c r="Q464" s="2">
        <f>IFERROR(XLOOKUP(A464,'Intake Responses'!$A:$A,'Intake Responses'!$AF:$AF),"")</f>
        <v/>
      </c>
      <c r="R464" s="2">
        <f>IFERROR(XLOOKUP(A464,'Intake Responses'!$A:$A,'Intake Responses'!$S:$S),"")</f>
        <v/>
      </c>
      <c r="S464" s="2" t="n"/>
      <c r="T464" s="2" t="n"/>
      <c r="U464" s="2" t="n"/>
      <c r="V464" s="2">
        <f>IFERROR(MIN(5,ROUND(((M464+O464)/2)+(IF(J464&gt;=20,2,IF(J464&gt;=10,1.5,IF(J464&gt;=5,1,IF(J464&gt;=1,0.5,0))))),1)),0)</f>
        <v/>
      </c>
      <c r="W464" s="2">
        <f>IFERROR(SWITCH(F464,"Multiple times per day",5,"Daily",4,"Weekly",3,"Monthly",2,"Quarterly",1,"Ad hoc",1,"Unknown",0),0)</f>
        <v/>
      </c>
      <c r="X464" s="2">
        <f>IFERROR(ROUND(AVERAGE(L464,N464),1),0)</f>
        <v/>
      </c>
      <c r="Y464" s="2">
        <f>IFERROR(SWITCH(U464,"High",3,"Medium",2,"Low",0,"Unknown",1,1)+IF(Q464="Yes",2,IF(Q464="Unsure",1,0)),0)</f>
        <v/>
      </c>
      <c r="Z464" s="2">
        <f>IFERROR(ROUND((V464*2)+(W464*1)+(X464*2)+(IF(T464="Easy",2,IF(T464="Medium",1,IF(T464="Hard",-1,0))))-(Y464*2),1),0)</f>
        <v/>
      </c>
      <c r="AA464" s="2">
        <f>IFERROR(IF(S464="Not a fit","Not a Fit",IF(Y464&gt;=5,"High Risk / Needs Review",IF(AND(Z464&gt;=18,T464="Easy"),"Quick Win",IF(AND(Z464&gt;=18,T464&lt;&gt;"Easy"),"Strategic Project",IF(Z464&gt;=10,"Discovery Needed","Process Issue"))))),"")</f>
        <v/>
      </c>
      <c r="AB464" s="2">
        <f>IFERROR(SWITCH(AA464,"Quick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4" s="2" t="n"/>
      <c r="AD464" s="2" t="n"/>
      <c r="AE464" s="2" t="n"/>
    </row>
    <row r="465" ht="25" customHeight="1">
      <c r="A465" s="3" t="n"/>
      <c r="B465" s="3">
        <f>IFERROR(XLOOKUP(A465,'Intake Responses'!$A:$A,'Intake Responses'!$E:$E),"")</f>
        <v/>
      </c>
      <c r="C465" s="3">
        <f>IFERROR(XLOOKUP(A465,'Intake Responses'!$A:$A,'Intake Responses'!$D:$D),"")</f>
        <v/>
      </c>
      <c r="D465" s="3">
        <f>IFERROR(XLOOKUP(A465,'Intake Responses'!$A:$A,'Intake Responses'!$F:$F),"")</f>
        <v/>
      </c>
      <c r="E465" s="3" t="n"/>
      <c r="F465" s="3">
        <f>IFERROR(XLOOKUP(A465,'Intake Responses'!$A:$A,'Intake Responses'!$M:$M),"")</f>
        <v/>
      </c>
      <c r="G465" s="3">
        <f>IFERROR(XLOOKUP(A465,'Intake Responses'!$A:$A,'Intake Responses'!$N:$N),"")</f>
        <v/>
      </c>
      <c r="H465" s="3">
        <f>IFERROR(XLOOKUP(A465,'Intake Responses'!$A:$A,'Intake Responses'!$O:$O),"")</f>
        <v/>
      </c>
      <c r="I465" s="3">
        <f>IFERROR(SWITCH(F465,"Multiple times per day",60,"Daily",20,"Weekly",4,"Monthly",1,"Quarterly",0.33,"Ad hoc",0.5,"Unknown",0),0)</f>
        <v/>
      </c>
      <c r="J465" s="3">
        <f>IFERROR((G465*H465*I465)/60,0)</f>
        <v/>
      </c>
      <c r="K465" s="3">
        <f>IFERROR(J465*12,0)</f>
        <v/>
      </c>
      <c r="L465" s="3">
        <f>IFERROR(XLOOKUP(A465,'Intake Responses'!$A:$A,'Intake Responses'!$T:$T),"")</f>
        <v/>
      </c>
      <c r="M465" s="3">
        <f>IFERROR(XLOOKUP(A465,'Intake Responses'!$A:$A,'Intake Responses'!$U:$U),"")</f>
        <v/>
      </c>
      <c r="N465" s="3">
        <f>IFERROR(XLOOKUP(A465,'Intake Responses'!$A:$A,'Intake Responses'!$V:$V),"")</f>
        <v/>
      </c>
      <c r="O465" s="3">
        <f>IFERROR(XLOOKUP(A465,'Intake Responses'!$A:$A,'Intake Responses'!$W:$W),"")</f>
        <v/>
      </c>
      <c r="P465" s="3">
        <f>IFERROR(XLOOKUP(A465,'Intake Responses'!$A:$A,'Intake Responses'!$X:$X),"")</f>
        <v/>
      </c>
      <c r="Q465" s="3">
        <f>IFERROR(XLOOKUP(A465,'Intake Responses'!$A:$A,'Intake Responses'!$AF:$AF),"")</f>
        <v/>
      </c>
      <c r="R465" s="3">
        <f>IFERROR(XLOOKUP(A465,'Intake Responses'!$A:$A,'Intake Responses'!$S:$S),"")</f>
        <v/>
      </c>
      <c r="S465" s="3" t="n"/>
      <c r="T465" s="3" t="n"/>
      <c r="U465" s="3" t="n"/>
      <c r="V465" s="3">
        <f>IFERROR(MIN(5,ROUND(((M465+O465)/2)+(IF(J465&gt;=20,2,IF(J465&gt;=10,1.5,IF(J465&gt;=5,1,IF(J465&gt;=1,0.5,0))))),1)),0)</f>
        <v/>
      </c>
      <c r="W465" s="3">
        <f>IFERROR(SWITCH(F465,"Multiple times per day",5,"Daily",4,"Weekly",3,"Monthly",2,"Quarterly",1,"Ad hoc",1,"Unknown",0),0)</f>
        <v/>
      </c>
      <c r="X465" s="3">
        <f>IFERROR(ROUND(AVERAGE(L465,N465),1),0)</f>
        <v/>
      </c>
      <c r="Y465" s="3">
        <f>IFERROR(SWITCH(U465,"High",3,"Medium",2,"Low",0,"Unknown",1,1)+IF(Q465="Yes",2,IF(Q465="Unsure",1,0)),0)</f>
        <v/>
      </c>
      <c r="Z465" s="3">
        <f>IFERROR(ROUND((V465*2)+(W465*1)+(X465*2)+(IF(T465="Easy",2,IF(T465="Medium",1,IF(T465="Hard",-1,0))))-(Y465*2),1),0)</f>
        <v/>
      </c>
      <c r="AA465" s="3">
        <f>IFERROR(IF(S465="Not a fit","Not a Fit",IF(Y465&gt;=5,"High Risk / Needs Review",IF(AND(Z465&gt;=18,T465="Easy"),"Quick Win",IF(AND(Z465&gt;=18,T465&lt;&gt;"Easy"),"Strategic Project",IF(Z465&gt;=10,"Discovery Needed","Process Issue"))))),"")</f>
        <v/>
      </c>
      <c r="AB465" s="3">
        <f>IFERROR(SWITCH(AA465,"Quick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5" s="3" t="n"/>
      <c r="AD465" s="3" t="n"/>
      <c r="AE465" s="3" t="n"/>
    </row>
    <row r="466" ht="25" customHeight="1">
      <c r="A466" s="2" t="n"/>
      <c r="B466" s="2">
        <f>IFERROR(XLOOKUP(A466,'Intake Responses'!$A:$A,'Intake Responses'!$E:$E),"")</f>
        <v/>
      </c>
      <c r="C466" s="2">
        <f>IFERROR(XLOOKUP(A466,'Intake Responses'!$A:$A,'Intake Responses'!$D:$D),"")</f>
        <v/>
      </c>
      <c r="D466" s="2">
        <f>IFERROR(XLOOKUP(A466,'Intake Responses'!$A:$A,'Intake Responses'!$F:$F),"")</f>
        <v/>
      </c>
      <c r="E466" s="2" t="n"/>
      <c r="F466" s="2">
        <f>IFERROR(XLOOKUP(A466,'Intake Responses'!$A:$A,'Intake Responses'!$M:$M),"")</f>
        <v/>
      </c>
      <c r="G466" s="2">
        <f>IFERROR(XLOOKUP(A466,'Intake Responses'!$A:$A,'Intake Responses'!$N:$N),"")</f>
        <v/>
      </c>
      <c r="H466" s="2">
        <f>IFERROR(XLOOKUP(A466,'Intake Responses'!$A:$A,'Intake Responses'!$O:$O),"")</f>
        <v/>
      </c>
      <c r="I466" s="2">
        <f>IFERROR(SWITCH(F466,"Multiple times per day",60,"Daily",20,"Weekly",4,"Monthly",1,"Quarterly",0.33,"Ad hoc",0.5,"Unknown",0),0)</f>
        <v/>
      </c>
      <c r="J466" s="2">
        <f>IFERROR((G466*H466*I466)/60,0)</f>
        <v/>
      </c>
      <c r="K466" s="2">
        <f>IFERROR(J466*12,0)</f>
        <v/>
      </c>
      <c r="L466" s="2">
        <f>IFERROR(XLOOKUP(A466,'Intake Responses'!$A:$A,'Intake Responses'!$T:$T),"")</f>
        <v/>
      </c>
      <c r="M466" s="2">
        <f>IFERROR(XLOOKUP(A466,'Intake Responses'!$A:$A,'Intake Responses'!$U:$U),"")</f>
        <v/>
      </c>
      <c r="N466" s="2">
        <f>IFERROR(XLOOKUP(A466,'Intake Responses'!$A:$A,'Intake Responses'!$V:$V),"")</f>
        <v/>
      </c>
      <c r="O466" s="2">
        <f>IFERROR(XLOOKUP(A466,'Intake Responses'!$A:$A,'Intake Responses'!$W:$W),"")</f>
        <v/>
      </c>
      <c r="P466" s="2">
        <f>IFERROR(XLOOKUP(A466,'Intake Responses'!$A:$A,'Intake Responses'!$X:$X),"")</f>
        <v/>
      </c>
      <c r="Q466" s="2">
        <f>IFERROR(XLOOKUP(A466,'Intake Responses'!$A:$A,'Intake Responses'!$AF:$AF),"")</f>
        <v/>
      </c>
      <c r="R466" s="2">
        <f>IFERROR(XLOOKUP(A466,'Intake Responses'!$A:$A,'Intake Responses'!$S:$S),"")</f>
        <v/>
      </c>
      <c r="S466" s="2" t="n"/>
      <c r="T466" s="2" t="n"/>
      <c r="U466" s="2" t="n"/>
      <c r="V466" s="2">
        <f>IFERROR(MIN(5,ROUND(((M466+O466)/2)+(IF(J466&gt;=20,2,IF(J466&gt;=10,1.5,IF(J466&gt;=5,1,IF(J466&gt;=1,0.5,0))))),1)),0)</f>
        <v/>
      </c>
      <c r="W466" s="2">
        <f>IFERROR(SWITCH(F466,"Multiple times per day",5,"Daily",4,"Weekly",3,"Monthly",2,"Quarterly",1,"Ad hoc",1,"Unknown",0),0)</f>
        <v/>
      </c>
      <c r="X466" s="2">
        <f>IFERROR(ROUND(AVERAGE(L466,N466),1),0)</f>
        <v/>
      </c>
      <c r="Y466" s="2">
        <f>IFERROR(SWITCH(U466,"High",3,"Medium",2,"Low",0,"Unknown",1,1)+IF(Q466="Yes",2,IF(Q466="Unsure",1,0)),0)</f>
        <v/>
      </c>
      <c r="Z466" s="2">
        <f>IFERROR(ROUND((V466*2)+(W466*1)+(X466*2)+(IF(T466="Easy",2,IF(T466="Medium",1,IF(T466="Hard",-1,0))))-(Y466*2),1),0)</f>
        <v/>
      </c>
      <c r="AA466" s="2">
        <f>IFERROR(IF(S466="Not a fit","Not a Fit",IF(Y466&gt;=5,"High Risk / Needs Review",IF(AND(Z466&gt;=18,T466="Easy"),"Quick Win",IF(AND(Z466&gt;=18,T466&lt;&gt;"Easy"),"Strategic Project",IF(Z466&gt;=10,"Discovery Needed","Process Issue"))))),"")</f>
        <v/>
      </c>
      <c r="AB466" s="2">
        <f>IFERROR(SWITCH(AA466,"Quick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6" s="2" t="n"/>
      <c r="AD466" s="2" t="n"/>
      <c r="AE466" s="2" t="n"/>
    </row>
    <row r="467" ht="25" customHeight="1">
      <c r="A467" s="3" t="n"/>
      <c r="B467" s="3">
        <f>IFERROR(XLOOKUP(A467,'Intake Responses'!$A:$A,'Intake Responses'!$E:$E),"")</f>
        <v/>
      </c>
      <c r="C467" s="3">
        <f>IFERROR(XLOOKUP(A467,'Intake Responses'!$A:$A,'Intake Responses'!$D:$D),"")</f>
        <v/>
      </c>
      <c r="D467" s="3">
        <f>IFERROR(XLOOKUP(A467,'Intake Responses'!$A:$A,'Intake Responses'!$F:$F),"")</f>
        <v/>
      </c>
      <c r="E467" s="3" t="n"/>
      <c r="F467" s="3">
        <f>IFERROR(XLOOKUP(A467,'Intake Responses'!$A:$A,'Intake Responses'!$M:$M),"")</f>
        <v/>
      </c>
      <c r="G467" s="3">
        <f>IFERROR(XLOOKUP(A467,'Intake Responses'!$A:$A,'Intake Responses'!$N:$N),"")</f>
        <v/>
      </c>
      <c r="H467" s="3">
        <f>IFERROR(XLOOKUP(A467,'Intake Responses'!$A:$A,'Intake Responses'!$O:$O),"")</f>
        <v/>
      </c>
      <c r="I467" s="3">
        <f>IFERROR(SWITCH(F467,"Multiple times per day",60,"Daily",20,"Weekly",4,"Monthly",1,"Quarterly",0.33,"Ad hoc",0.5,"Unknown",0),0)</f>
        <v/>
      </c>
      <c r="J467" s="3">
        <f>IFERROR((G467*H467*I467)/60,0)</f>
        <v/>
      </c>
      <c r="K467" s="3">
        <f>IFERROR(J467*12,0)</f>
        <v/>
      </c>
      <c r="L467" s="3">
        <f>IFERROR(XLOOKUP(A467,'Intake Responses'!$A:$A,'Intake Responses'!$T:$T),"")</f>
        <v/>
      </c>
      <c r="M467" s="3">
        <f>IFERROR(XLOOKUP(A467,'Intake Responses'!$A:$A,'Intake Responses'!$U:$U),"")</f>
        <v/>
      </c>
      <c r="N467" s="3">
        <f>IFERROR(XLOOKUP(A467,'Intake Responses'!$A:$A,'Intake Responses'!$V:$V),"")</f>
        <v/>
      </c>
      <c r="O467" s="3">
        <f>IFERROR(XLOOKUP(A467,'Intake Responses'!$A:$A,'Intake Responses'!$W:$W),"")</f>
        <v/>
      </c>
      <c r="P467" s="3">
        <f>IFERROR(XLOOKUP(A467,'Intake Responses'!$A:$A,'Intake Responses'!$X:$X),"")</f>
        <v/>
      </c>
      <c r="Q467" s="3">
        <f>IFERROR(XLOOKUP(A467,'Intake Responses'!$A:$A,'Intake Responses'!$AF:$AF),"")</f>
        <v/>
      </c>
      <c r="R467" s="3">
        <f>IFERROR(XLOOKUP(A467,'Intake Responses'!$A:$A,'Intake Responses'!$S:$S),"")</f>
        <v/>
      </c>
      <c r="S467" s="3" t="n"/>
      <c r="T467" s="3" t="n"/>
      <c r="U467" s="3" t="n"/>
      <c r="V467" s="3">
        <f>IFERROR(MIN(5,ROUND(((M467+O467)/2)+(IF(J467&gt;=20,2,IF(J467&gt;=10,1.5,IF(J467&gt;=5,1,IF(J467&gt;=1,0.5,0))))),1)),0)</f>
        <v/>
      </c>
      <c r="W467" s="3">
        <f>IFERROR(SWITCH(F467,"Multiple times per day",5,"Daily",4,"Weekly",3,"Monthly",2,"Quarterly",1,"Ad hoc",1,"Unknown",0),0)</f>
        <v/>
      </c>
      <c r="X467" s="3">
        <f>IFERROR(ROUND(AVERAGE(L467,N467),1),0)</f>
        <v/>
      </c>
      <c r="Y467" s="3">
        <f>IFERROR(SWITCH(U467,"High",3,"Medium",2,"Low",0,"Unknown",1,1)+IF(Q467="Yes",2,IF(Q467="Unsure",1,0)),0)</f>
        <v/>
      </c>
      <c r="Z467" s="3">
        <f>IFERROR(ROUND((V467*2)+(W467*1)+(X467*2)+(IF(T467="Easy",2,IF(T467="Medium",1,IF(T467="Hard",-1,0))))-(Y467*2),1),0)</f>
        <v/>
      </c>
      <c r="AA467" s="3">
        <f>IFERROR(IF(S467="Not a fit","Not a Fit",IF(Y467&gt;=5,"High Risk / Needs Review",IF(AND(Z467&gt;=18,T467="Easy"),"Quick Win",IF(AND(Z467&gt;=18,T467&lt;&gt;"Easy"),"Strategic Project",IF(Z467&gt;=10,"Discovery Needed","Process Issue"))))),"")</f>
        <v/>
      </c>
      <c r="AB467" s="3">
        <f>IFERROR(SWITCH(AA467,"Quick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7" s="3" t="n"/>
      <c r="AD467" s="3" t="n"/>
      <c r="AE467" s="3" t="n"/>
    </row>
    <row r="468" ht="25" customHeight="1">
      <c r="A468" s="2" t="n"/>
      <c r="B468" s="2">
        <f>IFERROR(XLOOKUP(A468,'Intake Responses'!$A:$A,'Intake Responses'!$E:$E),"")</f>
        <v/>
      </c>
      <c r="C468" s="2">
        <f>IFERROR(XLOOKUP(A468,'Intake Responses'!$A:$A,'Intake Responses'!$D:$D),"")</f>
        <v/>
      </c>
      <c r="D468" s="2">
        <f>IFERROR(XLOOKUP(A468,'Intake Responses'!$A:$A,'Intake Responses'!$F:$F),"")</f>
        <v/>
      </c>
      <c r="E468" s="2" t="n"/>
      <c r="F468" s="2">
        <f>IFERROR(XLOOKUP(A468,'Intake Responses'!$A:$A,'Intake Responses'!$M:$M),"")</f>
        <v/>
      </c>
      <c r="G468" s="2">
        <f>IFERROR(XLOOKUP(A468,'Intake Responses'!$A:$A,'Intake Responses'!$N:$N),"")</f>
        <v/>
      </c>
      <c r="H468" s="2">
        <f>IFERROR(XLOOKUP(A468,'Intake Responses'!$A:$A,'Intake Responses'!$O:$O),"")</f>
        <v/>
      </c>
      <c r="I468" s="2">
        <f>IFERROR(SWITCH(F468,"Multiple times per day",60,"Daily",20,"Weekly",4,"Monthly",1,"Quarterly",0.33,"Ad hoc",0.5,"Unknown",0),0)</f>
        <v/>
      </c>
      <c r="J468" s="2">
        <f>IFERROR((G468*H468*I468)/60,0)</f>
        <v/>
      </c>
      <c r="K468" s="2">
        <f>IFERROR(J468*12,0)</f>
        <v/>
      </c>
      <c r="L468" s="2">
        <f>IFERROR(XLOOKUP(A468,'Intake Responses'!$A:$A,'Intake Responses'!$T:$T),"")</f>
        <v/>
      </c>
      <c r="M468" s="2">
        <f>IFERROR(XLOOKUP(A468,'Intake Responses'!$A:$A,'Intake Responses'!$U:$U),"")</f>
        <v/>
      </c>
      <c r="N468" s="2">
        <f>IFERROR(XLOOKUP(A468,'Intake Responses'!$A:$A,'Intake Responses'!$V:$V),"")</f>
        <v/>
      </c>
      <c r="O468" s="2">
        <f>IFERROR(XLOOKUP(A468,'Intake Responses'!$A:$A,'Intake Responses'!$W:$W),"")</f>
        <v/>
      </c>
      <c r="P468" s="2">
        <f>IFERROR(XLOOKUP(A468,'Intake Responses'!$A:$A,'Intake Responses'!$X:$X),"")</f>
        <v/>
      </c>
      <c r="Q468" s="2">
        <f>IFERROR(XLOOKUP(A468,'Intake Responses'!$A:$A,'Intake Responses'!$AF:$AF),"")</f>
        <v/>
      </c>
      <c r="R468" s="2">
        <f>IFERROR(XLOOKUP(A468,'Intake Responses'!$A:$A,'Intake Responses'!$S:$S),"")</f>
        <v/>
      </c>
      <c r="S468" s="2" t="n"/>
      <c r="T468" s="2" t="n"/>
      <c r="U468" s="2" t="n"/>
      <c r="V468" s="2">
        <f>IFERROR(MIN(5,ROUND(((M468+O468)/2)+(IF(J468&gt;=20,2,IF(J468&gt;=10,1.5,IF(J468&gt;=5,1,IF(J468&gt;=1,0.5,0))))),1)),0)</f>
        <v/>
      </c>
      <c r="W468" s="2">
        <f>IFERROR(SWITCH(F468,"Multiple times per day",5,"Daily",4,"Weekly",3,"Monthly",2,"Quarterly",1,"Ad hoc",1,"Unknown",0),0)</f>
        <v/>
      </c>
      <c r="X468" s="2">
        <f>IFERROR(ROUND(AVERAGE(L468,N468),1),0)</f>
        <v/>
      </c>
      <c r="Y468" s="2">
        <f>IFERROR(SWITCH(U468,"High",3,"Medium",2,"Low",0,"Unknown",1,1)+IF(Q468="Yes",2,IF(Q468="Unsure",1,0)),0)</f>
        <v/>
      </c>
      <c r="Z468" s="2">
        <f>IFERROR(ROUND((V468*2)+(W468*1)+(X468*2)+(IF(T468="Easy",2,IF(T468="Medium",1,IF(T468="Hard",-1,0))))-(Y468*2),1),0)</f>
        <v/>
      </c>
      <c r="AA468" s="2">
        <f>IFERROR(IF(S468="Not a fit","Not a Fit",IF(Y468&gt;=5,"High Risk / Needs Review",IF(AND(Z468&gt;=18,T468="Easy"),"Quick Win",IF(AND(Z468&gt;=18,T468&lt;&gt;"Easy"),"Strategic Project",IF(Z468&gt;=10,"Discovery Needed","Process Issue"))))),"")</f>
        <v/>
      </c>
      <c r="AB468" s="2">
        <f>IFERROR(SWITCH(AA468,"Quick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8" s="2" t="n"/>
      <c r="AD468" s="2" t="n"/>
      <c r="AE468" s="2" t="n"/>
    </row>
    <row r="469" ht="25" customHeight="1">
      <c r="A469" s="3" t="n"/>
      <c r="B469" s="3">
        <f>IFERROR(XLOOKUP(A469,'Intake Responses'!$A:$A,'Intake Responses'!$E:$E),"")</f>
        <v/>
      </c>
      <c r="C469" s="3">
        <f>IFERROR(XLOOKUP(A469,'Intake Responses'!$A:$A,'Intake Responses'!$D:$D),"")</f>
        <v/>
      </c>
      <c r="D469" s="3">
        <f>IFERROR(XLOOKUP(A469,'Intake Responses'!$A:$A,'Intake Responses'!$F:$F),"")</f>
        <v/>
      </c>
      <c r="E469" s="3" t="n"/>
      <c r="F469" s="3">
        <f>IFERROR(XLOOKUP(A469,'Intake Responses'!$A:$A,'Intake Responses'!$M:$M),"")</f>
        <v/>
      </c>
      <c r="G469" s="3">
        <f>IFERROR(XLOOKUP(A469,'Intake Responses'!$A:$A,'Intake Responses'!$N:$N),"")</f>
        <v/>
      </c>
      <c r="H469" s="3">
        <f>IFERROR(XLOOKUP(A469,'Intake Responses'!$A:$A,'Intake Responses'!$O:$O),"")</f>
        <v/>
      </c>
      <c r="I469" s="3">
        <f>IFERROR(SWITCH(F469,"Multiple times per day",60,"Daily",20,"Weekly",4,"Monthly",1,"Quarterly",0.33,"Ad hoc",0.5,"Unknown",0),0)</f>
        <v/>
      </c>
      <c r="J469" s="3">
        <f>IFERROR((G469*H469*I469)/60,0)</f>
        <v/>
      </c>
      <c r="K469" s="3">
        <f>IFERROR(J469*12,0)</f>
        <v/>
      </c>
      <c r="L469" s="3">
        <f>IFERROR(XLOOKUP(A469,'Intake Responses'!$A:$A,'Intake Responses'!$T:$T),"")</f>
        <v/>
      </c>
      <c r="M469" s="3">
        <f>IFERROR(XLOOKUP(A469,'Intake Responses'!$A:$A,'Intake Responses'!$U:$U),"")</f>
        <v/>
      </c>
      <c r="N469" s="3">
        <f>IFERROR(XLOOKUP(A469,'Intake Responses'!$A:$A,'Intake Responses'!$V:$V),"")</f>
        <v/>
      </c>
      <c r="O469" s="3">
        <f>IFERROR(XLOOKUP(A469,'Intake Responses'!$A:$A,'Intake Responses'!$W:$W),"")</f>
        <v/>
      </c>
      <c r="P469" s="3">
        <f>IFERROR(XLOOKUP(A469,'Intake Responses'!$A:$A,'Intake Responses'!$X:$X),"")</f>
        <v/>
      </c>
      <c r="Q469" s="3">
        <f>IFERROR(XLOOKUP(A469,'Intake Responses'!$A:$A,'Intake Responses'!$AF:$AF),"")</f>
        <v/>
      </c>
      <c r="R469" s="3">
        <f>IFERROR(XLOOKUP(A469,'Intake Responses'!$A:$A,'Intake Responses'!$S:$S),"")</f>
        <v/>
      </c>
      <c r="S469" s="3" t="n"/>
      <c r="T469" s="3" t="n"/>
      <c r="U469" s="3" t="n"/>
      <c r="V469" s="3">
        <f>IFERROR(MIN(5,ROUND(((M469+O469)/2)+(IF(J469&gt;=20,2,IF(J469&gt;=10,1.5,IF(J469&gt;=5,1,IF(J469&gt;=1,0.5,0))))),1)),0)</f>
        <v/>
      </c>
      <c r="W469" s="3">
        <f>IFERROR(SWITCH(F469,"Multiple times per day",5,"Daily",4,"Weekly",3,"Monthly",2,"Quarterly",1,"Ad hoc",1,"Unknown",0),0)</f>
        <v/>
      </c>
      <c r="X469" s="3">
        <f>IFERROR(ROUND(AVERAGE(L469,N469),1),0)</f>
        <v/>
      </c>
      <c r="Y469" s="3">
        <f>IFERROR(SWITCH(U469,"High",3,"Medium",2,"Low",0,"Unknown",1,1)+IF(Q469="Yes",2,IF(Q469="Unsure",1,0)),0)</f>
        <v/>
      </c>
      <c r="Z469" s="3">
        <f>IFERROR(ROUND((V469*2)+(W469*1)+(X469*2)+(IF(T469="Easy",2,IF(T469="Medium",1,IF(T469="Hard",-1,0))))-(Y469*2),1),0)</f>
        <v/>
      </c>
      <c r="AA469" s="3">
        <f>IFERROR(IF(S469="Not a fit","Not a Fit",IF(Y469&gt;=5,"High Risk / Needs Review",IF(AND(Z469&gt;=18,T469="Easy"),"Quick Win",IF(AND(Z469&gt;=18,T469&lt;&gt;"Easy"),"Strategic Project",IF(Z469&gt;=10,"Discovery Needed","Process Issue"))))),"")</f>
        <v/>
      </c>
      <c r="AB469" s="3">
        <f>IFERROR(SWITCH(AA469,"Quick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69" s="3" t="n"/>
      <c r="AD469" s="3" t="n"/>
      <c r="AE469" s="3" t="n"/>
    </row>
    <row r="470" ht="25" customHeight="1">
      <c r="A470" s="2" t="n"/>
      <c r="B470" s="2">
        <f>IFERROR(XLOOKUP(A470,'Intake Responses'!$A:$A,'Intake Responses'!$E:$E),"")</f>
        <v/>
      </c>
      <c r="C470" s="2">
        <f>IFERROR(XLOOKUP(A470,'Intake Responses'!$A:$A,'Intake Responses'!$D:$D),"")</f>
        <v/>
      </c>
      <c r="D470" s="2">
        <f>IFERROR(XLOOKUP(A470,'Intake Responses'!$A:$A,'Intake Responses'!$F:$F),"")</f>
        <v/>
      </c>
      <c r="E470" s="2" t="n"/>
      <c r="F470" s="2">
        <f>IFERROR(XLOOKUP(A470,'Intake Responses'!$A:$A,'Intake Responses'!$M:$M),"")</f>
        <v/>
      </c>
      <c r="G470" s="2">
        <f>IFERROR(XLOOKUP(A470,'Intake Responses'!$A:$A,'Intake Responses'!$N:$N),"")</f>
        <v/>
      </c>
      <c r="H470" s="2">
        <f>IFERROR(XLOOKUP(A470,'Intake Responses'!$A:$A,'Intake Responses'!$O:$O),"")</f>
        <v/>
      </c>
      <c r="I470" s="2">
        <f>IFERROR(SWITCH(F470,"Multiple times per day",60,"Daily",20,"Weekly",4,"Monthly",1,"Quarterly",0.33,"Ad hoc",0.5,"Unknown",0),0)</f>
        <v/>
      </c>
      <c r="J470" s="2">
        <f>IFERROR((G470*H470*I470)/60,0)</f>
        <v/>
      </c>
      <c r="K470" s="2">
        <f>IFERROR(J470*12,0)</f>
        <v/>
      </c>
      <c r="L470" s="2">
        <f>IFERROR(XLOOKUP(A470,'Intake Responses'!$A:$A,'Intake Responses'!$T:$T),"")</f>
        <v/>
      </c>
      <c r="M470" s="2">
        <f>IFERROR(XLOOKUP(A470,'Intake Responses'!$A:$A,'Intake Responses'!$U:$U),"")</f>
        <v/>
      </c>
      <c r="N470" s="2">
        <f>IFERROR(XLOOKUP(A470,'Intake Responses'!$A:$A,'Intake Responses'!$V:$V),"")</f>
        <v/>
      </c>
      <c r="O470" s="2">
        <f>IFERROR(XLOOKUP(A470,'Intake Responses'!$A:$A,'Intake Responses'!$W:$W),"")</f>
        <v/>
      </c>
      <c r="P470" s="2">
        <f>IFERROR(XLOOKUP(A470,'Intake Responses'!$A:$A,'Intake Responses'!$X:$X),"")</f>
        <v/>
      </c>
      <c r="Q470" s="2">
        <f>IFERROR(XLOOKUP(A470,'Intake Responses'!$A:$A,'Intake Responses'!$AF:$AF),"")</f>
        <v/>
      </c>
      <c r="R470" s="2">
        <f>IFERROR(XLOOKUP(A470,'Intake Responses'!$A:$A,'Intake Responses'!$S:$S),"")</f>
        <v/>
      </c>
      <c r="S470" s="2" t="n"/>
      <c r="T470" s="2" t="n"/>
      <c r="U470" s="2" t="n"/>
      <c r="V470" s="2">
        <f>IFERROR(MIN(5,ROUND(((M470+O470)/2)+(IF(J470&gt;=20,2,IF(J470&gt;=10,1.5,IF(J470&gt;=5,1,IF(J470&gt;=1,0.5,0))))),1)),0)</f>
        <v/>
      </c>
      <c r="W470" s="2">
        <f>IFERROR(SWITCH(F470,"Multiple times per day",5,"Daily",4,"Weekly",3,"Monthly",2,"Quarterly",1,"Ad hoc",1,"Unknown",0),0)</f>
        <v/>
      </c>
      <c r="X470" s="2">
        <f>IFERROR(ROUND(AVERAGE(L470,N470),1),0)</f>
        <v/>
      </c>
      <c r="Y470" s="2">
        <f>IFERROR(SWITCH(U470,"High",3,"Medium",2,"Low",0,"Unknown",1,1)+IF(Q470="Yes",2,IF(Q470="Unsure",1,0)),0)</f>
        <v/>
      </c>
      <c r="Z470" s="2">
        <f>IFERROR(ROUND((V470*2)+(W470*1)+(X470*2)+(IF(T470="Easy",2,IF(T470="Medium",1,IF(T470="Hard",-1,0))))-(Y470*2),1),0)</f>
        <v/>
      </c>
      <c r="AA470" s="2">
        <f>IFERROR(IF(S470="Not a fit","Not a Fit",IF(Y470&gt;=5,"High Risk / Needs Review",IF(AND(Z470&gt;=18,T470="Easy"),"Quick Win",IF(AND(Z470&gt;=18,T470&lt;&gt;"Easy"),"Strategic Project",IF(Z470&gt;=10,"Discovery Needed","Process Issue"))))),"")</f>
        <v/>
      </c>
      <c r="AB470" s="2">
        <f>IFERROR(SWITCH(AA470,"Quick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0" s="2" t="n"/>
      <c r="AD470" s="2" t="n"/>
      <c r="AE470" s="2" t="n"/>
    </row>
    <row r="471" ht="25" customHeight="1">
      <c r="A471" s="3" t="n"/>
      <c r="B471" s="3">
        <f>IFERROR(XLOOKUP(A471,'Intake Responses'!$A:$A,'Intake Responses'!$E:$E),"")</f>
        <v/>
      </c>
      <c r="C471" s="3">
        <f>IFERROR(XLOOKUP(A471,'Intake Responses'!$A:$A,'Intake Responses'!$D:$D),"")</f>
        <v/>
      </c>
      <c r="D471" s="3">
        <f>IFERROR(XLOOKUP(A471,'Intake Responses'!$A:$A,'Intake Responses'!$F:$F),"")</f>
        <v/>
      </c>
      <c r="E471" s="3" t="n"/>
      <c r="F471" s="3">
        <f>IFERROR(XLOOKUP(A471,'Intake Responses'!$A:$A,'Intake Responses'!$M:$M),"")</f>
        <v/>
      </c>
      <c r="G471" s="3">
        <f>IFERROR(XLOOKUP(A471,'Intake Responses'!$A:$A,'Intake Responses'!$N:$N),"")</f>
        <v/>
      </c>
      <c r="H471" s="3">
        <f>IFERROR(XLOOKUP(A471,'Intake Responses'!$A:$A,'Intake Responses'!$O:$O),"")</f>
        <v/>
      </c>
      <c r="I471" s="3">
        <f>IFERROR(SWITCH(F471,"Multiple times per day",60,"Daily",20,"Weekly",4,"Monthly",1,"Quarterly",0.33,"Ad hoc",0.5,"Unknown",0),0)</f>
        <v/>
      </c>
      <c r="J471" s="3">
        <f>IFERROR((G471*H471*I471)/60,0)</f>
        <v/>
      </c>
      <c r="K471" s="3">
        <f>IFERROR(J471*12,0)</f>
        <v/>
      </c>
      <c r="L471" s="3">
        <f>IFERROR(XLOOKUP(A471,'Intake Responses'!$A:$A,'Intake Responses'!$T:$T),"")</f>
        <v/>
      </c>
      <c r="M471" s="3">
        <f>IFERROR(XLOOKUP(A471,'Intake Responses'!$A:$A,'Intake Responses'!$U:$U),"")</f>
        <v/>
      </c>
      <c r="N471" s="3">
        <f>IFERROR(XLOOKUP(A471,'Intake Responses'!$A:$A,'Intake Responses'!$V:$V),"")</f>
        <v/>
      </c>
      <c r="O471" s="3">
        <f>IFERROR(XLOOKUP(A471,'Intake Responses'!$A:$A,'Intake Responses'!$W:$W),"")</f>
        <v/>
      </c>
      <c r="P471" s="3">
        <f>IFERROR(XLOOKUP(A471,'Intake Responses'!$A:$A,'Intake Responses'!$X:$X),"")</f>
        <v/>
      </c>
      <c r="Q471" s="3">
        <f>IFERROR(XLOOKUP(A471,'Intake Responses'!$A:$A,'Intake Responses'!$AF:$AF),"")</f>
        <v/>
      </c>
      <c r="R471" s="3">
        <f>IFERROR(XLOOKUP(A471,'Intake Responses'!$A:$A,'Intake Responses'!$S:$S),"")</f>
        <v/>
      </c>
      <c r="S471" s="3" t="n"/>
      <c r="T471" s="3" t="n"/>
      <c r="U471" s="3" t="n"/>
      <c r="V471" s="3">
        <f>IFERROR(MIN(5,ROUND(((M471+O471)/2)+(IF(J471&gt;=20,2,IF(J471&gt;=10,1.5,IF(J471&gt;=5,1,IF(J471&gt;=1,0.5,0))))),1)),0)</f>
        <v/>
      </c>
      <c r="W471" s="3">
        <f>IFERROR(SWITCH(F471,"Multiple times per day",5,"Daily",4,"Weekly",3,"Monthly",2,"Quarterly",1,"Ad hoc",1,"Unknown",0),0)</f>
        <v/>
      </c>
      <c r="X471" s="3">
        <f>IFERROR(ROUND(AVERAGE(L471,N471),1),0)</f>
        <v/>
      </c>
      <c r="Y471" s="3">
        <f>IFERROR(SWITCH(U471,"High",3,"Medium",2,"Low",0,"Unknown",1,1)+IF(Q471="Yes",2,IF(Q471="Unsure",1,0)),0)</f>
        <v/>
      </c>
      <c r="Z471" s="3">
        <f>IFERROR(ROUND((V471*2)+(W471*1)+(X471*2)+(IF(T471="Easy",2,IF(T471="Medium",1,IF(T471="Hard",-1,0))))-(Y471*2),1),0)</f>
        <v/>
      </c>
      <c r="AA471" s="3">
        <f>IFERROR(IF(S471="Not a fit","Not a Fit",IF(Y471&gt;=5,"High Risk / Needs Review",IF(AND(Z471&gt;=18,T471="Easy"),"Quick Win",IF(AND(Z471&gt;=18,T471&lt;&gt;"Easy"),"Strategic Project",IF(Z471&gt;=10,"Discovery Needed","Process Issue"))))),"")</f>
        <v/>
      </c>
      <c r="AB471" s="3">
        <f>IFERROR(SWITCH(AA471,"Quick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1" s="3" t="n"/>
      <c r="AD471" s="3" t="n"/>
      <c r="AE471" s="3" t="n"/>
    </row>
    <row r="472" ht="25" customHeight="1">
      <c r="A472" s="2" t="n"/>
      <c r="B472" s="2">
        <f>IFERROR(XLOOKUP(A472,'Intake Responses'!$A:$A,'Intake Responses'!$E:$E),"")</f>
        <v/>
      </c>
      <c r="C472" s="2">
        <f>IFERROR(XLOOKUP(A472,'Intake Responses'!$A:$A,'Intake Responses'!$D:$D),"")</f>
        <v/>
      </c>
      <c r="D472" s="2">
        <f>IFERROR(XLOOKUP(A472,'Intake Responses'!$A:$A,'Intake Responses'!$F:$F),"")</f>
        <v/>
      </c>
      <c r="E472" s="2" t="n"/>
      <c r="F472" s="2">
        <f>IFERROR(XLOOKUP(A472,'Intake Responses'!$A:$A,'Intake Responses'!$M:$M),"")</f>
        <v/>
      </c>
      <c r="G472" s="2">
        <f>IFERROR(XLOOKUP(A472,'Intake Responses'!$A:$A,'Intake Responses'!$N:$N),"")</f>
        <v/>
      </c>
      <c r="H472" s="2">
        <f>IFERROR(XLOOKUP(A472,'Intake Responses'!$A:$A,'Intake Responses'!$O:$O),"")</f>
        <v/>
      </c>
      <c r="I472" s="2">
        <f>IFERROR(SWITCH(F472,"Multiple times per day",60,"Daily",20,"Weekly",4,"Monthly",1,"Quarterly",0.33,"Ad hoc",0.5,"Unknown",0),0)</f>
        <v/>
      </c>
      <c r="J472" s="2">
        <f>IFERROR((G472*H472*I472)/60,0)</f>
        <v/>
      </c>
      <c r="K472" s="2">
        <f>IFERROR(J472*12,0)</f>
        <v/>
      </c>
      <c r="L472" s="2">
        <f>IFERROR(XLOOKUP(A472,'Intake Responses'!$A:$A,'Intake Responses'!$T:$T),"")</f>
        <v/>
      </c>
      <c r="M472" s="2">
        <f>IFERROR(XLOOKUP(A472,'Intake Responses'!$A:$A,'Intake Responses'!$U:$U),"")</f>
        <v/>
      </c>
      <c r="N472" s="2">
        <f>IFERROR(XLOOKUP(A472,'Intake Responses'!$A:$A,'Intake Responses'!$V:$V),"")</f>
        <v/>
      </c>
      <c r="O472" s="2">
        <f>IFERROR(XLOOKUP(A472,'Intake Responses'!$A:$A,'Intake Responses'!$W:$W),"")</f>
        <v/>
      </c>
      <c r="P472" s="2">
        <f>IFERROR(XLOOKUP(A472,'Intake Responses'!$A:$A,'Intake Responses'!$X:$X),"")</f>
        <v/>
      </c>
      <c r="Q472" s="2">
        <f>IFERROR(XLOOKUP(A472,'Intake Responses'!$A:$A,'Intake Responses'!$AF:$AF),"")</f>
        <v/>
      </c>
      <c r="R472" s="2">
        <f>IFERROR(XLOOKUP(A472,'Intake Responses'!$A:$A,'Intake Responses'!$S:$S),"")</f>
        <v/>
      </c>
      <c r="S472" s="2" t="n"/>
      <c r="T472" s="2" t="n"/>
      <c r="U472" s="2" t="n"/>
      <c r="V472" s="2">
        <f>IFERROR(MIN(5,ROUND(((M472+O472)/2)+(IF(J472&gt;=20,2,IF(J472&gt;=10,1.5,IF(J472&gt;=5,1,IF(J472&gt;=1,0.5,0))))),1)),0)</f>
        <v/>
      </c>
      <c r="W472" s="2">
        <f>IFERROR(SWITCH(F472,"Multiple times per day",5,"Daily",4,"Weekly",3,"Monthly",2,"Quarterly",1,"Ad hoc",1,"Unknown",0),0)</f>
        <v/>
      </c>
      <c r="X472" s="2">
        <f>IFERROR(ROUND(AVERAGE(L472,N472),1),0)</f>
        <v/>
      </c>
      <c r="Y472" s="2">
        <f>IFERROR(SWITCH(U472,"High",3,"Medium",2,"Low",0,"Unknown",1,1)+IF(Q472="Yes",2,IF(Q472="Unsure",1,0)),0)</f>
        <v/>
      </c>
      <c r="Z472" s="2">
        <f>IFERROR(ROUND((V472*2)+(W472*1)+(X472*2)+(IF(T472="Easy",2,IF(T472="Medium",1,IF(T472="Hard",-1,0))))-(Y472*2),1),0)</f>
        <v/>
      </c>
      <c r="AA472" s="2">
        <f>IFERROR(IF(S472="Not a fit","Not a Fit",IF(Y472&gt;=5,"High Risk / Needs Review",IF(AND(Z472&gt;=18,T472="Easy"),"Quick Win",IF(AND(Z472&gt;=18,T472&lt;&gt;"Easy"),"Strategic Project",IF(Z472&gt;=10,"Discovery Needed","Process Issue"))))),"")</f>
        <v/>
      </c>
      <c r="AB472" s="2">
        <f>IFERROR(SWITCH(AA472,"Quick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2" s="2" t="n"/>
      <c r="AD472" s="2" t="n"/>
      <c r="AE472" s="2" t="n"/>
    </row>
    <row r="473" ht="25" customHeight="1">
      <c r="A473" s="3" t="n"/>
      <c r="B473" s="3">
        <f>IFERROR(XLOOKUP(A473,'Intake Responses'!$A:$A,'Intake Responses'!$E:$E),"")</f>
        <v/>
      </c>
      <c r="C473" s="3">
        <f>IFERROR(XLOOKUP(A473,'Intake Responses'!$A:$A,'Intake Responses'!$D:$D),"")</f>
        <v/>
      </c>
      <c r="D473" s="3">
        <f>IFERROR(XLOOKUP(A473,'Intake Responses'!$A:$A,'Intake Responses'!$F:$F),"")</f>
        <v/>
      </c>
      <c r="E473" s="3" t="n"/>
      <c r="F473" s="3">
        <f>IFERROR(XLOOKUP(A473,'Intake Responses'!$A:$A,'Intake Responses'!$M:$M),"")</f>
        <v/>
      </c>
      <c r="G473" s="3">
        <f>IFERROR(XLOOKUP(A473,'Intake Responses'!$A:$A,'Intake Responses'!$N:$N),"")</f>
        <v/>
      </c>
      <c r="H473" s="3">
        <f>IFERROR(XLOOKUP(A473,'Intake Responses'!$A:$A,'Intake Responses'!$O:$O),"")</f>
        <v/>
      </c>
      <c r="I473" s="3">
        <f>IFERROR(SWITCH(F473,"Multiple times per day",60,"Daily",20,"Weekly",4,"Monthly",1,"Quarterly",0.33,"Ad hoc",0.5,"Unknown",0),0)</f>
        <v/>
      </c>
      <c r="J473" s="3">
        <f>IFERROR((G473*H473*I473)/60,0)</f>
        <v/>
      </c>
      <c r="K473" s="3">
        <f>IFERROR(J473*12,0)</f>
        <v/>
      </c>
      <c r="L473" s="3">
        <f>IFERROR(XLOOKUP(A473,'Intake Responses'!$A:$A,'Intake Responses'!$T:$T),"")</f>
        <v/>
      </c>
      <c r="M473" s="3">
        <f>IFERROR(XLOOKUP(A473,'Intake Responses'!$A:$A,'Intake Responses'!$U:$U),"")</f>
        <v/>
      </c>
      <c r="N473" s="3">
        <f>IFERROR(XLOOKUP(A473,'Intake Responses'!$A:$A,'Intake Responses'!$V:$V),"")</f>
        <v/>
      </c>
      <c r="O473" s="3">
        <f>IFERROR(XLOOKUP(A473,'Intake Responses'!$A:$A,'Intake Responses'!$W:$W),"")</f>
        <v/>
      </c>
      <c r="P473" s="3">
        <f>IFERROR(XLOOKUP(A473,'Intake Responses'!$A:$A,'Intake Responses'!$X:$X),"")</f>
        <v/>
      </c>
      <c r="Q473" s="3">
        <f>IFERROR(XLOOKUP(A473,'Intake Responses'!$A:$A,'Intake Responses'!$AF:$AF),"")</f>
        <v/>
      </c>
      <c r="R473" s="3">
        <f>IFERROR(XLOOKUP(A473,'Intake Responses'!$A:$A,'Intake Responses'!$S:$S),"")</f>
        <v/>
      </c>
      <c r="S473" s="3" t="n"/>
      <c r="T473" s="3" t="n"/>
      <c r="U473" s="3" t="n"/>
      <c r="V473" s="3">
        <f>IFERROR(MIN(5,ROUND(((M473+O473)/2)+(IF(J473&gt;=20,2,IF(J473&gt;=10,1.5,IF(J473&gt;=5,1,IF(J473&gt;=1,0.5,0))))),1)),0)</f>
        <v/>
      </c>
      <c r="W473" s="3">
        <f>IFERROR(SWITCH(F473,"Multiple times per day",5,"Daily",4,"Weekly",3,"Monthly",2,"Quarterly",1,"Ad hoc",1,"Unknown",0),0)</f>
        <v/>
      </c>
      <c r="X473" s="3">
        <f>IFERROR(ROUND(AVERAGE(L473,N473),1),0)</f>
        <v/>
      </c>
      <c r="Y473" s="3">
        <f>IFERROR(SWITCH(U473,"High",3,"Medium",2,"Low",0,"Unknown",1,1)+IF(Q473="Yes",2,IF(Q473="Unsure",1,0)),0)</f>
        <v/>
      </c>
      <c r="Z473" s="3">
        <f>IFERROR(ROUND((V473*2)+(W473*1)+(X473*2)+(IF(T473="Easy",2,IF(T473="Medium",1,IF(T473="Hard",-1,0))))-(Y473*2),1),0)</f>
        <v/>
      </c>
      <c r="AA473" s="3">
        <f>IFERROR(IF(S473="Not a fit","Not a Fit",IF(Y473&gt;=5,"High Risk / Needs Review",IF(AND(Z473&gt;=18,T473="Easy"),"Quick Win",IF(AND(Z473&gt;=18,T473&lt;&gt;"Easy"),"Strategic Project",IF(Z473&gt;=10,"Discovery Needed","Process Issue"))))),"")</f>
        <v/>
      </c>
      <c r="AB473" s="3">
        <f>IFERROR(SWITCH(AA473,"Quick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3" s="3" t="n"/>
      <c r="AD473" s="3" t="n"/>
      <c r="AE473" s="3" t="n"/>
    </row>
    <row r="474" ht="25" customHeight="1">
      <c r="A474" s="2" t="n"/>
      <c r="B474" s="2">
        <f>IFERROR(XLOOKUP(A474,'Intake Responses'!$A:$A,'Intake Responses'!$E:$E),"")</f>
        <v/>
      </c>
      <c r="C474" s="2">
        <f>IFERROR(XLOOKUP(A474,'Intake Responses'!$A:$A,'Intake Responses'!$D:$D),"")</f>
        <v/>
      </c>
      <c r="D474" s="2">
        <f>IFERROR(XLOOKUP(A474,'Intake Responses'!$A:$A,'Intake Responses'!$F:$F),"")</f>
        <v/>
      </c>
      <c r="E474" s="2" t="n"/>
      <c r="F474" s="2">
        <f>IFERROR(XLOOKUP(A474,'Intake Responses'!$A:$A,'Intake Responses'!$M:$M),"")</f>
        <v/>
      </c>
      <c r="G474" s="2">
        <f>IFERROR(XLOOKUP(A474,'Intake Responses'!$A:$A,'Intake Responses'!$N:$N),"")</f>
        <v/>
      </c>
      <c r="H474" s="2">
        <f>IFERROR(XLOOKUP(A474,'Intake Responses'!$A:$A,'Intake Responses'!$O:$O),"")</f>
        <v/>
      </c>
      <c r="I474" s="2">
        <f>IFERROR(SWITCH(F474,"Multiple times per day",60,"Daily",20,"Weekly",4,"Monthly",1,"Quarterly",0.33,"Ad hoc",0.5,"Unknown",0),0)</f>
        <v/>
      </c>
      <c r="J474" s="2">
        <f>IFERROR((G474*H474*I474)/60,0)</f>
        <v/>
      </c>
      <c r="K474" s="2">
        <f>IFERROR(J474*12,0)</f>
        <v/>
      </c>
      <c r="L474" s="2">
        <f>IFERROR(XLOOKUP(A474,'Intake Responses'!$A:$A,'Intake Responses'!$T:$T),"")</f>
        <v/>
      </c>
      <c r="M474" s="2">
        <f>IFERROR(XLOOKUP(A474,'Intake Responses'!$A:$A,'Intake Responses'!$U:$U),"")</f>
        <v/>
      </c>
      <c r="N474" s="2">
        <f>IFERROR(XLOOKUP(A474,'Intake Responses'!$A:$A,'Intake Responses'!$V:$V),"")</f>
        <v/>
      </c>
      <c r="O474" s="2">
        <f>IFERROR(XLOOKUP(A474,'Intake Responses'!$A:$A,'Intake Responses'!$W:$W),"")</f>
        <v/>
      </c>
      <c r="P474" s="2">
        <f>IFERROR(XLOOKUP(A474,'Intake Responses'!$A:$A,'Intake Responses'!$X:$X),"")</f>
        <v/>
      </c>
      <c r="Q474" s="2">
        <f>IFERROR(XLOOKUP(A474,'Intake Responses'!$A:$A,'Intake Responses'!$AF:$AF),"")</f>
        <v/>
      </c>
      <c r="R474" s="2">
        <f>IFERROR(XLOOKUP(A474,'Intake Responses'!$A:$A,'Intake Responses'!$S:$S),"")</f>
        <v/>
      </c>
      <c r="S474" s="2" t="n"/>
      <c r="T474" s="2" t="n"/>
      <c r="U474" s="2" t="n"/>
      <c r="V474" s="2">
        <f>IFERROR(MIN(5,ROUND(((M474+O474)/2)+(IF(J474&gt;=20,2,IF(J474&gt;=10,1.5,IF(J474&gt;=5,1,IF(J474&gt;=1,0.5,0))))),1)),0)</f>
        <v/>
      </c>
      <c r="W474" s="2">
        <f>IFERROR(SWITCH(F474,"Multiple times per day",5,"Daily",4,"Weekly",3,"Monthly",2,"Quarterly",1,"Ad hoc",1,"Unknown",0),0)</f>
        <v/>
      </c>
      <c r="X474" s="2">
        <f>IFERROR(ROUND(AVERAGE(L474,N474),1),0)</f>
        <v/>
      </c>
      <c r="Y474" s="2">
        <f>IFERROR(SWITCH(U474,"High",3,"Medium",2,"Low",0,"Unknown",1,1)+IF(Q474="Yes",2,IF(Q474="Unsure",1,0)),0)</f>
        <v/>
      </c>
      <c r="Z474" s="2">
        <f>IFERROR(ROUND((V474*2)+(W474*1)+(X474*2)+(IF(T474="Easy",2,IF(T474="Medium",1,IF(T474="Hard",-1,0))))-(Y474*2),1),0)</f>
        <v/>
      </c>
      <c r="AA474" s="2">
        <f>IFERROR(IF(S474="Not a fit","Not a Fit",IF(Y474&gt;=5,"High Risk / Needs Review",IF(AND(Z474&gt;=18,T474="Easy"),"Quick Win",IF(AND(Z474&gt;=18,T474&lt;&gt;"Easy"),"Strategic Project",IF(Z474&gt;=10,"Discovery Needed","Process Issue"))))),"")</f>
        <v/>
      </c>
      <c r="AB474" s="2">
        <f>IFERROR(SWITCH(AA474,"Quick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4" s="2" t="n"/>
      <c r="AD474" s="2" t="n"/>
      <c r="AE474" s="2" t="n"/>
    </row>
    <row r="475" ht="25" customHeight="1">
      <c r="A475" s="3" t="n"/>
      <c r="B475" s="3">
        <f>IFERROR(XLOOKUP(A475,'Intake Responses'!$A:$A,'Intake Responses'!$E:$E),"")</f>
        <v/>
      </c>
      <c r="C475" s="3">
        <f>IFERROR(XLOOKUP(A475,'Intake Responses'!$A:$A,'Intake Responses'!$D:$D),"")</f>
        <v/>
      </c>
      <c r="D475" s="3">
        <f>IFERROR(XLOOKUP(A475,'Intake Responses'!$A:$A,'Intake Responses'!$F:$F),"")</f>
        <v/>
      </c>
      <c r="E475" s="3" t="n"/>
      <c r="F475" s="3">
        <f>IFERROR(XLOOKUP(A475,'Intake Responses'!$A:$A,'Intake Responses'!$M:$M),"")</f>
        <v/>
      </c>
      <c r="G475" s="3">
        <f>IFERROR(XLOOKUP(A475,'Intake Responses'!$A:$A,'Intake Responses'!$N:$N),"")</f>
        <v/>
      </c>
      <c r="H475" s="3">
        <f>IFERROR(XLOOKUP(A475,'Intake Responses'!$A:$A,'Intake Responses'!$O:$O),"")</f>
        <v/>
      </c>
      <c r="I475" s="3">
        <f>IFERROR(SWITCH(F475,"Multiple times per day",60,"Daily",20,"Weekly",4,"Monthly",1,"Quarterly",0.33,"Ad hoc",0.5,"Unknown",0),0)</f>
        <v/>
      </c>
      <c r="J475" s="3">
        <f>IFERROR((G475*H475*I475)/60,0)</f>
        <v/>
      </c>
      <c r="K475" s="3">
        <f>IFERROR(J475*12,0)</f>
        <v/>
      </c>
      <c r="L475" s="3">
        <f>IFERROR(XLOOKUP(A475,'Intake Responses'!$A:$A,'Intake Responses'!$T:$T),"")</f>
        <v/>
      </c>
      <c r="M475" s="3">
        <f>IFERROR(XLOOKUP(A475,'Intake Responses'!$A:$A,'Intake Responses'!$U:$U),"")</f>
        <v/>
      </c>
      <c r="N475" s="3">
        <f>IFERROR(XLOOKUP(A475,'Intake Responses'!$A:$A,'Intake Responses'!$V:$V),"")</f>
        <v/>
      </c>
      <c r="O475" s="3">
        <f>IFERROR(XLOOKUP(A475,'Intake Responses'!$A:$A,'Intake Responses'!$W:$W),"")</f>
        <v/>
      </c>
      <c r="P475" s="3">
        <f>IFERROR(XLOOKUP(A475,'Intake Responses'!$A:$A,'Intake Responses'!$X:$X),"")</f>
        <v/>
      </c>
      <c r="Q475" s="3">
        <f>IFERROR(XLOOKUP(A475,'Intake Responses'!$A:$A,'Intake Responses'!$AF:$AF),"")</f>
        <v/>
      </c>
      <c r="R475" s="3">
        <f>IFERROR(XLOOKUP(A475,'Intake Responses'!$A:$A,'Intake Responses'!$S:$S),"")</f>
        <v/>
      </c>
      <c r="S475" s="3" t="n"/>
      <c r="T475" s="3" t="n"/>
      <c r="U475" s="3" t="n"/>
      <c r="V475" s="3">
        <f>IFERROR(MIN(5,ROUND(((M475+O475)/2)+(IF(J475&gt;=20,2,IF(J475&gt;=10,1.5,IF(J475&gt;=5,1,IF(J475&gt;=1,0.5,0))))),1)),0)</f>
        <v/>
      </c>
      <c r="W475" s="3">
        <f>IFERROR(SWITCH(F475,"Multiple times per day",5,"Daily",4,"Weekly",3,"Monthly",2,"Quarterly",1,"Ad hoc",1,"Unknown",0),0)</f>
        <v/>
      </c>
      <c r="X475" s="3">
        <f>IFERROR(ROUND(AVERAGE(L475,N475),1),0)</f>
        <v/>
      </c>
      <c r="Y475" s="3">
        <f>IFERROR(SWITCH(U475,"High",3,"Medium",2,"Low",0,"Unknown",1,1)+IF(Q475="Yes",2,IF(Q475="Unsure",1,0)),0)</f>
        <v/>
      </c>
      <c r="Z475" s="3">
        <f>IFERROR(ROUND((V475*2)+(W475*1)+(X475*2)+(IF(T475="Easy",2,IF(T475="Medium",1,IF(T475="Hard",-1,0))))-(Y475*2),1),0)</f>
        <v/>
      </c>
      <c r="AA475" s="3">
        <f>IFERROR(IF(S475="Not a fit","Not a Fit",IF(Y475&gt;=5,"High Risk / Needs Review",IF(AND(Z475&gt;=18,T475="Easy"),"Quick Win",IF(AND(Z475&gt;=18,T475&lt;&gt;"Easy"),"Strategic Project",IF(Z475&gt;=10,"Discovery Needed","Process Issue"))))),"")</f>
        <v/>
      </c>
      <c r="AB475" s="3">
        <f>IFERROR(SWITCH(AA475,"Quick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5" s="3" t="n"/>
      <c r="AD475" s="3" t="n"/>
      <c r="AE475" s="3" t="n"/>
    </row>
    <row r="476" ht="25" customHeight="1">
      <c r="A476" s="2" t="n"/>
      <c r="B476" s="2">
        <f>IFERROR(XLOOKUP(A476,'Intake Responses'!$A:$A,'Intake Responses'!$E:$E),"")</f>
        <v/>
      </c>
      <c r="C476" s="2">
        <f>IFERROR(XLOOKUP(A476,'Intake Responses'!$A:$A,'Intake Responses'!$D:$D),"")</f>
        <v/>
      </c>
      <c r="D476" s="2">
        <f>IFERROR(XLOOKUP(A476,'Intake Responses'!$A:$A,'Intake Responses'!$F:$F),"")</f>
        <v/>
      </c>
      <c r="E476" s="2" t="n"/>
      <c r="F476" s="2">
        <f>IFERROR(XLOOKUP(A476,'Intake Responses'!$A:$A,'Intake Responses'!$M:$M),"")</f>
        <v/>
      </c>
      <c r="G476" s="2">
        <f>IFERROR(XLOOKUP(A476,'Intake Responses'!$A:$A,'Intake Responses'!$N:$N),"")</f>
        <v/>
      </c>
      <c r="H476" s="2">
        <f>IFERROR(XLOOKUP(A476,'Intake Responses'!$A:$A,'Intake Responses'!$O:$O),"")</f>
        <v/>
      </c>
      <c r="I476" s="2">
        <f>IFERROR(SWITCH(F476,"Multiple times per day",60,"Daily",20,"Weekly",4,"Monthly",1,"Quarterly",0.33,"Ad hoc",0.5,"Unknown",0),0)</f>
        <v/>
      </c>
      <c r="J476" s="2">
        <f>IFERROR((G476*H476*I476)/60,0)</f>
        <v/>
      </c>
      <c r="K476" s="2">
        <f>IFERROR(J476*12,0)</f>
        <v/>
      </c>
      <c r="L476" s="2">
        <f>IFERROR(XLOOKUP(A476,'Intake Responses'!$A:$A,'Intake Responses'!$T:$T),"")</f>
        <v/>
      </c>
      <c r="M476" s="2">
        <f>IFERROR(XLOOKUP(A476,'Intake Responses'!$A:$A,'Intake Responses'!$U:$U),"")</f>
        <v/>
      </c>
      <c r="N476" s="2">
        <f>IFERROR(XLOOKUP(A476,'Intake Responses'!$A:$A,'Intake Responses'!$V:$V),"")</f>
        <v/>
      </c>
      <c r="O476" s="2">
        <f>IFERROR(XLOOKUP(A476,'Intake Responses'!$A:$A,'Intake Responses'!$W:$W),"")</f>
        <v/>
      </c>
      <c r="P476" s="2">
        <f>IFERROR(XLOOKUP(A476,'Intake Responses'!$A:$A,'Intake Responses'!$X:$X),"")</f>
        <v/>
      </c>
      <c r="Q476" s="2">
        <f>IFERROR(XLOOKUP(A476,'Intake Responses'!$A:$A,'Intake Responses'!$AF:$AF),"")</f>
        <v/>
      </c>
      <c r="R476" s="2">
        <f>IFERROR(XLOOKUP(A476,'Intake Responses'!$A:$A,'Intake Responses'!$S:$S),"")</f>
        <v/>
      </c>
      <c r="S476" s="2" t="n"/>
      <c r="T476" s="2" t="n"/>
      <c r="U476" s="2" t="n"/>
      <c r="V476" s="2">
        <f>IFERROR(MIN(5,ROUND(((M476+O476)/2)+(IF(J476&gt;=20,2,IF(J476&gt;=10,1.5,IF(J476&gt;=5,1,IF(J476&gt;=1,0.5,0))))),1)),0)</f>
        <v/>
      </c>
      <c r="W476" s="2">
        <f>IFERROR(SWITCH(F476,"Multiple times per day",5,"Daily",4,"Weekly",3,"Monthly",2,"Quarterly",1,"Ad hoc",1,"Unknown",0),0)</f>
        <v/>
      </c>
      <c r="X476" s="2">
        <f>IFERROR(ROUND(AVERAGE(L476,N476),1),0)</f>
        <v/>
      </c>
      <c r="Y476" s="2">
        <f>IFERROR(SWITCH(U476,"High",3,"Medium",2,"Low",0,"Unknown",1,1)+IF(Q476="Yes",2,IF(Q476="Unsure",1,0)),0)</f>
        <v/>
      </c>
      <c r="Z476" s="2">
        <f>IFERROR(ROUND((V476*2)+(W476*1)+(X476*2)+(IF(T476="Easy",2,IF(T476="Medium",1,IF(T476="Hard",-1,0))))-(Y476*2),1),0)</f>
        <v/>
      </c>
      <c r="AA476" s="2">
        <f>IFERROR(IF(S476="Not a fit","Not a Fit",IF(Y476&gt;=5,"High Risk / Needs Review",IF(AND(Z476&gt;=18,T476="Easy"),"Quick Win",IF(AND(Z476&gt;=18,T476&lt;&gt;"Easy"),"Strategic Project",IF(Z476&gt;=10,"Discovery Needed","Process Issue"))))),"")</f>
        <v/>
      </c>
      <c r="AB476" s="2">
        <f>IFERROR(SWITCH(AA476,"Quick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6" s="2" t="n"/>
      <c r="AD476" s="2" t="n"/>
      <c r="AE476" s="2" t="n"/>
    </row>
    <row r="477" ht="25" customHeight="1">
      <c r="A477" s="3" t="n"/>
      <c r="B477" s="3">
        <f>IFERROR(XLOOKUP(A477,'Intake Responses'!$A:$A,'Intake Responses'!$E:$E),"")</f>
        <v/>
      </c>
      <c r="C477" s="3">
        <f>IFERROR(XLOOKUP(A477,'Intake Responses'!$A:$A,'Intake Responses'!$D:$D),"")</f>
        <v/>
      </c>
      <c r="D477" s="3">
        <f>IFERROR(XLOOKUP(A477,'Intake Responses'!$A:$A,'Intake Responses'!$F:$F),"")</f>
        <v/>
      </c>
      <c r="E477" s="3" t="n"/>
      <c r="F477" s="3">
        <f>IFERROR(XLOOKUP(A477,'Intake Responses'!$A:$A,'Intake Responses'!$M:$M),"")</f>
        <v/>
      </c>
      <c r="G477" s="3">
        <f>IFERROR(XLOOKUP(A477,'Intake Responses'!$A:$A,'Intake Responses'!$N:$N),"")</f>
        <v/>
      </c>
      <c r="H477" s="3">
        <f>IFERROR(XLOOKUP(A477,'Intake Responses'!$A:$A,'Intake Responses'!$O:$O),"")</f>
        <v/>
      </c>
      <c r="I477" s="3">
        <f>IFERROR(SWITCH(F477,"Multiple times per day",60,"Daily",20,"Weekly",4,"Monthly",1,"Quarterly",0.33,"Ad hoc",0.5,"Unknown",0),0)</f>
        <v/>
      </c>
      <c r="J477" s="3">
        <f>IFERROR((G477*H477*I477)/60,0)</f>
        <v/>
      </c>
      <c r="K477" s="3">
        <f>IFERROR(J477*12,0)</f>
        <v/>
      </c>
      <c r="L477" s="3">
        <f>IFERROR(XLOOKUP(A477,'Intake Responses'!$A:$A,'Intake Responses'!$T:$T),"")</f>
        <v/>
      </c>
      <c r="M477" s="3">
        <f>IFERROR(XLOOKUP(A477,'Intake Responses'!$A:$A,'Intake Responses'!$U:$U),"")</f>
        <v/>
      </c>
      <c r="N477" s="3">
        <f>IFERROR(XLOOKUP(A477,'Intake Responses'!$A:$A,'Intake Responses'!$V:$V),"")</f>
        <v/>
      </c>
      <c r="O477" s="3">
        <f>IFERROR(XLOOKUP(A477,'Intake Responses'!$A:$A,'Intake Responses'!$W:$W),"")</f>
        <v/>
      </c>
      <c r="P477" s="3">
        <f>IFERROR(XLOOKUP(A477,'Intake Responses'!$A:$A,'Intake Responses'!$X:$X),"")</f>
        <v/>
      </c>
      <c r="Q477" s="3">
        <f>IFERROR(XLOOKUP(A477,'Intake Responses'!$A:$A,'Intake Responses'!$AF:$AF),"")</f>
        <v/>
      </c>
      <c r="R477" s="3">
        <f>IFERROR(XLOOKUP(A477,'Intake Responses'!$A:$A,'Intake Responses'!$S:$S),"")</f>
        <v/>
      </c>
      <c r="S477" s="3" t="n"/>
      <c r="T477" s="3" t="n"/>
      <c r="U477" s="3" t="n"/>
      <c r="V477" s="3">
        <f>IFERROR(MIN(5,ROUND(((M477+O477)/2)+(IF(J477&gt;=20,2,IF(J477&gt;=10,1.5,IF(J477&gt;=5,1,IF(J477&gt;=1,0.5,0))))),1)),0)</f>
        <v/>
      </c>
      <c r="W477" s="3">
        <f>IFERROR(SWITCH(F477,"Multiple times per day",5,"Daily",4,"Weekly",3,"Monthly",2,"Quarterly",1,"Ad hoc",1,"Unknown",0),0)</f>
        <v/>
      </c>
      <c r="X477" s="3">
        <f>IFERROR(ROUND(AVERAGE(L477,N477),1),0)</f>
        <v/>
      </c>
      <c r="Y477" s="3">
        <f>IFERROR(SWITCH(U477,"High",3,"Medium",2,"Low",0,"Unknown",1,1)+IF(Q477="Yes",2,IF(Q477="Unsure",1,0)),0)</f>
        <v/>
      </c>
      <c r="Z477" s="3">
        <f>IFERROR(ROUND((V477*2)+(W477*1)+(X477*2)+(IF(T477="Easy",2,IF(T477="Medium",1,IF(T477="Hard",-1,0))))-(Y477*2),1),0)</f>
        <v/>
      </c>
      <c r="AA477" s="3">
        <f>IFERROR(IF(S477="Not a fit","Not a Fit",IF(Y477&gt;=5,"High Risk / Needs Review",IF(AND(Z477&gt;=18,T477="Easy"),"Quick Win",IF(AND(Z477&gt;=18,T477&lt;&gt;"Easy"),"Strategic Project",IF(Z477&gt;=10,"Discovery Needed","Process Issue"))))),"")</f>
        <v/>
      </c>
      <c r="AB477" s="3">
        <f>IFERROR(SWITCH(AA477,"Quick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7" s="3" t="n"/>
      <c r="AD477" s="3" t="n"/>
      <c r="AE477" s="3" t="n"/>
    </row>
    <row r="478" ht="25" customHeight="1">
      <c r="A478" s="2" t="n"/>
      <c r="B478" s="2">
        <f>IFERROR(XLOOKUP(A478,'Intake Responses'!$A:$A,'Intake Responses'!$E:$E),"")</f>
        <v/>
      </c>
      <c r="C478" s="2">
        <f>IFERROR(XLOOKUP(A478,'Intake Responses'!$A:$A,'Intake Responses'!$D:$D),"")</f>
        <v/>
      </c>
      <c r="D478" s="2">
        <f>IFERROR(XLOOKUP(A478,'Intake Responses'!$A:$A,'Intake Responses'!$F:$F),"")</f>
        <v/>
      </c>
      <c r="E478" s="2" t="n"/>
      <c r="F478" s="2">
        <f>IFERROR(XLOOKUP(A478,'Intake Responses'!$A:$A,'Intake Responses'!$M:$M),"")</f>
        <v/>
      </c>
      <c r="G478" s="2">
        <f>IFERROR(XLOOKUP(A478,'Intake Responses'!$A:$A,'Intake Responses'!$N:$N),"")</f>
        <v/>
      </c>
      <c r="H478" s="2">
        <f>IFERROR(XLOOKUP(A478,'Intake Responses'!$A:$A,'Intake Responses'!$O:$O),"")</f>
        <v/>
      </c>
      <c r="I478" s="2">
        <f>IFERROR(SWITCH(F478,"Multiple times per day",60,"Daily",20,"Weekly",4,"Monthly",1,"Quarterly",0.33,"Ad hoc",0.5,"Unknown",0),0)</f>
        <v/>
      </c>
      <c r="J478" s="2">
        <f>IFERROR((G478*H478*I478)/60,0)</f>
        <v/>
      </c>
      <c r="K478" s="2">
        <f>IFERROR(J478*12,0)</f>
        <v/>
      </c>
      <c r="L478" s="2">
        <f>IFERROR(XLOOKUP(A478,'Intake Responses'!$A:$A,'Intake Responses'!$T:$T),"")</f>
        <v/>
      </c>
      <c r="M478" s="2">
        <f>IFERROR(XLOOKUP(A478,'Intake Responses'!$A:$A,'Intake Responses'!$U:$U),"")</f>
        <v/>
      </c>
      <c r="N478" s="2">
        <f>IFERROR(XLOOKUP(A478,'Intake Responses'!$A:$A,'Intake Responses'!$V:$V),"")</f>
        <v/>
      </c>
      <c r="O478" s="2">
        <f>IFERROR(XLOOKUP(A478,'Intake Responses'!$A:$A,'Intake Responses'!$W:$W),"")</f>
        <v/>
      </c>
      <c r="P478" s="2">
        <f>IFERROR(XLOOKUP(A478,'Intake Responses'!$A:$A,'Intake Responses'!$X:$X),"")</f>
        <v/>
      </c>
      <c r="Q478" s="2">
        <f>IFERROR(XLOOKUP(A478,'Intake Responses'!$A:$A,'Intake Responses'!$AF:$AF),"")</f>
        <v/>
      </c>
      <c r="R478" s="2">
        <f>IFERROR(XLOOKUP(A478,'Intake Responses'!$A:$A,'Intake Responses'!$S:$S),"")</f>
        <v/>
      </c>
      <c r="S478" s="2" t="n"/>
      <c r="T478" s="2" t="n"/>
      <c r="U478" s="2" t="n"/>
      <c r="V478" s="2">
        <f>IFERROR(MIN(5,ROUND(((M478+O478)/2)+(IF(J478&gt;=20,2,IF(J478&gt;=10,1.5,IF(J478&gt;=5,1,IF(J478&gt;=1,0.5,0))))),1)),0)</f>
        <v/>
      </c>
      <c r="W478" s="2">
        <f>IFERROR(SWITCH(F478,"Multiple times per day",5,"Daily",4,"Weekly",3,"Monthly",2,"Quarterly",1,"Ad hoc",1,"Unknown",0),0)</f>
        <v/>
      </c>
      <c r="X478" s="2">
        <f>IFERROR(ROUND(AVERAGE(L478,N478),1),0)</f>
        <v/>
      </c>
      <c r="Y478" s="2">
        <f>IFERROR(SWITCH(U478,"High",3,"Medium",2,"Low",0,"Unknown",1,1)+IF(Q478="Yes",2,IF(Q478="Unsure",1,0)),0)</f>
        <v/>
      </c>
      <c r="Z478" s="2">
        <f>IFERROR(ROUND((V478*2)+(W478*1)+(X478*2)+(IF(T478="Easy",2,IF(T478="Medium",1,IF(T478="Hard",-1,0))))-(Y478*2),1),0)</f>
        <v/>
      </c>
      <c r="AA478" s="2">
        <f>IFERROR(IF(S478="Not a fit","Not a Fit",IF(Y478&gt;=5,"High Risk / Needs Review",IF(AND(Z478&gt;=18,T478="Easy"),"Quick Win",IF(AND(Z478&gt;=18,T478&lt;&gt;"Easy"),"Strategic Project",IF(Z478&gt;=10,"Discovery Needed","Process Issue"))))),"")</f>
        <v/>
      </c>
      <c r="AB478" s="2">
        <f>IFERROR(SWITCH(AA478,"Quick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8" s="2" t="n"/>
      <c r="AD478" s="2" t="n"/>
      <c r="AE478" s="2" t="n"/>
    </row>
    <row r="479" ht="25" customHeight="1">
      <c r="A479" s="3" t="n"/>
      <c r="B479" s="3">
        <f>IFERROR(XLOOKUP(A479,'Intake Responses'!$A:$A,'Intake Responses'!$E:$E),"")</f>
        <v/>
      </c>
      <c r="C479" s="3">
        <f>IFERROR(XLOOKUP(A479,'Intake Responses'!$A:$A,'Intake Responses'!$D:$D),"")</f>
        <v/>
      </c>
      <c r="D479" s="3">
        <f>IFERROR(XLOOKUP(A479,'Intake Responses'!$A:$A,'Intake Responses'!$F:$F),"")</f>
        <v/>
      </c>
      <c r="E479" s="3" t="n"/>
      <c r="F479" s="3">
        <f>IFERROR(XLOOKUP(A479,'Intake Responses'!$A:$A,'Intake Responses'!$M:$M),"")</f>
        <v/>
      </c>
      <c r="G479" s="3">
        <f>IFERROR(XLOOKUP(A479,'Intake Responses'!$A:$A,'Intake Responses'!$N:$N),"")</f>
        <v/>
      </c>
      <c r="H479" s="3">
        <f>IFERROR(XLOOKUP(A479,'Intake Responses'!$A:$A,'Intake Responses'!$O:$O),"")</f>
        <v/>
      </c>
      <c r="I479" s="3">
        <f>IFERROR(SWITCH(F479,"Multiple times per day",60,"Daily",20,"Weekly",4,"Monthly",1,"Quarterly",0.33,"Ad hoc",0.5,"Unknown",0),0)</f>
        <v/>
      </c>
      <c r="J479" s="3">
        <f>IFERROR((G479*H479*I479)/60,0)</f>
        <v/>
      </c>
      <c r="K479" s="3">
        <f>IFERROR(J479*12,0)</f>
        <v/>
      </c>
      <c r="L479" s="3">
        <f>IFERROR(XLOOKUP(A479,'Intake Responses'!$A:$A,'Intake Responses'!$T:$T),"")</f>
        <v/>
      </c>
      <c r="M479" s="3">
        <f>IFERROR(XLOOKUP(A479,'Intake Responses'!$A:$A,'Intake Responses'!$U:$U),"")</f>
        <v/>
      </c>
      <c r="N479" s="3">
        <f>IFERROR(XLOOKUP(A479,'Intake Responses'!$A:$A,'Intake Responses'!$V:$V),"")</f>
        <v/>
      </c>
      <c r="O479" s="3">
        <f>IFERROR(XLOOKUP(A479,'Intake Responses'!$A:$A,'Intake Responses'!$W:$W),"")</f>
        <v/>
      </c>
      <c r="P479" s="3">
        <f>IFERROR(XLOOKUP(A479,'Intake Responses'!$A:$A,'Intake Responses'!$X:$X),"")</f>
        <v/>
      </c>
      <c r="Q479" s="3">
        <f>IFERROR(XLOOKUP(A479,'Intake Responses'!$A:$A,'Intake Responses'!$AF:$AF),"")</f>
        <v/>
      </c>
      <c r="R479" s="3">
        <f>IFERROR(XLOOKUP(A479,'Intake Responses'!$A:$A,'Intake Responses'!$S:$S),"")</f>
        <v/>
      </c>
      <c r="S479" s="3" t="n"/>
      <c r="T479" s="3" t="n"/>
      <c r="U479" s="3" t="n"/>
      <c r="V479" s="3">
        <f>IFERROR(MIN(5,ROUND(((M479+O479)/2)+(IF(J479&gt;=20,2,IF(J479&gt;=10,1.5,IF(J479&gt;=5,1,IF(J479&gt;=1,0.5,0))))),1)),0)</f>
        <v/>
      </c>
      <c r="W479" s="3">
        <f>IFERROR(SWITCH(F479,"Multiple times per day",5,"Daily",4,"Weekly",3,"Monthly",2,"Quarterly",1,"Ad hoc",1,"Unknown",0),0)</f>
        <v/>
      </c>
      <c r="X479" s="3">
        <f>IFERROR(ROUND(AVERAGE(L479,N479),1),0)</f>
        <v/>
      </c>
      <c r="Y479" s="3">
        <f>IFERROR(SWITCH(U479,"High",3,"Medium",2,"Low",0,"Unknown",1,1)+IF(Q479="Yes",2,IF(Q479="Unsure",1,0)),0)</f>
        <v/>
      </c>
      <c r="Z479" s="3">
        <f>IFERROR(ROUND((V479*2)+(W479*1)+(X479*2)+(IF(T479="Easy",2,IF(T479="Medium",1,IF(T479="Hard",-1,0))))-(Y479*2),1),0)</f>
        <v/>
      </c>
      <c r="AA479" s="3">
        <f>IFERROR(IF(S479="Not a fit","Not a Fit",IF(Y479&gt;=5,"High Risk / Needs Review",IF(AND(Z479&gt;=18,T479="Easy"),"Quick Win",IF(AND(Z479&gt;=18,T479&lt;&gt;"Easy"),"Strategic Project",IF(Z479&gt;=10,"Discovery Needed","Process Issue"))))),"")</f>
        <v/>
      </c>
      <c r="AB479" s="3">
        <f>IFERROR(SWITCH(AA479,"Quick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79" s="3" t="n"/>
      <c r="AD479" s="3" t="n"/>
      <c r="AE479" s="3" t="n"/>
    </row>
    <row r="480" ht="25" customHeight="1">
      <c r="A480" s="2" t="n"/>
      <c r="B480" s="2">
        <f>IFERROR(XLOOKUP(A480,'Intake Responses'!$A:$A,'Intake Responses'!$E:$E),"")</f>
        <v/>
      </c>
      <c r="C480" s="2">
        <f>IFERROR(XLOOKUP(A480,'Intake Responses'!$A:$A,'Intake Responses'!$D:$D),"")</f>
        <v/>
      </c>
      <c r="D480" s="2">
        <f>IFERROR(XLOOKUP(A480,'Intake Responses'!$A:$A,'Intake Responses'!$F:$F),"")</f>
        <v/>
      </c>
      <c r="E480" s="2" t="n"/>
      <c r="F480" s="2">
        <f>IFERROR(XLOOKUP(A480,'Intake Responses'!$A:$A,'Intake Responses'!$M:$M),"")</f>
        <v/>
      </c>
      <c r="G480" s="2">
        <f>IFERROR(XLOOKUP(A480,'Intake Responses'!$A:$A,'Intake Responses'!$N:$N),"")</f>
        <v/>
      </c>
      <c r="H480" s="2">
        <f>IFERROR(XLOOKUP(A480,'Intake Responses'!$A:$A,'Intake Responses'!$O:$O),"")</f>
        <v/>
      </c>
      <c r="I480" s="2">
        <f>IFERROR(SWITCH(F480,"Multiple times per day",60,"Daily",20,"Weekly",4,"Monthly",1,"Quarterly",0.33,"Ad hoc",0.5,"Unknown",0),0)</f>
        <v/>
      </c>
      <c r="J480" s="2">
        <f>IFERROR((G480*H480*I480)/60,0)</f>
        <v/>
      </c>
      <c r="K480" s="2">
        <f>IFERROR(J480*12,0)</f>
        <v/>
      </c>
      <c r="L480" s="2">
        <f>IFERROR(XLOOKUP(A480,'Intake Responses'!$A:$A,'Intake Responses'!$T:$T),"")</f>
        <v/>
      </c>
      <c r="M480" s="2">
        <f>IFERROR(XLOOKUP(A480,'Intake Responses'!$A:$A,'Intake Responses'!$U:$U),"")</f>
        <v/>
      </c>
      <c r="N480" s="2">
        <f>IFERROR(XLOOKUP(A480,'Intake Responses'!$A:$A,'Intake Responses'!$V:$V),"")</f>
        <v/>
      </c>
      <c r="O480" s="2">
        <f>IFERROR(XLOOKUP(A480,'Intake Responses'!$A:$A,'Intake Responses'!$W:$W),"")</f>
        <v/>
      </c>
      <c r="P480" s="2">
        <f>IFERROR(XLOOKUP(A480,'Intake Responses'!$A:$A,'Intake Responses'!$X:$X),"")</f>
        <v/>
      </c>
      <c r="Q480" s="2">
        <f>IFERROR(XLOOKUP(A480,'Intake Responses'!$A:$A,'Intake Responses'!$AF:$AF),"")</f>
        <v/>
      </c>
      <c r="R480" s="2">
        <f>IFERROR(XLOOKUP(A480,'Intake Responses'!$A:$A,'Intake Responses'!$S:$S),"")</f>
        <v/>
      </c>
      <c r="S480" s="2" t="n"/>
      <c r="T480" s="2" t="n"/>
      <c r="U480" s="2" t="n"/>
      <c r="V480" s="2">
        <f>IFERROR(MIN(5,ROUND(((M480+O480)/2)+(IF(J480&gt;=20,2,IF(J480&gt;=10,1.5,IF(J480&gt;=5,1,IF(J480&gt;=1,0.5,0))))),1)),0)</f>
        <v/>
      </c>
      <c r="W480" s="2">
        <f>IFERROR(SWITCH(F480,"Multiple times per day",5,"Daily",4,"Weekly",3,"Monthly",2,"Quarterly",1,"Ad hoc",1,"Unknown",0),0)</f>
        <v/>
      </c>
      <c r="X480" s="2">
        <f>IFERROR(ROUND(AVERAGE(L480,N480),1),0)</f>
        <v/>
      </c>
      <c r="Y480" s="2">
        <f>IFERROR(SWITCH(U480,"High",3,"Medium",2,"Low",0,"Unknown",1,1)+IF(Q480="Yes",2,IF(Q480="Unsure",1,0)),0)</f>
        <v/>
      </c>
      <c r="Z480" s="2">
        <f>IFERROR(ROUND((V480*2)+(W480*1)+(X480*2)+(IF(T480="Easy",2,IF(T480="Medium",1,IF(T480="Hard",-1,0))))-(Y480*2),1),0)</f>
        <v/>
      </c>
      <c r="AA480" s="2">
        <f>IFERROR(IF(S480="Not a fit","Not a Fit",IF(Y480&gt;=5,"High Risk / Needs Review",IF(AND(Z480&gt;=18,T480="Easy"),"Quick Win",IF(AND(Z480&gt;=18,T480&lt;&gt;"Easy"),"Strategic Project",IF(Z480&gt;=10,"Discovery Needed","Process Issue"))))),"")</f>
        <v/>
      </c>
      <c r="AB480" s="2">
        <f>IFERROR(SWITCH(AA480,"Quick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0" s="2" t="n"/>
      <c r="AD480" s="2" t="n"/>
      <c r="AE480" s="2" t="n"/>
    </row>
    <row r="481" ht="25" customHeight="1">
      <c r="A481" s="3" t="n"/>
      <c r="B481" s="3">
        <f>IFERROR(XLOOKUP(A481,'Intake Responses'!$A:$A,'Intake Responses'!$E:$E),"")</f>
        <v/>
      </c>
      <c r="C481" s="3">
        <f>IFERROR(XLOOKUP(A481,'Intake Responses'!$A:$A,'Intake Responses'!$D:$D),"")</f>
        <v/>
      </c>
      <c r="D481" s="3">
        <f>IFERROR(XLOOKUP(A481,'Intake Responses'!$A:$A,'Intake Responses'!$F:$F),"")</f>
        <v/>
      </c>
      <c r="E481" s="3" t="n"/>
      <c r="F481" s="3">
        <f>IFERROR(XLOOKUP(A481,'Intake Responses'!$A:$A,'Intake Responses'!$M:$M),"")</f>
        <v/>
      </c>
      <c r="G481" s="3">
        <f>IFERROR(XLOOKUP(A481,'Intake Responses'!$A:$A,'Intake Responses'!$N:$N),"")</f>
        <v/>
      </c>
      <c r="H481" s="3">
        <f>IFERROR(XLOOKUP(A481,'Intake Responses'!$A:$A,'Intake Responses'!$O:$O),"")</f>
        <v/>
      </c>
      <c r="I481" s="3">
        <f>IFERROR(SWITCH(F481,"Multiple times per day",60,"Daily",20,"Weekly",4,"Monthly",1,"Quarterly",0.33,"Ad hoc",0.5,"Unknown",0),0)</f>
        <v/>
      </c>
      <c r="J481" s="3">
        <f>IFERROR((G481*H481*I481)/60,0)</f>
        <v/>
      </c>
      <c r="K481" s="3">
        <f>IFERROR(J481*12,0)</f>
        <v/>
      </c>
      <c r="L481" s="3">
        <f>IFERROR(XLOOKUP(A481,'Intake Responses'!$A:$A,'Intake Responses'!$T:$T),"")</f>
        <v/>
      </c>
      <c r="M481" s="3">
        <f>IFERROR(XLOOKUP(A481,'Intake Responses'!$A:$A,'Intake Responses'!$U:$U),"")</f>
        <v/>
      </c>
      <c r="N481" s="3">
        <f>IFERROR(XLOOKUP(A481,'Intake Responses'!$A:$A,'Intake Responses'!$V:$V),"")</f>
        <v/>
      </c>
      <c r="O481" s="3">
        <f>IFERROR(XLOOKUP(A481,'Intake Responses'!$A:$A,'Intake Responses'!$W:$W),"")</f>
        <v/>
      </c>
      <c r="P481" s="3">
        <f>IFERROR(XLOOKUP(A481,'Intake Responses'!$A:$A,'Intake Responses'!$X:$X),"")</f>
        <v/>
      </c>
      <c r="Q481" s="3">
        <f>IFERROR(XLOOKUP(A481,'Intake Responses'!$A:$A,'Intake Responses'!$AF:$AF),"")</f>
        <v/>
      </c>
      <c r="R481" s="3">
        <f>IFERROR(XLOOKUP(A481,'Intake Responses'!$A:$A,'Intake Responses'!$S:$S),"")</f>
        <v/>
      </c>
      <c r="S481" s="3" t="n"/>
      <c r="T481" s="3" t="n"/>
      <c r="U481" s="3" t="n"/>
      <c r="V481" s="3">
        <f>IFERROR(MIN(5,ROUND(((M481+O481)/2)+(IF(J481&gt;=20,2,IF(J481&gt;=10,1.5,IF(J481&gt;=5,1,IF(J481&gt;=1,0.5,0))))),1)),0)</f>
        <v/>
      </c>
      <c r="W481" s="3">
        <f>IFERROR(SWITCH(F481,"Multiple times per day",5,"Daily",4,"Weekly",3,"Monthly",2,"Quarterly",1,"Ad hoc",1,"Unknown",0),0)</f>
        <v/>
      </c>
      <c r="X481" s="3">
        <f>IFERROR(ROUND(AVERAGE(L481,N481),1),0)</f>
        <v/>
      </c>
      <c r="Y481" s="3">
        <f>IFERROR(SWITCH(U481,"High",3,"Medium",2,"Low",0,"Unknown",1,1)+IF(Q481="Yes",2,IF(Q481="Unsure",1,0)),0)</f>
        <v/>
      </c>
      <c r="Z481" s="3">
        <f>IFERROR(ROUND((V481*2)+(W481*1)+(X481*2)+(IF(T481="Easy",2,IF(T481="Medium",1,IF(T481="Hard",-1,0))))-(Y481*2),1),0)</f>
        <v/>
      </c>
      <c r="AA481" s="3">
        <f>IFERROR(IF(S481="Not a fit","Not a Fit",IF(Y481&gt;=5,"High Risk / Needs Review",IF(AND(Z481&gt;=18,T481="Easy"),"Quick Win",IF(AND(Z481&gt;=18,T481&lt;&gt;"Easy"),"Strategic Project",IF(Z481&gt;=10,"Discovery Needed","Process Issue"))))),"")</f>
        <v/>
      </c>
      <c r="AB481" s="3">
        <f>IFERROR(SWITCH(AA481,"Quick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1" s="3" t="n"/>
      <c r="AD481" s="3" t="n"/>
      <c r="AE481" s="3" t="n"/>
    </row>
    <row r="482" ht="25" customHeight="1">
      <c r="A482" s="2" t="n"/>
      <c r="B482" s="2">
        <f>IFERROR(XLOOKUP(A482,'Intake Responses'!$A:$A,'Intake Responses'!$E:$E),"")</f>
        <v/>
      </c>
      <c r="C482" s="2">
        <f>IFERROR(XLOOKUP(A482,'Intake Responses'!$A:$A,'Intake Responses'!$D:$D),"")</f>
        <v/>
      </c>
      <c r="D482" s="2">
        <f>IFERROR(XLOOKUP(A482,'Intake Responses'!$A:$A,'Intake Responses'!$F:$F),"")</f>
        <v/>
      </c>
      <c r="E482" s="2" t="n"/>
      <c r="F482" s="2">
        <f>IFERROR(XLOOKUP(A482,'Intake Responses'!$A:$A,'Intake Responses'!$M:$M),"")</f>
        <v/>
      </c>
      <c r="G482" s="2">
        <f>IFERROR(XLOOKUP(A482,'Intake Responses'!$A:$A,'Intake Responses'!$N:$N),"")</f>
        <v/>
      </c>
      <c r="H482" s="2">
        <f>IFERROR(XLOOKUP(A482,'Intake Responses'!$A:$A,'Intake Responses'!$O:$O),"")</f>
        <v/>
      </c>
      <c r="I482" s="2">
        <f>IFERROR(SWITCH(F482,"Multiple times per day",60,"Daily",20,"Weekly",4,"Monthly",1,"Quarterly",0.33,"Ad hoc",0.5,"Unknown",0),0)</f>
        <v/>
      </c>
      <c r="J482" s="2">
        <f>IFERROR((G482*H482*I482)/60,0)</f>
        <v/>
      </c>
      <c r="K482" s="2">
        <f>IFERROR(J482*12,0)</f>
        <v/>
      </c>
      <c r="L482" s="2">
        <f>IFERROR(XLOOKUP(A482,'Intake Responses'!$A:$A,'Intake Responses'!$T:$T),"")</f>
        <v/>
      </c>
      <c r="M482" s="2">
        <f>IFERROR(XLOOKUP(A482,'Intake Responses'!$A:$A,'Intake Responses'!$U:$U),"")</f>
        <v/>
      </c>
      <c r="N482" s="2">
        <f>IFERROR(XLOOKUP(A482,'Intake Responses'!$A:$A,'Intake Responses'!$V:$V),"")</f>
        <v/>
      </c>
      <c r="O482" s="2">
        <f>IFERROR(XLOOKUP(A482,'Intake Responses'!$A:$A,'Intake Responses'!$W:$W),"")</f>
        <v/>
      </c>
      <c r="P482" s="2">
        <f>IFERROR(XLOOKUP(A482,'Intake Responses'!$A:$A,'Intake Responses'!$X:$X),"")</f>
        <v/>
      </c>
      <c r="Q482" s="2">
        <f>IFERROR(XLOOKUP(A482,'Intake Responses'!$A:$A,'Intake Responses'!$AF:$AF),"")</f>
        <v/>
      </c>
      <c r="R482" s="2">
        <f>IFERROR(XLOOKUP(A482,'Intake Responses'!$A:$A,'Intake Responses'!$S:$S),"")</f>
        <v/>
      </c>
      <c r="S482" s="2" t="n"/>
      <c r="T482" s="2" t="n"/>
      <c r="U482" s="2" t="n"/>
      <c r="V482" s="2">
        <f>IFERROR(MIN(5,ROUND(((M482+O482)/2)+(IF(J482&gt;=20,2,IF(J482&gt;=10,1.5,IF(J482&gt;=5,1,IF(J482&gt;=1,0.5,0))))),1)),0)</f>
        <v/>
      </c>
      <c r="W482" s="2">
        <f>IFERROR(SWITCH(F482,"Multiple times per day",5,"Daily",4,"Weekly",3,"Monthly",2,"Quarterly",1,"Ad hoc",1,"Unknown",0),0)</f>
        <v/>
      </c>
      <c r="X482" s="2">
        <f>IFERROR(ROUND(AVERAGE(L482,N482),1),0)</f>
        <v/>
      </c>
      <c r="Y482" s="2">
        <f>IFERROR(SWITCH(U482,"High",3,"Medium",2,"Low",0,"Unknown",1,1)+IF(Q482="Yes",2,IF(Q482="Unsure",1,0)),0)</f>
        <v/>
      </c>
      <c r="Z482" s="2">
        <f>IFERROR(ROUND((V482*2)+(W482*1)+(X482*2)+(IF(T482="Easy",2,IF(T482="Medium",1,IF(T482="Hard",-1,0))))-(Y482*2),1),0)</f>
        <v/>
      </c>
      <c r="AA482" s="2">
        <f>IFERROR(IF(S482="Not a fit","Not a Fit",IF(Y482&gt;=5,"High Risk / Needs Review",IF(AND(Z482&gt;=18,T482="Easy"),"Quick Win",IF(AND(Z482&gt;=18,T482&lt;&gt;"Easy"),"Strategic Project",IF(Z482&gt;=10,"Discovery Needed","Process Issue"))))),"")</f>
        <v/>
      </c>
      <c r="AB482" s="2">
        <f>IFERROR(SWITCH(AA482,"Quick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2" s="2" t="n"/>
      <c r="AD482" s="2" t="n"/>
      <c r="AE482" s="2" t="n"/>
    </row>
    <row r="483" ht="25" customHeight="1">
      <c r="A483" s="3" t="n"/>
      <c r="B483" s="3">
        <f>IFERROR(XLOOKUP(A483,'Intake Responses'!$A:$A,'Intake Responses'!$E:$E),"")</f>
        <v/>
      </c>
      <c r="C483" s="3">
        <f>IFERROR(XLOOKUP(A483,'Intake Responses'!$A:$A,'Intake Responses'!$D:$D),"")</f>
        <v/>
      </c>
      <c r="D483" s="3">
        <f>IFERROR(XLOOKUP(A483,'Intake Responses'!$A:$A,'Intake Responses'!$F:$F),"")</f>
        <v/>
      </c>
      <c r="E483" s="3" t="n"/>
      <c r="F483" s="3">
        <f>IFERROR(XLOOKUP(A483,'Intake Responses'!$A:$A,'Intake Responses'!$M:$M),"")</f>
        <v/>
      </c>
      <c r="G483" s="3">
        <f>IFERROR(XLOOKUP(A483,'Intake Responses'!$A:$A,'Intake Responses'!$N:$N),"")</f>
        <v/>
      </c>
      <c r="H483" s="3">
        <f>IFERROR(XLOOKUP(A483,'Intake Responses'!$A:$A,'Intake Responses'!$O:$O),"")</f>
        <v/>
      </c>
      <c r="I483" s="3">
        <f>IFERROR(SWITCH(F483,"Multiple times per day",60,"Daily",20,"Weekly",4,"Monthly",1,"Quarterly",0.33,"Ad hoc",0.5,"Unknown",0),0)</f>
        <v/>
      </c>
      <c r="J483" s="3">
        <f>IFERROR((G483*H483*I483)/60,0)</f>
        <v/>
      </c>
      <c r="K483" s="3">
        <f>IFERROR(J483*12,0)</f>
        <v/>
      </c>
      <c r="L483" s="3">
        <f>IFERROR(XLOOKUP(A483,'Intake Responses'!$A:$A,'Intake Responses'!$T:$T),"")</f>
        <v/>
      </c>
      <c r="M483" s="3">
        <f>IFERROR(XLOOKUP(A483,'Intake Responses'!$A:$A,'Intake Responses'!$U:$U),"")</f>
        <v/>
      </c>
      <c r="N483" s="3">
        <f>IFERROR(XLOOKUP(A483,'Intake Responses'!$A:$A,'Intake Responses'!$V:$V),"")</f>
        <v/>
      </c>
      <c r="O483" s="3">
        <f>IFERROR(XLOOKUP(A483,'Intake Responses'!$A:$A,'Intake Responses'!$W:$W),"")</f>
        <v/>
      </c>
      <c r="P483" s="3">
        <f>IFERROR(XLOOKUP(A483,'Intake Responses'!$A:$A,'Intake Responses'!$X:$X),"")</f>
        <v/>
      </c>
      <c r="Q483" s="3">
        <f>IFERROR(XLOOKUP(A483,'Intake Responses'!$A:$A,'Intake Responses'!$AF:$AF),"")</f>
        <v/>
      </c>
      <c r="R483" s="3">
        <f>IFERROR(XLOOKUP(A483,'Intake Responses'!$A:$A,'Intake Responses'!$S:$S),"")</f>
        <v/>
      </c>
      <c r="S483" s="3" t="n"/>
      <c r="T483" s="3" t="n"/>
      <c r="U483" s="3" t="n"/>
      <c r="V483" s="3">
        <f>IFERROR(MIN(5,ROUND(((M483+O483)/2)+(IF(J483&gt;=20,2,IF(J483&gt;=10,1.5,IF(J483&gt;=5,1,IF(J483&gt;=1,0.5,0))))),1)),0)</f>
        <v/>
      </c>
      <c r="W483" s="3">
        <f>IFERROR(SWITCH(F483,"Multiple times per day",5,"Daily",4,"Weekly",3,"Monthly",2,"Quarterly",1,"Ad hoc",1,"Unknown",0),0)</f>
        <v/>
      </c>
      <c r="X483" s="3">
        <f>IFERROR(ROUND(AVERAGE(L483,N483),1),0)</f>
        <v/>
      </c>
      <c r="Y483" s="3">
        <f>IFERROR(SWITCH(U483,"High",3,"Medium",2,"Low",0,"Unknown",1,1)+IF(Q483="Yes",2,IF(Q483="Unsure",1,0)),0)</f>
        <v/>
      </c>
      <c r="Z483" s="3">
        <f>IFERROR(ROUND((V483*2)+(W483*1)+(X483*2)+(IF(T483="Easy",2,IF(T483="Medium",1,IF(T483="Hard",-1,0))))-(Y483*2),1),0)</f>
        <v/>
      </c>
      <c r="AA483" s="3">
        <f>IFERROR(IF(S483="Not a fit","Not a Fit",IF(Y483&gt;=5,"High Risk / Needs Review",IF(AND(Z483&gt;=18,T483="Easy"),"Quick Win",IF(AND(Z483&gt;=18,T483&lt;&gt;"Easy"),"Strategic Project",IF(Z483&gt;=10,"Discovery Needed","Process Issue"))))),"")</f>
        <v/>
      </c>
      <c r="AB483" s="3">
        <f>IFERROR(SWITCH(AA483,"Quick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3" s="3" t="n"/>
      <c r="AD483" s="3" t="n"/>
      <c r="AE483" s="3" t="n"/>
    </row>
    <row r="484" ht="25" customHeight="1">
      <c r="A484" s="2" t="n"/>
      <c r="B484" s="2">
        <f>IFERROR(XLOOKUP(A484,'Intake Responses'!$A:$A,'Intake Responses'!$E:$E),"")</f>
        <v/>
      </c>
      <c r="C484" s="2">
        <f>IFERROR(XLOOKUP(A484,'Intake Responses'!$A:$A,'Intake Responses'!$D:$D),"")</f>
        <v/>
      </c>
      <c r="D484" s="2">
        <f>IFERROR(XLOOKUP(A484,'Intake Responses'!$A:$A,'Intake Responses'!$F:$F),"")</f>
        <v/>
      </c>
      <c r="E484" s="2" t="n"/>
      <c r="F484" s="2">
        <f>IFERROR(XLOOKUP(A484,'Intake Responses'!$A:$A,'Intake Responses'!$M:$M),"")</f>
        <v/>
      </c>
      <c r="G484" s="2">
        <f>IFERROR(XLOOKUP(A484,'Intake Responses'!$A:$A,'Intake Responses'!$N:$N),"")</f>
        <v/>
      </c>
      <c r="H484" s="2">
        <f>IFERROR(XLOOKUP(A484,'Intake Responses'!$A:$A,'Intake Responses'!$O:$O),"")</f>
        <v/>
      </c>
      <c r="I484" s="2">
        <f>IFERROR(SWITCH(F484,"Multiple times per day",60,"Daily",20,"Weekly",4,"Monthly",1,"Quarterly",0.33,"Ad hoc",0.5,"Unknown",0),0)</f>
        <v/>
      </c>
      <c r="J484" s="2">
        <f>IFERROR((G484*H484*I484)/60,0)</f>
        <v/>
      </c>
      <c r="K484" s="2">
        <f>IFERROR(J484*12,0)</f>
        <v/>
      </c>
      <c r="L484" s="2">
        <f>IFERROR(XLOOKUP(A484,'Intake Responses'!$A:$A,'Intake Responses'!$T:$T),"")</f>
        <v/>
      </c>
      <c r="M484" s="2">
        <f>IFERROR(XLOOKUP(A484,'Intake Responses'!$A:$A,'Intake Responses'!$U:$U),"")</f>
        <v/>
      </c>
      <c r="N484" s="2">
        <f>IFERROR(XLOOKUP(A484,'Intake Responses'!$A:$A,'Intake Responses'!$V:$V),"")</f>
        <v/>
      </c>
      <c r="O484" s="2">
        <f>IFERROR(XLOOKUP(A484,'Intake Responses'!$A:$A,'Intake Responses'!$W:$W),"")</f>
        <v/>
      </c>
      <c r="P484" s="2">
        <f>IFERROR(XLOOKUP(A484,'Intake Responses'!$A:$A,'Intake Responses'!$X:$X),"")</f>
        <v/>
      </c>
      <c r="Q484" s="2">
        <f>IFERROR(XLOOKUP(A484,'Intake Responses'!$A:$A,'Intake Responses'!$AF:$AF),"")</f>
        <v/>
      </c>
      <c r="R484" s="2">
        <f>IFERROR(XLOOKUP(A484,'Intake Responses'!$A:$A,'Intake Responses'!$S:$S),"")</f>
        <v/>
      </c>
      <c r="S484" s="2" t="n"/>
      <c r="T484" s="2" t="n"/>
      <c r="U484" s="2" t="n"/>
      <c r="V484" s="2">
        <f>IFERROR(MIN(5,ROUND(((M484+O484)/2)+(IF(J484&gt;=20,2,IF(J484&gt;=10,1.5,IF(J484&gt;=5,1,IF(J484&gt;=1,0.5,0))))),1)),0)</f>
        <v/>
      </c>
      <c r="W484" s="2">
        <f>IFERROR(SWITCH(F484,"Multiple times per day",5,"Daily",4,"Weekly",3,"Monthly",2,"Quarterly",1,"Ad hoc",1,"Unknown",0),0)</f>
        <v/>
      </c>
      <c r="X484" s="2">
        <f>IFERROR(ROUND(AVERAGE(L484,N484),1),0)</f>
        <v/>
      </c>
      <c r="Y484" s="2">
        <f>IFERROR(SWITCH(U484,"High",3,"Medium",2,"Low",0,"Unknown",1,1)+IF(Q484="Yes",2,IF(Q484="Unsure",1,0)),0)</f>
        <v/>
      </c>
      <c r="Z484" s="2">
        <f>IFERROR(ROUND((V484*2)+(W484*1)+(X484*2)+(IF(T484="Easy",2,IF(T484="Medium",1,IF(T484="Hard",-1,0))))-(Y484*2),1),0)</f>
        <v/>
      </c>
      <c r="AA484" s="2">
        <f>IFERROR(IF(S484="Not a fit","Not a Fit",IF(Y484&gt;=5,"High Risk / Needs Review",IF(AND(Z484&gt;=18,T484="Easy"),"Quick Win",IF(AND(Z484&gt;=18,T484&lt;&gt;"Easy"),"Strategic Project",IF(Z484&gt;=10,"Discovery Needed","Process Issue"))))),"")</f>
        <v/>
      </c>
      <c r="AB484" s="2">
        <f>IFERROR(SWITCH(AA484,"Quick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4" s="2" t="n"/>
      <c r="AD484" s="2" t="n"/>
      <c r="AE484" s="2" t="n"/>
    </row>
    <row r="485" ht="25" customHeight="1">
      <c r="A485" s="3" t="n"/>
      <c r="B485" s="3">
        <f>IFERROR(XLOOKUP(A485,'Intake Responses'!$A:$A,'Intake Responses'!$E:$E),"")</f>
        <v/>
      </c>
      <c r="C485" s="3">
        <f>IFERROR(XLOOKUP(A485,'Intake Responses'!$A:$A,'Intake Responses'!$D:$D),"")</f>
        <v/>
      </c>
      <c r="D485" s="3">
        <f>IFERROR(XLOOKUP(A485,'Intake Responses'!$A:$A,'Intake Responses'!$F:$F),"")</f>
        <v/>
      </c>
      <c r="E485" s="3" t="n"/>
      <c r="F485" s="3">
        <f>IFERROR(XLOOKUP(A485,'Intake Responses'!$A:$A,'Intake Responses'!$M:$M),"")</f>
        <v/>
      </c>
      <c r="G485" s="3">
        <f>IFERROR(XLOOKUP(A485,'Intake Responses'!$A:$A,'Intake Responses'!$N:$N),"")</f>
        <v/>
      </c>
      <c r="H485" s="3">
        <f>IFERROR(XLOOKUP(A485,'Intake Responses'!$A:$A,'Intake Responses'!$O:$O),"")</f>
        <v/>
      </c>
      <c r="I485" s="3">
        <f>IFERROR(SWITCH(F485,"Multiple times per day",60,"Daily",20,"Weekly",4,"Monthly",1,"Quarterly",0.33,"Ad hoc",0.5,"Unknown",0),0)</f>
        <v/>
      </c>
      <c r="J485" s="3">
        <f>IFERROR((G485*H485*I485)/60,0)</f>
        <v/>
      </c>
      <c r="K485" s="3">
        <f>IFERROR(J485*12,0)</f>
        <v/>
      </c>
      <c r="L485" s="3">
        <f>IFERROR(XLOOKUP(A485,'Intake Responses'!$A:$A,'Intake Responses'!$T:$T),"")</f>
        <v/>
      </c>
      <c r="M485" s="3">
        <f>IFERROR(XLOOKUP(A485,'Intake Responses'!$A:$A,'Intake Responses'!$U:$U),"")</f>
        <v/>
      </c>
      <c r="N485" s="3">
        <f>IFERROR(XLOOKUP(A485,'Intake Responses'!$A:$A,'Intake Responses'!$V:$V),"")</f>
        <v/>
      </c>
      <c r="O485" s="3">
        <f>IFERROR(XLOOKUP(A485,'Intake Responses'!$A:$A,'Intake Responses'!$W:$W),"")</f>
        <v/>
      </c>
      <c r="P485" s="3">
        <f>IFERROR(XLOOKUP(A485,'Intake Responses'!$A:$A,'Intake Responses'!$X:$X),"")</f>
        <v/>
      </c>
      <c r="Q485" s="3">
        <f>IFERROR(XLOOKUP(A485,'Intake Responses'!$A:$A,'Intake Responses'!$AF:$AF),"")</f>
        <v/>
      </c>
      <c r="R485" s="3">
        <f>IFERROR(XLOOKUP(A485,'Intake Responses'!$A:$A,'Intake Responses'!$S:$S),"")</f>
        <v/>
      </c>
      <c r="S485" s="3" t="n"/>
      <c r="T485" s="3" t="n"/>
      <c r="U485" s="3" t="n"/>
      <c r="V485" s="3">
        <f>IFERROR(MIN(5,ROUND(((M485+O485)/2)+(IF(J485&gt;=20,2,IF(J485&gt;=10,1.5,IF(J485&gt;=5,1,IF(J485&gt;=1,0.5,0))))),1)),0)</f>
        <v/>
      </c>
      <c r="W485" s="3">
        <f>IFERROR(SWITCH(F485,"Multiple times per day",5,"Daily",4,"Weekly",3,"Monthly",2,"Quarterly",1,"Ad hoc",1,"Unknown",0),0)</f>
        <v/>
      </c>
      <c r="X485" s="3">
        <f>IFERROR(ROUND(AVERAGE(L485,N485),1),0)</f>
        <v/>
      </c>
      <c r="Y485" s="3">
        <f>IFERROR(SWITCH(U485,"High",3,"Medium",2,"Low",0,"Unknown",1,1)+IF(Q485="Yes",2,IF(Q485="Unsure",1,0)),0)</f>
        <v/>
      </c>
      <c r="Z485" s="3">
        <f>IFERROR(ROUND((V485*2)+(W485*1)+(X485*2)+(IF(T485="Easy",2,IF(T485="Medium",1,IF(T485="Hard",-1,0))))-(Y485*2),1),0)</f>
        <v/>
      </c>
      <c r="AA485" s="3">
        <f>IFERROR(IF(S485="Not a fit","Not a Fit",IF(Y485&gt;=5,"High Risk / Needs Review",IF(AND(Z485&gt;=18,T485="Easy"),"Quick Win",IF(AND(Z485&gt;=18,T485&lt;&gt;"Easy"),"Strategic Project",IF(Z485&gt;=10,"Discovery Needed","Process Issue"))))),"")</f>
        <v/>
      </c>
      <c r="AB485" s="3">
        <f>IFERROR(SWITCH(AA485,"Quick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5" s="3" t="n"/>
      <c r="AD485" s="3" t="n"/>
      <c r="AE485" s="3" t="n"/>
    </row>
    <row r="486" ht="25" customHeight="1">
      <c r="A486" s="2" t="n"/>
      <c r="B486" s="2">
        <f>IFERROR(XLOOKUP(A486,'Intake Responses'!$A:$A,'Intake Responses'!$E:$E),"")</f>
        <v/>
      </c>
      <c r="C486" s="2">
        <f>IFERROR(XLOOKUP(A486,'Intake Responses'!$A:$A,'Intake Responses'!$D:$D),"")</f>
        <v/>
      </c>
      <c r="D486" s="2">
        <f>IFERROR(XLOOKUP(A486,'Intake Responses'!$A:$A,'Intake Responses'!$F:$F),"")</f>
        <v/>
      </c>
      <c r="E486" s="2" t="n"/>
      <c r="F486" s="2">
        <f>IFERROR(XLOOKUP(A486,'Intake Responses'!$A:$A,'Intake Responses'!$M:$M),"")</f>
        <v/>
      </c>
      <c r="G486" s="2">
        <f>IFERROR(XLOOKUP(A486,'Intake Responses'!$A:$A,'Intake Responses'!$N:$N),"")</f>
        <v/>
      </c>
      <c r="H486" s="2">
        <f>IFERROR(XLOOKUP(A486,'Intake Responses'!$A:$A,'Intake Responses'!$O:$O),"")</f>
        <v/>
      </c>
      <c r="I486" s="2">
        <f>IFERROR(SWITCH(F486,"Multiple times per day",60,"Daily",20,"Weekly",4,"Monthly",1,"Quarterly",0.33,"Ad hoc",0.5,"Unknown",0),0)</f>
        <v/>
      </c>
      <c r="J486" s="2">
        <f>IFERROR((G486*H486*I486)/60,0)</f>
        <v/>
      </c>
      <c r="K486" s="2">
        <f>IFERROR(J486*12,0)</f>
        <v/>
      </c>
      <c r="L486" s="2">
        <f>IFERROR(XLOOKUP(A486,'Intake Responses'!$A:$A,'Intake Responses'!$T:$T),"")</f>
        <v/>
      </c>
      <c r="M486" s="2">
        <f>IFERROR(XLOOKUP(A486,'Intake Responses'!$A:$A,'Intake Responses'!$U:$U),"")</f>
        <v/>
      </c>
      <c r="N486" s="2">
        <f>IFERROR(XLOOKUP(A486,'Intake Responses'!$A:$A,'Intake Responses'!$V:$V),"")</f>
        <v/>
      </c>
      <c r="O486" s="2">
        <f>IFERROR(XLOOKUP(A486,'Intake Responses'!$A:$A,'Intake Responses'!$W:$W),"")</f>
        <v/>
      </c>
      <c r="P486" s="2">
        <f>IFERROR(XLOOKUP(A486,'Intake Responses'!$A:$A,'Intake Responses'!$X:$X),"")</f>
        <v/>
      </c>
      <c r="Q486" s="2">
        <f>IFERROR(XLOOKUP(A486,'Intake Responses'!$A:$A,'Intake Responses'!$AF:$AF),"")</f>
        <v/>
      </c>
      <c r="R486" s="2">
        <f>IFERROR(XLOOKUP(A486,'Intake Responses'!$A:$A,'Intake Responses'!$S:$S),"")</f>
        <v/>
      </c>
      <c r="S486" s="2" t="n"/>
      <c r="T486" s="2" t="n"/>
      <c r="U486" s="2" t="n"/>
      <c r="V486" s="2">
        <f>IFERROR(MIN(5,ROUND(((M486+O486)/2)+(IF(J486&gt;=20,2,IF(J486&gt;=10,1.5,IF(J486&gt;=5,1,IF(J486&gt;=1,0.5,0))))),1)),0)</f>
        <v/>
      </c>
      <c r="W486" s="2">
        <f>IFERROR(SWITCH(F486,"Multiple times per day",5,"Daily",4,"Weekly",3,"Monthly",2,"Quarterly",1,"Ad hoc",1,"Unknown",0),0)</f>
        <v/>
      </c>
      <c r="X486" s="2">
        <f>IFERROR(ROUND(AVERAGE(L486,N486),1),0)</f>
        <v/>
      </c>
      <c r="Y486" s="2">
        <f>IFERROR(SWITCH(U486,"High",3,"Medium",2,"Low",0,"Unknown",1,1)+IF(Q486="Yes",2,IF(Q486="Unsure",1,0)),0)</f>
        <v/>
      </c>
      <c r="Z486" s="2">
        <f>IFERROR(ROUND((V486*2)+(W486*1)+(X486*2)+(IF(T486="Easy",2,IF(T486="Medium",1,IF(T486="Hard",-1,0))))-(Y486*2),1),0)</f>
        <v/>
      </c>
      <c r="AA486" s="2">
        <f>IFERROR(IF(S486="Not a fit","Not a Fit",IF(Y486&gt;=5,"High Risk / Needs Review",IF(AND(Z486&gt;=18,T486="Easy"),"Quick Win",IF(AND(Z486&gt;=18,T486&lt;&gt;"Easy"),"Strategic Project",IF(Z486&gt;=10,"Discovery Needed","Process Issue"))))),"")</f>
        <v/>
      </c>
      <c r="AB486" s="2">
        <f>IFERROR(SWITCH(AA486,"Quick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6" s="2" t="n"/>
      <c r="AD486" s="2" t="n"/>
      <c r="AE486" s="2" t="n"/>
    </row>
    <row r="487" ht="25" customHeight="1">
      <c r="A487" s="3" t="n"/>
      <c r="B487" s="3">
        <f>IFERROR(XLOOKUP(A487,'Intake Responses'!$A:$A,'Intake Responses'!$E:$E),"")</f>
        <v/>
      </c>
      <c r="C487" s="3">
        <f>IFERROR(XLOOKUP(A487,'Intake Responses'!$A:$A,'Intake Responses'!$D:$D),"")</f>
        <v/>
      </c>
      <c r="D487" s="3">
        <f>IFERROR(XLOOKUP(A487,'Intake Responses'!$A:$A,'Intake Responses'!$F:$F),"")</f>
        <v/>
      </c>
      <c r="E487" s="3" t="n"/>
      <c r="F487" s="3">
        <f>IFERROR(XLOOKUP(A487,'Intake Responses'!$A:$A,'Intake Responses'!$M:$M),"")</f>
        <v/>
      </c>
      <c r="G487" s="3">
        <f>IFERROR(XLOOKUP(A487,'Intake Responses'!$A:$A,'Intake Responses'!$N:$N),"")</f>
        <v/>
      </c>
      <c r="H487" s="3">
        <f>IFERROR(XLOOKUP(A487,'Intake Responses'!$A:$A,'Intake Responses'!$O:$O),"")</f>
        <v/>
      </c>
      <c r="I487" s="3">
        <f>IFERROR(SWITCH(F487,"Multiple times per day",60,"Daily",20,"Weekly",4,"Monthly",1,"Quarterly",0.33,"Ad hoc",0.5,"Unknown",0),0)</f>
        <v/>
      </c>
      <c r="J487" s="3">
        <f>IFERROR((G487*H487*I487)/60,0)</f>
        <v/>
      </c>
      <c r="K487" s="3">
        <f>IFERROR(J487*12,0)</f>
        <v/>
      </c>
      <c r="L487" s="3">
        <f>IFERROR(XLOOKUP(A487,'Intake Responses'!$A:$A,'Intake Responses'!$T:$T),"")</f>
        <v/>
      </c>
      <c r="M487" s="3">
        <f>IFERROR(XLOOKUP(A487,'Intake Responses'!$A:$A,'Intake Responses'!$U:$U),"")</f>
        <v/>
      </c>
      <c r="N487" s="3">
        <f>IFERROR(XLOOKUP(A487,'Intake Responses'!$A:$A,'Intake Responses'!$V:$V),"")</f>
        <v/>
      </c>
      <c r="O487" s="3">
        <f>IFERROR(XLOOKUP(A487,'Intake Responses'!$A:$A,'Intake Responses'!$W:$W),"")</f>
        <v/>
      </c>
      <c r="P487" s="3">
        <f>IFERROR(XLOOKUP(A487,'Intake Responses'!$A:$A,'Intake Responses'!$X:$X),"")</f>
        <v/>
      </c>
      <c r="Q487" s="3">
        <f>IFERROR(XLOOKUP(A487,'Intake Responses'!$A:$A,'Intake Responses'!$AF:$AF),"")</f>
        <v/>
      </c>
      <c r="R487" s="3">
        <f>IFERROR(XLOOKUP(A487,'Intake Responses'!$A:$A,'Intake Responses'!$S:$S),"")</f>
        <v/>
      </c>
      <c r="S487" s="3" t="n"/>
      <c r="T487" s="3" t="n"/>
      <c r="U487" s="3" t="n"/>
      <c r="V487" s="3">
        <f>IFERROR(MIN(5,ROUND(((M487+O487)/2)+(IF(J487&gt;=20,2,IF(J487&gt;=10,1.5,IF(J487&gt;=5,1,IF(J487&gt;=1,0.5,0))))),1)),0)</f>
        <v/>
      </c>
      <c r="W487" s="3">
        <f>IFERROR(SWITCH(F487,"Multiple times per day",5,"Daily",4,"Weekly",3,"Monthly",2,"Quarterly",1,"Ad hoc",1,"Unknown",0),0)</f>
        <v/>
      </c>
      <c r="X487" s="3">
        <f>IFERROR(ROUND(AVERAGE(L487,N487),1),0)</f>
        <v/>
      </c>
      <c r="Y487" s="3">
        <f>IFERROR(SWITCH(U487,"High",3,"Medium",2,"Low",0,"Unknown",1,1)+IF(Q487="Yes",2,IF(Q487="Unsure",1,0)),0)</f>
        <v/>
      </c>
      <c r="Z487" s="3">
        <f>IFERROR(ROUND((V487*2)+(W487*1)+(X487*2)+(IF(T487="Easy",2,IF(T487="Medium",1,IF(T487="Hard",-1,0))))-(Y487*2),1),0)</f>
        <v/>
      </c>
      <c r="AA487" s="3">
        <f>IFERROR(IF(S487="Not a fit","Not a Fit",IF(Y487&gt;=5,"High Risk / Needs Review",IF(AND(Z487&gt;=18,T487="Easy"),"Quick Win",IF(AND(Z487&gt;=18,T487&lt;&gt;"Easy"),"Strategic Project",IF(Z487&gt;=10,"Discovery Needed","Process Issue"))))),"")</f>
        <v/>
      </c>
      <c r="AB487" s="3">
        <f>IFERROR(SWITCH(AA487,"Quick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7" s="3" t="n"/>
      <c r="AD487" s="3" t="n"/>
      <c r="AE487" s="3" t="n"/>
    </row>
    <row r="488" ht="25" customHeight="1">
      <c r="A488" s="2" t="n"/>
      <c r="B488" s="2">
        <f>IFERROR(XLOOKUP(A488,'Intake Responses'!$A:$A,'Intake Responses'!$E:$E),"")</f>
        <v/>
      </c>
      <c r="C488" s="2">
        <f>IFERROR(XLOOKUP(A488,'Intake Responses'!$A:$A,'Intake Responses'!$D:$D),"")</f>
        <v/>
      </c>
      <c r="D488" s="2">
        <f>IFERROR(XLOOKUP(A488,'Intake Responses'!$A:$A,'Intake Responses'!$F:$F),"")</f>
        <v/>
      </c>
      <c r="E488" s="2" t="n"/>
      <c r="F488" s="2">
        <f>IFERROR(XLOOKUP(A488,'Intake Responses'!$A:$A,'Intake Responses'!$M:$M),"")</f>
        <v/>
      </c>
      <c r="G488" s="2">
        <f>IFERROR(XLOOKUP(A488,'Intake Responses'!$A:$A,'Intake Responses'!$N:$N),"")</f>
        <v/>
      </c>
      <c r="H488" s="2">
        <f>IFERROR(XLOOKUP(A488,'Intake Responses'!$A:$A,'Intake Responses'!$O:$O),"")</f>
        <v/>
      </c>
      <c r="I488" s="2">
        <f>IFERROR(SWITCH(F488,"Multiple times per day",60,"Daily",20,"Weekly",4,"Monthly",1,"Quarterly",0.33,"Ad hoc",0.5,"Unknown",0),0)</f>
        <v/>
      </c>
      <c r="J488" s="2">
        <f>IFERROR((G488*H488*I488)/60,0)</f>
        <v/>
      </c>
      <c r="K488" s="2">
        <f>IFERROR(J488*12,0)</f>
        <v/>
      </c>
      <c r="L488" s="2">
        <f>IFERROR(XLOOKUP(A488,'Intake Responses'!$A:$A,'Intake Responses'!$T:$T),"")</f>
        <v/>
      </c>
      <c r="M488" s="2">
        <f>IFERROR(XLOOKUP(A488,'Intake Responses'!$A:$A,'Intake Responses'!$U:$U),"")</f>
        <v/>
      </c>
      <c r="N488" s="2">
        <f>IFERROR(XLOOKUP(A488,'Intake Responses'!$A:$A,'Intake Responses'!$V:$V),"")</f>
        <v/>
      </c>
      <c r="O488" s="2">
        <f>IFERROR(XLOOKUP(A488,'Intake Responses'!$A:$A,'Intake Responses'!$W:$W),"")</f>
        <v/>
      </c>
      <c r="P488" s="2">
        <f>IFERROR(XLOOKUP(A488,'Intake Responses'!$A:$A,'Intake Responses'!$X:$X),"")</f>
        <v/>
      </c>
      <c r="Q488" s="2">
        <f>IFERROR(XLOOKUP(A488,'Intake Responses'!$A:$A,'Intake Responses'!$AF:$AF),"")</f>
        <v/>
      </c>
      <c r="R488" s="2">
        <f>IFERROR(XLOOKUP(A488,'Intake Responses'!$A:$A,'Intake Responses'!$S:$S),"")</f>
        <v/>
      </c>
      <c r="S488" s="2" t="n"/>
      <c r="T488" s="2" t="n"/>
      <c r="U488" s="2" t="n"/>
      <c r="V488" s="2">
        <f>IFERROR(MIN(5,ROUND(((M488+O488)/2)+(IF(J488&gt;=20,2,IF(J488&gt;=10,1.5,IF(J488&gt;=5,1,IF(J488&gt;=1,0.5,0))))),1)),0)</f>
        <v/>
      </c>
      <c r="W488" s="2">
        <f>IFERROR(SWITCH(F488,"Multiple times per day",5,"Daily",4,"Weekly",3,"Monthly",2,"Quarterly",1,"Ad hoc",1,"Unknown",0),0)</f>
        <v/>
      </c>
      <c r="X488" s="2">
        <f>IFERROR(ROUND(AVERAGE(L488,N488),1),0)</f>
        <v/>
      </c>
      <c r="Y488" s="2">
        <f>IFERROR(SWITCH(U488,"High",3,"Medium",2,"Low",0,"Unknown",1,1)+IF(Q488="Yes",2,IF(Q488="Unsure",1,0)),0)</f>
        <v/>
      </c>
      <c r="Z488" s="2">
        <f>IFERROR(ROUND((V488*2)+(W488*1)+(X488*2)+(IF(T488="Easy",2,IF(T488="Medium",1,IF(T488="Hard",-1,0))))-(Y488*2),1),0)</f>
        <v/>
      </c>
      <c r="AA488" s="2">
        <f>IFERROR(IF(S488="Not a fit","Not a Fit",IF(Y488&gt;=5,"High Risk / Needs Review",IF(AND(Z488&gt;=18,T488="Easy"),"Quick Win",IF(AND(Z488&gt;=18,T488&lt;&gt;"Easy"),"Strategic Project",IF(Z488&gt;=10,"Discovery Needed","Process Issue"))))),"")</f>
        <v/>
      </c>
      <c r="AB488" s="2">
        <f>IFERROR(SWITCH(AA488,"Quick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8" s="2" t="n"/>
      <c r="AD488" s="2" t="n"/>
      <c r="AE488" s="2" t="n"/>
    </row>
    <row r="489" ht="25" customHeight="1">
      <c r="A489" s="3" t="n"/>
      <c r="B489" s="3">
        <f>IFERROR(XLOOKUP(A489,'Intake Responses'!$A:$A,'Intake Responses'!$E:$E),"")</f>
        <v/>
      </c>
      <c r="C489" s="3">
        <f>IFERROR(XLOOKUP(A489,'Intake Responses'!$A:$A,'Intake Responses'!$D:$D),"")</f>
        <v/>
      </c>
      <c r="D489" s="3">
        <f>IFERROR(XLOOKUP(A489,'Intake Responses'!$A:$A,'Intake Responses'!$F:$F),"")</f>
        <v/>
      </c>
      <c r="E489" s="3" t="n"/>
      <c r="F489" s="3">
        <f>IFERROR(XLOOKUP(A489,'Intake Responses'!$A:$A,'Intake Responses'!$M:$M),"")</f>
        <v/>
      </c>
      <c r="G489" s="3">
        <f>IFERROR(XLOOKUP(A489,'Intake Responses'!$A:$A,'Intake Responses'!$N:$N),"")</f>
        <v/>
      </c>
      <c r="H489" s="3">
        <f>IFERROR(XLOOKUP(A489,'Intake Responses'!$A:$A,'Intake Responses'!$O:$O),"")</f>
        <v/>
      </c>
      <c r="I489" s="3">
        <f>IFERROR(SWITCH(F489,"Multiple times per day",60,"Daily",20,"Weekly",4,"Monthly",1,"Quarterly",0.33,"Ad hoc",0.5,"Unknown",0),0)</f>
        <v/>
      </c>
      <c r="J489" s="3">
        <f>IFERROR((G489*H489*I489)/60,0)</f>
        <v/>
      </c>
      <c r="K489" s="3">
        <f>IFERROR(J489*12,0)</f>
        <v/>
      </c>
      <c r="L489" s="3">
        <f>IFERROR(XLOOKUP(A489,'Intake Responses'!$A:$A,'Intake Responses'!$T:$T),"")</f>
        <v/>
      </c>
      <c r="M489" s="3">
        <f>IFERROR(XLOOKUP(A489,'Intake Responses'!$A:$A,'Intake Responses'!$U:$U),"")</f>
        <v/>
      </c>
      <c r="N489" s="3">
        <f>IFERROR(XLOOKUP(A489,'Intake Responses'!$A:$A,'Intake Responses'!$V:$V),"")</f>
        <v/>
      </c>
      <c r="O489" s="3">
        <f>IFERROR(XLOOKUP(A489,'Intake Responses'!$A:$A,'Intake Responses'!$W:$W),"")</f>
        <v/>
      </c>
      <c r="P489" s="3">
        <f>IFERROR(XLOOKUP(A489,'Intake Responses'!$A:$A,'Intake Responses'!$X:$X),"")</f>
        <v/>
      </c>
      <c r="Q489" s="3">
        <f>IFERROR(XLOOKUP(A489,'Intake Responses'!$A:$A,'Intake Responses'!$AF:$AF),"")</f>
        <v/>
      </c>
      <c r="R489" s="3">
        <f>IFERROR(XLOOKUP(A489,'Intake Responses'!$A:$A,'Intake Responses'!$S:$S),"")</f>
        <v/>
      </c>
      <c r="S489" s="3" t="n"/>
      <c r="T489" s="3" t="n"/>
      <c r="U489" s="3" t="n"/>
      <c r="V489" s="3">
        <f>IFERROR(MIN(5,ROUND(((M489+O489)/2)+(IF(J489&gt;=20,2,IF(J489&gt;=10,1.5,IF(J489&gt;=5,1,IF(J489&gt;=1,0.5,0))))),1)),0)</f>
        <v/>
      </c>
      <c r="W489" s="3">
        <f>IFERROR(SWITCH(F489,"Multiple times per day",5,"Daily",4,"Weekly",3,"Monthly",2,"Quarterly",1,"Ad hoc",1,"Unknown",0),0)</f>
        <v/>
      </c>
      <c r="X489" s="3">
        <f>IFERROR(ROUND(AVERAGE(L489,N489),1),0)</f>
        <v/>
      </c>
      <c r="Y489" s="3">
        <f>IFERROR(SWITCH(U489,"High",3,"Medium",2,"Low",0,"Unknown",1,1)+IF(Q489="Yes",2,IF(Q489="Unsure",1,0)),0)</f>
        <v/>
      </c>
      <c r="Z489" s="3">
        <f>IFERROR(ROUND((V489*2)+(W489*1)+(X489*2)+(IF(T489="Easy",2,IF(T489="Medium",1,IF(T489="Hard",-1,0))))-(Y489*2),1),0)</f>
        <v/>
      </c>
      <c r="AA489" s="3">
        <f>IFERROR(IF(S489="Not a fit","Not a Fit",IF(Y489&gt;=5,"High Risk / Needs Review",IF(AND(Z489&gt;=18,T489="Easy"),"Quick Win",IF(AND(Z489&gt;=18,T489&lt;&gt;"Easy"),"Strategic Project",IF(Z489&gt;=10,"Discovery Needed","Process Issue"))))),"")</f>
        <v/>
      </c>
      <c r="AB489" s="3">
        <f>IFERROR(SWITCH(AA489,"Quick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89" s="3" t="n"/>
      <c r="AD489" s="3" t="n"/>
      <c r="AE489" s="3" t="n"/>
    </row>
    <row r="490" ht="25" customHeight="1">
      <c r="A490" s="2" t="n"/>
      <c r="B490" s="2">
        <f>IFERROR(XLOOKUP(A490,'Intake Responses'!$A:$A,'Intake Responses'!$E:$E),"")</f>
        <v/>
      </c>
      <c r="C490" s="2">
        <f>IFERROR(XLOOKUP(A490,'Intake Responses'!$A:$A,'Intake Responses'!$D:$D),"")</f>
        <v/>
      </c>
      <c r="D490" s="2">
        <f>IFERROR(XLOOKUP(A490,'Intake Responses'!$A:$A,'Intake Responses'!$F:$F),"")</f>
        <v/>
      </c>
      <c r="E490" s="2" t="n"/>
      <c r="F490" s="2">
        <f>IFERROR(XLOOKUP(A490,'Intake Responses'!$A:$A,'Intake Responses'!$M:$M),"")</f>
        <v/>
      </c>
      <c r="G490" s="2">
        <f>IFERROR(XLOOKUP(A490,'Intake Responses'!$A:$A,'Intake Responses'!$N:$N),"")</f>
        <v/>
      </c>
      <c r="H490" s="2">
        <f>IFERROR(XLOOKUP(A490,'Intake Responses'!$A:$A,'Intake Responses'!$O:$O),"")</f>
        <v/>
      </c>
      <c r="I490" s="2">
        <f>IFERROR(SWITCH(F490,"Multiple times per day",60,"Daily",20,"Weekly",4,"Monthly",1,"Quarterly",0.33,"Ad hoc",0.5,"Unknown",0),0)</f>
        <v/>
      </c>
      <c r="J490" s="2">
        <f>IFERROR((G490*H490*I490)/60,0)</f>
        <v/>
      </c>
      <c r="K490" s="2">
        <f>IFERROR(J490*12,0)</f>
        <v/>
      </c>
      <c r="L490" s="2">
        <f>IFERROR(XLOOKUP(A490,'Intake Responses'!$A:$A,'Intake Responses'!$T:$T),"")</f>
        <v/>
      </c>
      <c r="M490" s="2">
        <f>IFERROR(XLOOKUP(A490,'Intake Responses'!$A:$A,'Intake Responses'!$U:$U),"")</f>
        <v/>
      </c>
      <c r="N490" s="2">
        <f>IFERROR(XLOOKUP(A490,'Intake Responses'!$A:$A,'Intake Responses'!$V:$V),"")</f>
        <v/>
      </c>
      <c r="O490" s="2">
        <f>IFERROR(XLOOKUP(A490,'Intake Responses'!$A:$A,'Intake Responses'!$W:$W),"")</f>
        <v/>
      </c>
      <c r="P490" s="2">
        <f>IFERROR(XLOOKUP(A490,'Intake Responses'!$A:$A,'Intake Responses'!$X:$X),"")</f>
        <v/>
      </c>
      <c r="Q490" s="2">
        <f>IFERROR(XLOOKUP(A490,'Intake Responses'!$A:$A,'Intake Responses'!$AF:$AF),"")</f>
        <v/>
      </c>
      <c r="R490" s="2">
        <f>IFERROR(XLOOKUP(A490,'Intake Responses'!$A:$A,'Intake Responses'!$S:$S),"")</f>
        <v/>
      </c>
      <c r="S490" s="2" t="n"/>
      <c r="T490" s="2" t="n"/>
      <c r="U490" s="2" t="n"/>
      <c r="V490" s="2">
        <f>IFERROR(MIN(5,ROUND(((M490+O490)/2)+(IF(J490&gt;=20,2,IF(J490&gt;=10,1.5,IF(J490&gt;=5,1,IF(J490&gt;=1,0.5,0))))),1)),0)</f>
        <v/>
      </c>
      <c r="W490" s="2">
        <f>IFERROR(SWITCH(F490,"Multiple times per day",5,"Daily",4,"Weekly",3,"Monthly",2,"Quarterly",1,"Ad hoc",1,"Unknown",0),0)</f>
        <v/>
      </c>
      <c r="X490" s="2">
        <f>IFERROR(ROUND(AVERAGE(L490,N490),1),0)</f>
        <v/>
      </c>
      <c r="Y490" s="2">
        <f>IFERROR(SWITCH(U490,"High",3,"Medium",2,"Low",0,"Unknown",1,1)+IF(Q490="Yes",2,IF(Q490="Unsure",1,0)),0)</f>
        <v/>
      </c>
      <c r="Z490" s="2">
        <f>IFERROR(ROUND((V490*2)+(W490*1)+(X490*2)+(IF(T490="Easy",2,IF(T490="Medium",1,IF(T490="Hard",-1,0))))-(Y490*2),1),0)</f>
        <v/>
      </c>
      <c r="AA490" s="2">
        <f>IFERROR(IF(S490="Not a fit","Not a Fit",IF(Y490&gt;=5,"High Risk / Needs Review",IF(AND(Z490&gt;=18,T490="Easy"),"Quick Win",IF(AND(Z490&gt;=18,T490&lt;&gt;"Easy"),"Strategic Project",IF(Z490&gt;=10,"Discovery Needed","Process Issue"))))),"")</f>
        <v/>
      </c>
      <c r="AB490" s="2">
        <f>IFERROR(SWITCH(AA490,"Quick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0" s="2" t="n"/>
      <c r="AD490" s="2" t="n"/>
      <c r="AE490" s="2" t="n"/>
    </row>
    <row r="491" ht="25" customHeight="1">
      <c r="A491" s="3" t="n"/>
      <c r="B491" s="3">
        <f>IFERROR(XLOOKUP(A491,'Intake Responses'!$A:$A,'Intake Responses'!$E:$E),"")</f>
        <v/>
      </c>
      <c r="C491" s="3">
        <f>IFERROR(XLOOKUP(A491,'Intake Responses'!$A:$A,'Intake Responses'!$D:$D),"")</f>
        <v/>
      </c>
      <c r="D491" s="3">
        <f>IFERROR(XLOOKUP(A491,'Intake Responses'!$A:$A,'Intake Responses'!$F:$F),"")</f>
        <v/>
      </c>
      <c r="E491" s="3" t="n"/>
      <c r="F491" s="3">
        <f>IFERROR(XLOOKUP(A491,'Intake Responses'!$A:$A,'Intake Responses'!$M:$M),"")</f>
        <v/>
      </c>
      <c r="G491" s="3">
        <f>IFERROR(XLOOKUP(A491,'Intake Responses'!$A:$A,'Intake Responses'!$N:$N),"")</f>
        <v/>
      </c>
      <c r="H491" s="3">
        <f>IFERROR(XLOOKUP(A491,'Intake Responses'!$A:$A,'Intake Responses'!$O:$O),"")</f>
        <v/>
      </c>
      <c r="I491" s="3">
        <f>IFERROR(SWITCH(F491,"Multiple times per day",60,"Daily",20,"Weekly",4,"Monthly",1,"Quarterly",0.33,"Ad hoc",0.5,"Unknown",0),0)</f>
        <v/>
      </c>
      <c r="J491" s="3">
        <f>IFERROR((G491*H491*I491)/60,0)</f>
        <v/>
      </c>
      <c r="K491" s="3">
        <f>IFERROR(J491*12,0)</f>
        <v/>
      </c>
      <c r="L491" s="3">
        <f>IFERROR(XLOOKUP(A491,'Intake Responses'!$A:$A,'Intake Responses'!$T:$T),"")</f>
        <v/>
      </c>
      <c r="M491" s="3">
        <f>IFERROR(XLOOKUP(A491,'Intake Responses'!$A:$A,'Intake Responses'!$U:$U),"")</f>
        <v/>
      </c>
      <c r="N491" s="3">
        <f>IFERROR(XLOOKUP(A491,'Intake Responses'!$A:$A,'Intake Responses'!$V:$V),"")</f>
        <v/>
      </c>
      <c r="O491" s="3">
        <f>IFERROR(XLOOKUP(A491,'Intake Responses'!$A:$A,'Intake Responses'!$W:$W),"")</f>
        <v/>
      </c>
      <c r="P491" s="3">
        <f>IFERROR(XLOOKUP(A491,'Intake Responses'!$A:$A,'Intake Responses'!$X:$X),"")</f>
        <v/>
      </c>
      <c r="Q491" s="3">
        <f>IFERROR(XLOOKUP(A491,'Intake Responses'!$A:$A,'Intake Responses'!$AF:$AF),"")</f>
        <v/>
      </c>
      <c r="R491" s="3">
        <f>IFERROR(XLOOKUP(A491,'Intake Responses'!$A:$A,'Intake Responses'!$S:$S),"")</f>
        <v/>
      </c>
      <c r="S491" s="3" t="n"/>
      <c r="T491" s="3" t="n"/>
      <c r="U491" s="3" t="n"/>
      <c r="V491" s="3">
        <f>IFERROR(MIN(5,ROUND(((M491+O491)/2)+(IF(J491&gt;=20,2,IF(J491&gt;=10,1.5,IF(J491&gt;=5,1,IF(J491&gt;=1,0.5,0))))),1)),0)</f>
        <v/>
      </c>
      <c r="W491" s="3">
        <f>IFERROR(SWITCH(F491,"Multiple times per day",5,"Daily",4,"Weekly",3,"Monthly",2,"Quarterly",1,"Ad hoc",1,"Unknown",0),0)</f>
        <v/>
      </c>
      <c r="X491" s="3">
        <f>IFERROR(ROUND(AVERAGE(L491,N491),1),0)</f>
        <v/>
      </c>
      <c r="Y491" s="3">
        <f>IFERROR(SWITCH(U491,"High",3,"Medium",2,"Low",0,"Unknown",1,1)+IF(Q491="Yes",2,IF(Q491="Unsure",1,0)),0)</f>
        <v/>
      </c>
      <c r="Z491" s="3">
        <f>IFERROR(ROUND((V491*2)+(W491*1)+(X491*2)+(IF(T491="Easy",2,IF(T491="Medium",1,IF(T491="Hard",-1,0))))-(Y491*2),1),0)</f>
        <v/>
      </c>
      <c r="AA491" s="3">
        <f>IFERROR(IF(S491="Not a fit","Not a Fit",IF(Y491&gt;=5,"High Risk / Needs Review",IF(AND(Z491&gt;=18,T491="Easy"),"Quick Win",IF(AND(Z491&gt;=18,T491&lt;&gt;"Easy"),"Strategic Project",IF(Z491&gt;=10,"Discovery Needed","Process Issue"))))),"")</f>
        <v/>
      </c>
      <c r="AB491" s="3">
        <f>IFERROR(SWITCH(AA491,"Quick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1" s="3" t="n"/>
      <c r="AD491" s="3" t="n"/>
      <c r="AE491" s="3" t="n"/>
    </row>
    <row r="492" ht="25" customHeight="1">
      <c r="A492" s="2" t="n"/>
      <c r="B492" s="2">
        <f>IFERROR(XLOOKUP(A492,'Intake Responses'!$A:$A,'Intake Responses'!$E:$E),"")</f>
        <v/>
      </c>
      <c r="C492" s="2">
        <f>IFERROR(XLOOKUP(A492,'Intake Responses'!$A:$A,'Intake Responses'!$D:$D),"")</f>
        <v/>
      </c>
      <c r="D492" s="2">
        <f>IFERROR(XLOOKUP(A492,'Intake Responses'!$A:$A,'Intake Responses'!$F:$F),"")</f>
        <v/>
      </c>
      <c r="E492" s="2" t="n"/>
      <c r="F492" s="2">
        <f>IFERROR(XLOOKUP(A492,'Intake Responses'!$A:$A,'Intake Responses'!$M:$M),"")</f>
        <v/>
      </c>
      <c r="G492" s="2">
        <f>IFERROR(XLOOKUP(A492,'Intake Responses'!$A:$A,'Intake Responses'!$N:$N),"")</f>
        <v/>
      </c>
      <c r="H492" s="2">
        <f>IFERROR(XLOOKUP(A492,'Intake Responses'!$A:$A,'Intake Responses'!$O:$O),"")</f>
        <v/>
      </c>
      <c r="I492" s="2">
        <f>IFERROR(SWITCH(F492,"Multiple times per day",60,"Daily",20,"Weekly",4,"Monthly",1,"Quarterly",0.33,"Ad hoc",0.5,"Unknown",0),0)</f>
        <v/>
      </c>
      <c r="J492" s="2">
        <f>IFERROR((G492*H492*I492)/60,0)</f>
        <v/>
      </c>
      <c r="K492" s="2">
        <f>IFERROR(J492*12,0)</f>
        <v/>
      </c>
      <c r="L492" s="2">
        <f>IFERROR(XLOOKUP(A492,'Intake Responses'!$A:$A,'Intake Responses'!$T:$T),"")</f>
        <v/>
      </c>
      <c r="M492" s="2">
        <f>IFERROR(XLOOKUP(A492,'Intake Responses'!$A:$A,'Intake Responses'!$U:$U),"")</f>
        <v/>
      </c>
      <c r="N492" s="2">
        <f>IFERROR(XLOOKUP(A492,'Intake Responses'!$A:$A,'Intake Responses'!$V:$V),"")</f>
        <v/>
      </c>
      <c r="O492" s="2">
        <f>IFERROR(XLOOKUP(A492,'Intake Responses'!$A:$A,'Intake Responses'!$W:$W),"")</f>
        <v/>
      </c>
      <c r="P492" s="2">
        <f>IFERROR(XLOOKUP(A492,'Intake Responses'!$A:$A,'Intake Responses'!$X:$X),"")</f>
        <v/>
      </c>
      <c r="Q492" s="2">
        <f>IFERROR(XLOOKUP(A492,'Intake Responses'!$A:$A,'Intake Responses'!$AF:$AF),"")</f>
        <v/>
      </c>
      <c r="R492" s="2">
        <f>IFERROR(XLOOKUP(A492,'Intake Responses'!$A:$A,'Intake Responses'!$S:$S),"")</f>
        <v/>
      </c>
      <c r="S492" s="2" t="n"/>
      <c r="T492" s="2" t="n"/>
      <c r="U492" s="2" t="n"/>
      <c r="V492" s="2">
        <f>IFERROR(MIN(5,ROUND(((M492+O492)/2)+(IF(J492&gt;=20,2,IF(J492&gt;=10,1.5,IF(J492&gt;=5,1,IF(J492&gt;=1,0.5,0))))),1)),0)</f>
        <v/>
      </c>
      <c r="W492" s="2">
        <f>IFERROR(SWITCH(F492,"Multiple times per day",5,"Daily",4,"Weekly",3,"Monthly",2,"Quarterly",1,"Ad hoc",1,"Unknown",0),0)</f>
        <v/>
      </c>
      <c r="X492" s="2">
        <f>IFERROR(ROUND(AVERAGE(L492,N492),1),0)</f>
        <v/>
      </c>
      <c r="Y492" s="2">
        <f>IFERROR(SWITCH(U492,"High",3,"Medium",2,"Low",0,"Unknown",1,1)+IF(Q492="Yes",2,IF(Q492="Unsure",1,0)),0)</f>
        <v/>
      </c>
      <c r="Z492" s="2">
        <f>IFERROR(ROUND((V492*2)+(W492*1)+(X492*2)+(IF(T492="Easy",2,IF(T492="Medium",1,IF(T492="Hard",-1,0))))-(Y492*2),1),0)</f>
        <v/>
      </c>
      <c r="AA492" s="2">
        <f>IFERROR(IF(S492="Not a fit","Not a Fit",IF(Y492&gt;=5,"High Risk / Needs Review",IF(AND(Z492&gt;=18,T492="Easy"),"Quick Win",IF(AND(Z492&gt;=18,T492&lt;&gt;"Easy"),"Strategic Project",IF(Z492&gt;=10,"Discovery Needed","Process Issue"))))),"")</f>
        <v/>
      </c>
      <c r="AB492" s="2">
        <f>IFERROR(SWITCH(AA492,"Quick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2" s="2" t="n"/>
      <c r="AD492" s="2" t="n"/>
      <c r="AE492" s="2" t="n"/>
    </row>
    <row r="493" ht="25" customHeight="1">
      <c r="A493" s="3" t="n"/>
      <c r="B493" s="3">
        <f>IFERROR(XLOOKUP(A493,'Intake Responses'!$A:$A,'Intake Responses'!$E:$E),"")</f>
        <v/>
      </c>
      <c r="C493" s="3">
        <f>IFERROR(XLOOKUP(A493,'Intake Responses'!$A:$A,'Intake Responses'!$D:$D),"")</f>
        <v/>
      </c>
      <c r="D493" s="3">
        <f>IFERROR(XLOOKUP(A493,'Intake Responses'!$A:$A,'Intake Responses'!$F:$F),"")</f>
        <v/>
      </c>
      <c r="E493" s="3" t="n"/>
      <c r="F493" s="3">
        <f>IFERROR(XLOOKUP(A493,'Intake Responses'!$A:$A,'Intake Responses'!$M:$M),"")</f>
        <v/>
      </c>
      <c r="G493" s="3">
        <f>IFERROR(XLOOKUP(A493,'Intake Responses'!$A:$A,'Intake Responses'!$N:$N),"")</f>
        <v/>
      </c>
      <c r="H493" s="3">
        <f>IFERROR(XLOOKUP(A493,'Intake Responses'!$A:$A,'Intake Responses'!$O:$O),"")</f>
        <v/>
      </c>
      <c r="I493" s="3">
        <f>IFERROR(SWITCH(F493,"Multiple times per day",60,"Daily",20,"Weekly",4,"Monthly",1,"Quarterly",0.33,"Ad hoc",0.5,"Unknown",0),0)</f>
        <v/>
      </c>
      <c r="J493" s="3">
        <f>IFERROR((G493*H493*I493)/60,0)</f>
        <v/>
      </c>
      <c r="K493" s="3">
        <f>IFERROR(J493*12,0)</f>
        <v/>
      </c>
      <c r="L493" s="3">
        <f>IFERROR(XLOOKUP(A493,'Intake Responses'!$A:$A,'Intake Responses'!$T:$T),"")</f>
        <v/>
      </c>
      <c r="M493" s="3">
        <f>IFERROR(XLOOKUP(A493,'Intake Responses'!$A:$A,'Intake Responses'!$U:$U),"")</f>
        <v/>
      </c>
      <c r="N493" s="3">
        <f>IFERROR(XLOOKUP(A493,'Intake Responses'!$A:$A,'Intake Responses'!$V:$V),"")</f>
        <v/>
      </c>
      <c r="O493" s="3">
        <f>IFERROR(XLOOKUP(A493,'Intake Responses'!$A:$A,'Intake Responses'!$W:$W),"")</f>
        <v/>
      </c>
      <c r="P493" s="3">
        <f>IFERROR(XLOOKUP(A493,'Intake Responses'!$A:$A,'Intake Responses'!$X:$X),"")</f>
        <v/>
      </c>
      <c r="Q493" s="3">
        <f>IFERROR(XLOOKUP(A493,'Intake Responses'!$A:$A,'Intake Responses'!$AF:$AF),"")</f>
        <v/>
      </c>
      <c r="R493" s="3">
        <f>IFERROR(XLOOKUP(A493,'Intake Responses'!$A:$A,'Intake Responses'!$S:$S),"")</f>
        <v/>
      </c>
      <c r="S493" s="3" t="n"/>
      <c r="T493" s="3" t="n"/>
      <c r="U493" s="3" t="n"/>
      <c r="V493" s="3">
        <f>IFERROR(MIN(5,ROUND(((M493+O493)/2)+(IF(J493&gt;=20,2,IF(J493&gt;=10,1.5,IF(J493&gt;=5,1,IF(J493&gt;=1,0.5,0))))),1)),0)</f>
        <v/>
      </c>
      <c r="W493" s="3">
        <f>IFERROR(SWITCH(F493,"Multiple times per day",5,"Daily",4,"Weekly",3,"Monthly",2,"Quarterly",1,"Ad hoc",1,"Unknown",0),0)</f>
        <v/>
      </c>
      <c r="X493" s="3">
        <f>IFERROR(ROUND(AVERAGE(L493,N493),1),0)</f>
        <v/>
      </c>
      <c r="Y493" s="3">
        <f>IFERROR(SWITCH(U493,"High",3,"Medium",2,"Low",0,"Unknown",1,1)+IF(Q493="Yes",2,IF(Q493="Unsure",1,0)),0)</f>
        <v/>
      </c>
      <c r="Z493" s="3">
        <f>IFERROR(ROUND((V493*2)+(W493*1)+(X493*2)+(IF(T493="Easy",2,IF(T493="Medium",1,IF(T493="Hard",-1,0))))-(Y493*2),1),0)</f>
        <v/>
      </c>
      <c r="AA493" s="3">
        <f>IFERROR(IF(S493="Not a fit","Not a Fit",IF(Y493&gt;=5,"High Risk / Needs Review",IF(AND(Z493&gt;=18,T493="Easy"),"Quick Win",IF(AND(Z493&gt;=18,T493&lt;&gt;"Easy"),"Strategic Project",IF(Z493&gt;=10,"Discovery Needed","Process Issue"))))),"")</f>
        <v/>
      </c>
      <c r="AB493" s="3">
        <f>IFERROR(SWITCH(AA493,"Quick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3" s="3" t="n"/>
      <c r="AD493" s="3" t="n"/>
      <c r="AE493" s="3" t="n"/>
    </row>
    <row r="494" ht="25" customHeight="1">
      <c r="A494" s="2" t="n"/>
      <c r="B494" s="2">
        <f>IFERROR(XLOOKUP(A494,'Intake Responses'!$A:$A,'Intake Responses'!$E:$E),"")</f>
        <v/>
      </c>
      <c r="C494" s="2">
        <f>IFERROR(XLOOKUP(A494,'Intake Responses'!$A:$A,'Intake Responses'!$D:$D),"")</f>
        <v/>
      </c>
      <c r="D494" s="2">
        <f>IFERROR(XLOOKUP(A494,'Intake Responses'!$A:$A,'Intake Responses'!$F:$F),"")</f>
        <v/>
      </c>
      <c r="E494" s="2" t="n"/>
      <c r="F494" s="2">
        <f>IFERROR(XLOOKUP(A494,'Intake Responses'!$A:$A,'Intake Responses'!$M:$M),"")</f>
        <v/>
      </c>
      <c r="G494" s="2">
        <f>IFERROR(XLOOKUP(A494,'Intake Responses'!$A:$A,'Intake Responses'!$N:$N),"")</f>
        <v/>
      </c>
      <c r="H494" s="2">
        <f>IFERROR(XLOOKUP(A494,'Intake Responses'!$A:$A,'Intake Responses'!$O:$O),"")</f>
        <v/>
      </c>
      <c r="I494" s="2">
        <f>IFERROR(SWITCH(F494,"Multiple times per day",60,"Daily",20,"Weekly",4,"Monthly",1,"Quarterly",0.33,"Ad hoc",0.5,"Unknown",0),0)</f>
        <v/>
      </c>
      <c r="J494" s="2">
        <f>IFERROR((G494*H494*I494)/60,0)</f>
        <v/>
      </c>
      <c r="K494" s="2">
        <f>IFERROR(J494*12,0)</f>
        <v/>
      </c>
      <c r="L494" s="2">
        <f>IFERROR(XLOOKUP(A494,'Intake Responses'!$A:$A,'Intake Responses'!$T:$T),"")</f>
        <v/>
      </c>
      <c r="M494" s="2">
        <f>IFERROR(XLOOKUP(A494,'Intake Responses'!$A:$A,'Intake Responses'!$U:$U),"")</f>
        <v/>
      </c>
      <c r="N494" s="2">
        <f>IFERROR(XLOOKUP(A494,'Intake Responses'!$A:$A,'Intake Responses'!$V:$V),"")</f>
        <v/>
      </c>
      <c r="O494" s="2">
        <f>IFERROR(XLOOKUP(A494,'Intake Responses'!$A:$A,'Intake Responses'!$W:$W),"")</f>
        <v/>
      </c>
      <c r="P494" s="2">
        <f>IFERROR(XLOOKUP(A494,'Intake Responses'!$A:$A,'Intake Responses'!$X:$X),"")</f>
        <v/>
      </c>
      <c r="Q494" s="2">
        <f>IFERROR(XLOOKUP(A494,'Intake Responses'!$A:$A,'Intake Responses'!$AF:$AF),"")</f>
        <v/>
      </c>
      <c r="R494" s="2">
        <f>IFERROR(XLOOKUP(A494,'Intake Responses'!$A:$A,'Intake Responses'!$S:$S),"")</f>
        <v/>
      </c>
      <c r="S494" s="2" t="n"/>
      <c r="T494" s="2" t="n"/>
      <c r="U494" s="2" t="n"/>
      <c r="V494" s="2">
        <f>IFERROR(MIN(5,ROUND(((M494+O494)/2)+(IF(J494&gt;=20,2,IF(J494&gt;=10,1.5,IF(J494&gt;=5,1,IF(J494&gt;=1,0.5,0))))),1)),0)</f>
        <v/>
      </c>
      <c r="W494" s="2">
        <f>IFERROR(SWITCH(F494,"Multiple times per day",5,"Daily",4,"Weekly",3,"Monthly",2,"Quarterly",1,"Ad hoc",1,"Unknown",0),0)</f>
        <v/>
      </c>
      <c r="X494" s="2">
        <f>IFERROR(ROUND(AVERAGE(L494,N494),1),0)</f>
        <v/>
      </c>
      <c r="Y494" s="2">
        <f>IFERROR(SWITCH(U494,"High",3,"Medium",2,"Low",0,"Unknown",1,1)+IF(Q494="Yes",2,IF(Q494="Unsure",1,0)),0)</f>
        <v/>
      </c>
      <c r="Z494" s="2">
        <f>IFERROR(ROUND((V494*2)+(W494*1)+(X494*2)+(IF(T494="Easy",2,IF(T494="Medium",1,IF(T494="Hard",-1,0))))-(Y494*2),1),0)</f>
        <v/>
      </c>
      <c r="AA494" s="2">
        <f>IFERROR(IF(S494="Not a fit","Not a Fit",IF(Y494&gt;=5,"High Risk / Needs Review",IF(AND(Z494&gt;=18,T494="Easy"),"Quick Win",IF(AND(Z494&gt;=18,T494&lt;&gt;"Easy"),"Strategic Project",IF(Z494&gt;=10,"Discovery Needed","Process Issue"))))),"")</f>
        <v/>
      </c>
      <c r="AB494" s="2">
        <f>IFERROR(SWITCH(AA494,"Quick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4" s="2" t="n"/>
      <c r="AD494" s="2" t="n"/>
      <c r="AE494" s="2" t="n"/>
    </row>
    <row r="495" ht="25" customHeight="1">
      <c r="A495" s="3" t="n"/>
      <c r="B495" s="3">
        <f>IFERROR(XLOOKUP(A495,'Intake Responses'!$A:$A,'Intake Responses'!$E:$E),"")</f>
        <v/>
      </c>
      <c r="C495" s="3">
        <f>IFERROR(XLOOKUP(A495,'Intake Responses'!$A:$A,'Intake Responses'!$D:$D),"")</f>
        <v/>
      </c>
      <c r="D495" s="3">
        <f>IFERROR(XLOOKUP(A495,'Intake Responses'!$A:$A,'Intake Responses'!$F:$F),"")</f>
        <v/>
      </c>
      <c r="E495" s="3" t="n"/>
      <c r="F495" s="3">
        <f>IFERROR(XLOOKUP(A495,'Intake Responses'!$A:$A,'Intake Responses'!$M:$M),"")</f>
        <v/>
      </c>
      <c r="G495" s="3">
        <f>IFERROR(XLOOKUP(A495,'Intake Responses'!$A:$A,'Intake Responses'!$N:$N),"")</f>
        <v/>
      </c>
      <c r="H495" s="3">
        <f>IFERROR(XLOOKUP(A495,'Intake Responses'!$A:$A,'Intake Responses'!$O:$O),"")</f>
        <v/>
      </c>
      <c r="I495" s="3">
        <f>IFERROR(SWITCH(F495,"Multiple times per day",60,"Daily",20,"Weekly",4,"Monthly",1,"Quarterly",0.33,"Ad hoc",0.5,"Unknown",0),0)</f>
        <v/>
      </c>
      <c r="J495" s="3">
        <f>IFERROR((G495*H495*I495)/60,0)</f>
        <v/>
      </c>
      <c r="K495" s="3">
        <f>IFERROR(J495*12,0)</f>
        <v/>
      </c>
      <c r="L495" s="3">
        <f>IFERROR(XLOOKUP(A495,'Intake Responses'!$A:$A,'Intake Responses'!$T:$T),"")</f>
        <v/>
      </c>
      <c r="M495" s="3">
        <f>IFERROR(XLOOKUP(A495,'Intake Responses'!$A:$A,'Intake Responses'!$U:$U),"")</f>
        <v/>
      </c>
      <c r="N495" s="3">
        <f>IFERROR(XLOOKUP(A495,'Intake Responses'!$A:$A,'Intake Responses'!$V:$V),"")</f>
        <v/>
      </c>
      <c r="O495" s="3">
        <f>IFERROR(XLOOKUP(A495,'Intake Responses'!$A:$A,'Intake Responses'!$W:$W),"")</f>
        <v/>
      </c>
      <c r="P495" s="3">
        <f>IFERROR(XLOOKUP(A495,'Intake Responses'!$A:$A,'Intake Responses'!$X:$X),"")</f>
        <v/>
      </c>
      <c r="Q495" s="3">
        <f>IFERROR(XLOOKUP(A495,'Intake Responses'!$A:$A,'Intake Responses'!$AF:$AF),"")</f>
        <v/>
      </c>
      <c r="R495" s="3">
        <f>IFERROR(XLOOKUP(A495,'Intake Responses'!$A:$A,'Intake Responses'!$S:$S),"")</f>
        <v/>
      </c>
      <c r="S495" s="3" t="n"/>
      <c r="T495" s="3" t="n"/>
      <c r="U495" s="3" t="n"/>
      <c r="V495" s="3">
        <f>IFERROR(MIN(5,ROUND(((M495+O495)/2)+(IF(J495&gt;=20,2,IF(J495&gt;=10,1.5,IF(J495&gt;=5,1,IF(J495&gt;=1,0.5,0))))),1)),0)</f>
        <v/>
      </c>
      <c r="W495" s="3">
        <f>IFERROR(SWITCH(F495,"Multiple times per day",5,"Daily",4,"Weekly",3,"Monthly",2,"Quarterly",1,"Ad hoc",1,"Unknown",0),0)</f>
        <v/>
      </c>
      <c r="X495" s="3">
        <f>IFERROR(ROUND(AVERAGE(L495,N495),1),0)</f>
        <v/>
      </c>
      <c r="Y495" s="3">
        <f>IFERROR(SWITCH(U495,"High",3,"Medium",2,"Low",0,"Unknown",1,1)+IF(Q495="Yes",2,IF(Q495="Unsure",1,0)),0)</f>
        <v/>
      </c>
      <c r="Z495" s="3">
        <f>IFERROR(ROUND((V495*2)+(W495*1)+(X495*2)+(IF(T495="Easy",2,IF(T495="Medium",1,IF(T495="Hard",-1,0))))-(Y495*2),1),0)</f>
        <v/>
      </c>
      <c r="AA495" s="3">
        <f>IFERROR(IF(S495="Not a fit","Not a Fit",IF(Y495&gt;=5,"High Risk / Needs Review",IF(AND(Z495&gt;=18,T495="Easy"),"Quick Win",IF(AND(Z495&gt;=18,T495&lt;&gt;"Easy"),"Strategic Project",IF(Z495&gt;=10,"Discovery Needed","Process Issue"))))),"")</f>
        <v/>
      </c>
      <c r="AB495" s="3">
        <f>IFERROR(SWITCH(AA495,"Quick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5" s="3" t="n"/>
      <c r="AD495" s="3" t="n"/>
      <c r="AE495" s="3" t="n"/>
    </row>
    <row r="496" ht="25" customHeight="1">
      <c r="A496" s="2" t="n"/>
      <c r="B496" s="2">
        <f>IFERROR(XLOOKUP(A496,'Intake Responses'!$A:$A,'Intake Responses'!$E:$E),"")</f>
        <v/>
      </c>
      <c r="C496" s="2">
        <f>IFERROR(XLOOKUP(A496,'Intake Responses'!$A:$A,'Intake Responses'!$D:$D),"")</f>
        <v/>
      </c>
      <c r="D496" s="2">
        <f>IFERROR(XLOOKUP(A496,'Intake Responses'!$A:$A,'Intake Responses'!$F:$F),"")</f>
        <v/>
      </c>
      <c r="E496" s="2" t="n"/>
      <c r="F496" s="2">
        <f>IFERROR(XLOOKUP(A496,'Intake Responses'!$A:$A,'Intake Responses'!$M:$M),"")</f>
        <v/>
      </c>
      <c r="G496" s="2">
        <f>IFERROR(XLOOKUP(A496,'Intake Responses'!$A:$A,'Intake Responses'!$N:$N),"")</f>
        <v/>
      </c>
      <c r="H496" s="2">
        <f>IFERROR(XLOOKUP(A496,'Intake Responses'!$A:$A,'Intake Responses'!$O:$O),"")</f>
        <v/>
      </c>
      <c r="I496" s="2">
        <f>IFERROR(SWITCH(F496,"Multiple times per day",60,"Daily",20,"Weekly",4,"Monthly",1,"Quarterly",0.33,"Ad hoc",0.5,"Unknown",0),0)</f>
        <v/>
      </c>
      <c r="J496" s="2">
        <f>IFERROR((G496*H496*I496)/60,0)</f>
        <v/>
      </c>
      <c r="K496" s="2">
        <f>IFERROR(J496*12,0)</f>
        <v/>
      </c>
      <c r="L496" s="2">
        <f>IFERROR(XLOOKUP(A496,'Intake Responses'!$A:$A,'Intake Responses'!$T:$T),"")</f>
        <v/>
      </c>
      <c r="M496" s="2">
        <f>IFERROR(XLOOKUP(A496,'Intake Responses'!$A:$A,'Intake Responses'!$U:$U),"")</f>
        <v/>
      </c>
      <c r="N496" s="2">
        <f>IFERROR(XLOOKUP(A496,'Intake Responses'!$A:$A,'Intake Responses'!$V:$V),"")</f>
        <v/>
      </c>
      <c r="O496" s="2">
        <f>IFERROR(XLOOKUP(A496,'Intake Responses'!$A:$A,'Intake Responses'!$W:$W),"")</f>
        <v/>
      </c>
      <c r="P496" s="2">
        <f>IFERROR(XLOOKUP(A496,'Intake Responses'!$A:$A,'Intake Responses'!$X:$X),"")</f>
        <v/>
      </c>
      <c r="Q496" s="2">
        <f>IFERROR(XLOOKUP(A496,'Intake Responses'!$A:$A,'Intake Responses'!$AF:$AF),"")</f>
        <v/>
      </c>
      <c r="R496" s="2">
        <f>IFERROR(XLOOKUP(A496,'Intake Responses'!$A:$A,'Intake Responses'!$S:$S),"")</f>
        <v/>
      </c>
      <c r="S496" s="2" t="n"/>
      <c r="T496" s="2" t="n"/>
      <c r="U496" s="2" t="n"/>
      <c r="V496" s="2">
        <f>IFERROR(MIN(5,ROUND(((M496+O496)/2)+(IF(J496&gt;=20,2,IF(J496&gt;=10,1.5,IF(J496&gt;=5,1,IF(J496&gt;=1,0.5,0))))),1)),0)</f>
        <v/>
      </c>
      <c r="W496" s="2">
        <f>IFERROR(SWITCH(F496,"Multiple times per day",5,"Daily",4,"Weekly",3,"Monthly",2,"Quarterly",1,"Ad hoc",1,"Unknown",0),0)</f>
        <v/>
      </c>
      <c r="X496" s="2">
        <f>IFERROR(ROUND(AVERAGE(L496,N496),1),0)</f>
        <v/>
      </c>
      <c r="Y496" s="2">
        <f>IFERROR(SWITCH(U496,"High",3,"Medium",2,"Low",0,"Unknown",1,1)+IF(Q496="Yes",2,IF(Q496="Unsure",1,0)),0)</f>
        <v/>
      </c>
      <c r="Z496" s="2">
        <f>IFERROR(ROUND((V496*2)+(W496*1)+(X496*2)+(IF(T496="Easy",2,IF(T496="Medium",1,IF(T496="Hard",-1,0))))-(Y496*2),1),0)</f>
        <v/>
      </c>
      <c r="AA496" s="2">
        <f>IFERROR(IF(S496="Not a fit","Not a Fit",IF(Y496&gt;=5,"High Risk / Needs Review",IF(AND(Z496&gt;=18,T496="Easy"),"Quick Win",IF(AND(Z496&gt;=18,T496&lt;&gt;"Easy"),"Strategic Project",IF(Z496&gt;=10,"Discovery Needed","Process Issue"))))),"")</f>
        <v/>
      </c>
      <c r="AB496" s="2">
        <f>IFERROR(SWITCH(AA496,"Quick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6" s="2" t="n"/>
      <c r="AD496" s="2" t="n"/>
      <c r="AE496" s="2" t="n"/>
    </row>
    <row r="497" ht="25" customHeight="1">
      <c r="A497" s="3" t="n"/>
      <c r="B497" s="3">
        <f>IFERROR(XLOOKUP(A497,'Intake Responses'!$A:$A,'Intake Responses'!$E:$E),"")</f>
        <v/>
      </c>
      <c r="C497" s="3">
        <f>IFERROR(XLOOKUP(A497,'Intake Responses'!$A:$A,'Intake Responses'!$D:$D),"")</f>
        <v/>
      </c>
      <c r="D497" s="3">
        <f>IFERROR(XLOOKUP(A497,'Intake Responses'!$A:$A,'Intake Responses'!$F:$F),"")</f>
        <v/>
      </c>
      <c r="E497" s="3" t="n"/>
      <c r="F497" s="3">
        <f>IFERROR(XLOOKUP(A497,'Intake Responses'!$A:$A,'Intake Responses'!$M:$M),"")</f>
        <v/>
      </c>
      <c r="G497" s="3">
        <f>IFERROR(XLOOKUP(A497,'Intake Responses'!$A:$A,'Intake Responses'!$N:$N),"")</f>
        <v/>
      </c>
      <c r="H497" s="3">
        <f>IFERROR(XLOOKUP(A497,'Intake Responses'!$A:$A,'Intake Responses'!$O:$O),"")</f>
        <v/>
      </c>
      <c r="I497" s="3">
        <f>IFERROR(SWITCH(F497,"Multiple times per day",60,"Daily",20,"Weekly",4,"Monthly",1,"Quarterly",0.33,"Ad hoc",0.5,"Unknown",0),0)</f>
        <v/>
      </c>
      <c r="J497" s="3">
        <f>IFERROR((G497*H497*I497)/60,0)</f>
        <v/>
      </c>
      <c r="K497" s="3">
        <f>IFERROR(J497*12,0)</f>
        <v/>
      </c>
      <c r="L497" s="3">
        <f>IFERROR(XLOOKUP(A497,'Intake Responses'!$A:$A,'Intake Responses'!$T:$T),"")</f>
        <v/>
      </c>
      <c r="M497" s="3">
        <f>IFERROR(XLOOKUP(A497,'Intake Responses'!$A:$A,'Intake Responses'!$U:$U),"")</f>
        <v/>
      </c>
      <c r="N497" s="3">
        <f>IFERROR(XLOOKUP(A497,'Intake Responses'!$A:$A,'Intake Responses'!$V:$V),"")</f>
        <v/>
      </c>
      <c r="O497" s="3">
        <f>IFERROR(XLOOKUP(A497,'Intake Responses'!$A:$A,'Intake Responses'!$W:$W),"")</f>
        <v/>
      </c>
      <c r="P497" s="3">
        <f>IFERROR(XLOOKUP(A497,'Intake Responses'!$A:$A,'Intake Responses'!$X:$X),"")</f>
        <v/>
      </c>
      <c r="Q497" s="3">
        <f>IFERROR(XLOOKUP(A497,'Intake Responses'!$A:$A,'Intake Responses'!$AF:$AF),"")</f>
        <v/>
      </c>
      <c r="R497" s="3">
        <f>IFERROR(XLOOKUP(A497,'Intake Responses'!$A:$A,'Intake Responses'!$S:$S),"")</f>
        <v/>
      </c>
      <c r="S497" s="3" t="n"/>
      <c r="T497" s="3" t="n"/>
      <c r="U497" s="3" t="n"/>
      <c r="V497" s="3">
        <f>IFERROR(MIN(5,ROUND(((M497+O497)/2)+(IF(J497&gt;=20,2,IF(J497&gt;=10,1.5,IF(J497&gt;=5,1,IF(J497&gt;=1,0.5,0))))),1)),0)</f>
        <v/>
      </c>
      <c r="W497" s="3">
        <f>IFERROR(SWITCH(F497,"Multiple times per day",5,"Daily",4,"Weekly",3,"Monthly",2,"Quarterly",1,"Ad hoc",1,"Unknown",0),0)</f>
        <v/>
      </c>
      <c r="X497" s="3">
        <f>IFERROR(ROUND(AVERAGE(L497,N497),1),0)</f>
        <v/>
      </c>
      <c r="Y497" s="3">
        <f>IFERROR(SWITCH(U497,"High",3,"Medium",2,"Low",0,"Unknown",1,1)+IF(Q497="Yes",2,IF(Q497="Unsure",1,0)),0)</f>
        <v/>
      </c>
      <c r="Z497" s="3">
        <f>IFERROR(ROUND((V497*2)+(W497*1)+(X497*2)+(IF(T497="Easy",2,IF(T497="Medium",1,IF(T497="Hard",-1,0))))-(Y497*2),1),0)</f>
        <v/>
      </c>
      <c r="AA497" s="3">
        <f>IFERROR(IF(S497="Not a fit","Not a Fit",IF(Y497&gt;=5,"High Risk / Needs Review",IF(AND(Z497&gt;=18,T497="Easy"),"Quick Win",IF(AND(Z497&gt;=18,T497&lt;&gt;"Easy"),"Strategic Project",IF(Z497&gt;=10,"Discovery Needed","Process Issue"))))),"")</f>
        <v/>
      </c>
      <c r="AB497" s="3">
        <f>IFERROR(SWITCH(AA497,"Quick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7" s="3" t="n"/>
      <c r="AD497" s="3" t="n"/>
      <c r="AE497" s="3" t="n"/>
    </row>
    <row r="498" ht="25" customHeight="1">
      <c r="A498" s="2" t="n"/>
      <c r="B498" s="2">
        <f>IFERROR(XLOOKUP(A498,'Intake Responses'!$A:$A,'Intake Responses'!$E:$E),"")</f>
        <v/>
      </c>
      <c r="C498" s="2">
        <f>IFERROR(XLOOKUP(A498,'Intake Responses'!$A:$A,'Intake Responses'!$D:$D),"")</f>
        <v/>
      </c>
      <c r="D498" s="2">
        <f>IFERROR(XLOOKUP(A498,'Intake Responses'!$A:$A,'Intake Responses'!$F:$F),"")</f>
        <v/>
      </c>
      <c r="E498" s="2" t="n"/>
      <c r="F498" s="2">
        <f>IFERROR(XLOOKUP(A498,'Intake Responses'!$A:$A,'Intake Responses'!$M:$M),"")</f>
        <v/>
      </c>
      <c r="G498" s="2">
        <f>IFERROR(XLOOKUP(A498,'Intake Responses'!$A:$A,'Intake Responses'!$N:$N),"")</f>
        <v/>
      </c>
      <c r="H498" s="2">
        <f>IFERROR(XLOOKUP(A498,'Intake Responses'!$A:$A,'Intake Responses'!$O:$O),"")</f>
        <v/>
      </c>
      <c r="I498" s="2">
        <f>IFERROR(SWITCH(F498,"Multiple times per day",60,"Daily",20,"Weekly",4,"Monthly",1,"Quarterly",0.33,"Ad hoc",0.5,"Unknown",0),0)</f>
        <v/>
      </c>
      <c r="J498" s="2">
        <f>IFERROR((G498*H498*I498)/60,0)</f>
        <v/>
      </c>
      <c r="K498" s="2">
        <f>IFERROR(J498*12,0)</f>
        <v/>
      </c>
      <c r="L498" s="2">
        <f>IFERROR(XLOOKUP(A498,'Intake Responses'!$A:$A,'Intake Responses'!$T:$T),"")</f>
        <v/>
      </c>
      <c r="M498" s="2">
        <f>IFERROR(XLOOKUP(A498,'Intake Responses'!$A:$A,'Intake Responses'!$U:$U),"")</f>
        <v/>
      </c>
      <c r="N498" s="2">
        <f>IFERROR(XLOOKUP(A498,'Intake Responses'!$A:$A,'Intake Responses'!$V:$V),"")</f>
        <v/>
      </c>
      <c r="O498" s="2">
        <f>IFERROR(XLOOKUP(A498,'Intake Responses'!$A:$A,'Intake Responses'!$W:$W),"")</f>
        <v/>
      </c>
      <c r="P498" s="2">
        <f>IFERROR(XLOOKUP(A498,'Intake Responses'!$A:$A,'Intake Responses'!$X:$X),"")</f>
        <v/>
      </c>
      <c r="Q498" s="2">
        <f>IFERROR(XLOOKUP(A498,'Intake Responses'!$A:$A,'Intake Responses'!$AF:$AF),"")</f>
        <v/>
      </c>
      <c r="R498" s="2">
        <f>IFERROR(XLOOKUP(A498,'Intake Responses'!$A:$A,'Intake Responses'!$S:$S),"")</f>
        <v/>
      </c>
      <c r="S498" s="2" t="n"/>
      <c r="T498" s="2" t="n"/>
      <c r="U498" s="2" t="n"/>
      <c r="V498" s="2">
        <f>IFERROR(MIN(5,ROUND(((M498+O498)/2)+(IF(J498&gt;=20,2,IF(J498&gt;=10,1.5,IF(J498&gt;=5,1,IF(J498&gt;=1,0.5,0))))),1)),0)</f>
        <v/>
      </c>
      <c r="W498" s="2">
        <f>IFERROR(SWITCH(F498,"Multiple times per day",5,"Daily",4,"Weekly",3,"Monthly",2,"Quarterly",1,"Ad hoc",1,"Unknown",0),0)</f>
        <v/>
      </c>
      <c r="X498" s="2">
        <f>IFERROR(ROUND(AVERAGE(L498,N498),1),0)</f>
        <v/>
      </c>
      <c r="Y498" s="2">
        <f>IFERROR(SWITCH(U498,"High",3,"Medium",2,"Low",0,"Unknown",1,1)+IF(Q498="Yes",2,IF(Q498="Unsure",1,0)),0)</f>
        <v/>
      </c>
      <c r="Z498" s="2">
        <f>IFERROR(ROUND((V498*2)+(W498*1)+(X498*2)+(IF(T498="Easy",2,IF(T498="Medium",1,IF(T498="Hard",-1,0))))-(Y498*2),1),0)</f>
        <v/>
      </c>
      <c r="AA498" s="2">
        <f>IFERROR(IF(S498="Not a fit","Not a Fit",IF(Y498&gt;=5,"High Risk / Needs Review",IF(AND(Z498&gt;=18,T498="Easy"),"Quick Win",IF(AND(Z498&gt;=18,T498&lt;&gt;"Easy"),"Strategic Project",IF(Z498&gt;=10,"Discovery Needed","Process Issue"))))),"")</f>
        <v/>
      </c>
      <c r="AB498" s="2">
        <f>IFERROR(SWITCH(AA498,"Quick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8" s="2" t="n"/>
      <c r="AD498" s="2" t="n"/>
      <c r="AE498" s="2" t="n"/>
    </row>
    <row r="499" ht="25" customHeight="1">
      <c r="A499" s="3" t="n"/>
      <c r="B499" s="3">
        <f>IFERROR(XLOOKUP(A499,'Intake Responses'!$A:$A,'Intake Responses'!$E:$E),"")</f>
        <v/>
      </c>
      <c r="C499" s="3">
        <f>IFERROR(XLOOKUP(A499,'Intake Responses'!$A:$A,'Intake Responses'!$D:$D),"")</f>
        <v/>
      </c>
      <c r="D499" s="3">
        <f>IFERROR(XLOOKUP(A499,'Intake Responses'!$A:$A,'Intake Responses'!$F:$F),"")</f>
        <v/>
      </c>
      <c r="E499" s="3" t="n"/>
      <c r="F499" s="3">
        <f>IFERROR(XLOOKUP(A499,'Intake Responses'!$A:$A,'Intake Responses'!$M:$M),"")</f>
        <v/>
      </c>
      <c r="G499" s="3">
        <f>IFERROR(XLOOKUP(A499,'Intake Responses'!$A:$A,'Intake Responses'!$N:$N),"")</f>
        <v/>
      </c>
      <c r="H499" s="3">
        <f>IFERROR(XLOOKUP(A499,'Intake Responses'!$A:$A,'Intake Responses'!$O:$O),"")</f>
        <v/>
      </c>
      <c r="I499" s="3">
        <f>IFERROR(SWITCH(F499,"Multiple times per day",60,"Daily",20,"Weekly",4,"Monthly",1,"Quarterly",0.33,"Ad hoc",0.5,"Unknown",0),0)</f>
        <v/>
      </c>
      <c r="J499" s="3">
        <f>IFERROR((G499*H499*I499)/60,0)</f>
        <v/>
      </c>
      <c r="K499" s="3">
        <f>IFERROR(J499*12,0)</f>
        <v/>
      </c>
      <c r="L499" s="3">
        <f>IFERROR(XLOOKUP(A499,'Intake Responses'!$A:$A,'Intake Responses'!$T:$T),"")</f>
        <v/>
      </c>
      <c r="M499" s="3">
        <f>IFERROR(XLOOKUP(A499,'Intake Responses'!$A:$A,'Intake Responses'!$U:$U),"")</f>
        <v/>
      </c>
      <c r="N499" s="3">
        <f>IFERROR(XLOOKUP(A499,'Intake Responses'!$A:$A,'Intake Responses'!$V:$V),"")</f>
        <v/>
      </c>
      <c r="O499" s="3">
        <f>IFERROR(XLOOKUP(A499,'Intake Responses'!$A:$A,'Intake Responses'!$W:$W),"")</f>
        <v/>
      </c>
      <c r="P499" s="3">
        <f>IFERROR(XLOOKUP(A499,'Intake Responses'!$A:$A,'Intake Responses'!$X:$X),"")</f>
        <v/>
      </c>
      <c r="Q499" s="3">
        <f>IFERROR(XLOOKUP(A499,'Intake Responses'!$A:$A,'Intake Responses'!$AF:$AF),"")</f>
        <v/>
      </c>
      <c r="R499" s="3">
        <f>IFERROR(XLOOKUP(A499,'Intake Responses'!$A:$A,'Intake Responses'!$S:$S),"")</f>
        <v/>
      </c>
      <c r="S499" s="3" t="n"/>
      <c r="T499" s="3" t="n"/>
      <c r="U499" s="3" t="n"/>
      <c r="V499" s="3">
        <f>IFERROR(MIN(5,ROUND(((M499+O499)/2)+(IF(J499&gt;=20,2,IF(J499&gt;=10,1.5,IF(J499&gt;=5,1,IF(J499&gt;=1,0.5,0))))),1)),0)</f>
        <v/>
      </c>
      <c r="W499" s="3">
        <f>IFERROR(SWITCH(F499,"Multiple times per day",5,"Daily",4,"Weekly",3,"Monthly",2,"Quarterly",1,"Ad hoc",1,"Unknown",0),0)</f>
        <v/>
      </c>
      <c r="X499" s="3">
        <f>IFERROR(ROUND(AVERAGE(L499,N499),1),0)</f>
        <v/>
      </c>
      <c r="Y499" s="3">
        <f>IFERROR(SWITCH(U499,"High",3,"Medium",2,"Low",0,"Unknown",1,1)+IF(Q499="Yes",2,IF(Q499="Unsure",1,0)),0)</f>
        <v/>
      </c>
      <c r="Z499" s="3">
        <f>IFERROR(ROUND((V499*2)+(W499*1)+(X499*2)+(IF(T499="Easy",2,IF(T499="Medium",1,IF(T499="Hard",-1,0))))-(Y499*2),1),0)</f>
        <v/>
      </c>
      <c r="AA499" s="3">
        <f>IFERROR(IF(S499="Not a fit","Not a Fit",IF(Y499&gt;=5,"High Risk / Needs Review",IF(AND(Z499&gt;=18,T499="Easy"),"Quick Win",IF(AND(Z499&gt;=18,T499&lt;&gt;"Easy"),"Strategic Project",IF(Z499&gt;=10,"Discovery Needed","Process Issue"))))),"")</f>
        <v/>
      </c>
      <c r="AB499" s="3">
        <f>IFERROR(SWITCH(AA499,"Quick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499" s="3" t="n"/>
      <c r="AD499" s="3" t="n"/>
      <c r="AE499" s="3" t="n"/>
    </row>
    <row r="500" ht="25" customHeight="1">
      <c r="A500" s="2" t="n"/>
      <c r="B500" s="2">
        <f>IFERROR(XLOOKUP(A500,'Intake Responses'!$A:$A,'Intake Responses'!$E:$E),"")</f>
        <v/>
      </c>
      <c r="C500" s="2">
        <f>IFERROR(XLOOKUP(A500,'Intake Responses'!$A:$A,'Intake Responses'!$D:$D),"")</f>
        <v/>
      </c>
      <c r="D500" s="2">
        <f>IFERROR(XLOOKUP(A500,'Intake Responses'!$A:$A,'Intake Responses'!$F:$F),"")</f>
        <v/>
      </c>
      <c r="E500" s="2" t="n"/>
      <c r="F500" s="2">
        <f>IFERROR(XLOOKUP(A500,'Intake Responses'!$A:$A,'Intake Responses'!$M:$M),"")</f>
        <v/>
      </c>
      <c r="G500" s="2">
        <f>IFERROR(XLOOKUP(A500,'Intake Responses'!$A:$A,'Intake Responses'!$N:$N),"")</f>
        <v/>
      </c>
      <c r="H500" s="2">
        <f>IFERROR(XLOOKUP(A500,'Intake Responses'!$A:$A,'Intake Responses'!$O:$O),"")</f>
        <v/>
      </c>
      <c r="I500" s="2">
        <f>IFERROR(SWITCH(F500,"Multiple times per day",60,"Daily",20,"Weekly",4,"Monthly",1,"Quarterly",0.33,"Ad hoc",0.5,"Unknown",0),0)</f>
        <v/>
      </c>
      <c r="J500" s="2">
        <f>IFERROR((G500*H500*I500)/60,0)</f>
        <v/>
      </c>
      <c r="K500" s="2">
        <f>IFERROR(J500*12,0)</f>
        <v/>
      </c>
      <c r="L500" s="2">
        <f>IFERROR(XLOOKUP(A500,'Intake Responses'!$A:$A,'Intake Responses'!$T:$T),"")</f>
        <v/>
      </c>
      <c r="M500" s="2">
        <f>IFERROR(XLOOKUP(A500,'Intake Responses'!$A:$A,'Intake Responses'!$U:$U),"")</f>
        <v/>
      </c>
      <c r="N500" s="2">
        <f>IFERROR(XLOOKUP(A500,'Intake Responses'!$A:$A,'Intake Responses'!$V:$V),"")</f>
        <v/>
      </c>
      <c r="O500" s="2">
        <f>IFERROR(XLOOKUP(A500,'Intake Responses'!$A:$A,'Intake Responses'!$W:$W),"")</f>
        <v/>
      </c>
      <c r="P500" s="2">
        <f>IFERROR(XLOOKUP(A500,'Intake Responses'!$A:$A,'Intake Responses'!$X:$X),"")</f>
        <v/>
      </c>
      <c r="Q500" s="2">
        <f>IFERROR(XLOOKUP(A500,'Intake Responses'!$A:$A,'Intake Responses'!$AF:$AF),"")</f>
        <v/>
      </c>
      <c r="R500" s="2">
        <f>IFERROR(XLOOKUP(A500,'Intake Responses'!$A:$A,'Intake Responses'!$S:$S),"")</f>
        <v/>
      </c>
      <c r="S500" s="2" t="n"/>
      <c r="T500" s="2" t="n"/>
      <c r="U500" s="2" t="n"/>
      <c r="V500" s="2">
        <f>IFERROR(MIN(5,ROUND(((M500+O500)/2)+(IF(J500&gt;=20,2,IF(J500&gt;=10,1.5,IF(J500&gt;=5,1,IF(J500&gt;=1,0.5,0))))),1)),0)</f>
        <v/>
      </c>
      <c r="W500" s="2">
        <f>IFERROR(SWITCH(F500,"Multiple times per day",5,"Daily",4,"Weekly",3,"Monthly",2,"Quarterly",1,"Ad hoc",1,"Unknown",0),0)</f>
        <v/>
      </c>
      <c r="X500" s="2">
        <f>IFERROR(ROUND(AVERAGE(L500,N500),1),0)</f>
        <v/>
      </c>
      <c r="Y500" s="2">
        <f>IFERROR(SWITCH(U500,"High",3,"Medium",2,"Low",0,"Unknown",1,1)+IF(Q500="Yes",2,IF(Q500="Unsure",1,0)),0)</f>
        <v/>
      </c>
      <c r="Z500" s="2">
        <f>IFERROR(ROUND((V500*2)+(W500*1)+(X500*2)+(IF(T500="Easy",2,IF(T500="Medium",1,IF(T500="Hard",-1,0))))-(Y500*2),1),0)</f>
        <v/>
      </c>
      <c r="AA500" s="2">
        <f>IFERROR(IF(S500="Not a fit","Not a Fit",IF(Y500&gt;=5,"High Risk / Needs Review",IF(AND(Z500&gt;=18,T500="Easy"),"Quick Win",IF(AND(Z500&gt;=18,T500&lt;&gt;"Easy"),"Strategic Project",IF(Z500&gt;=10,"Discovery Needed","Process Issue"))))),"")</f>
        <v/>
      </c>
      <c r="AB500" s="2">
        <f>IFERROR(SWITCH(AA500,"Quick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00" s="2" t="n"/>
      <c r="AD500" s="2" t="n"/>
      <c r="AE500" s="2" t="n"/>
    </row>
    <row r="501" ht="25" customHeight="1">
      <c r="A501" s="3" t="n"/>
      <c r="B501" s="3">
        <f>IFERROR(XLOOKUP(A501,'Intake Responses'!$A:$A,'Intake Responses'!$E:$E),"")</f>
        <v/>
      </c>
      <c r="C501" s="3">
        <f>IFERROR(XLOOKUP(A501,'Intake Responses'!$A:$A,'Intake Responses'!$D:$D),"")</f>
        <v/>
      </c>
      <c r="D501" s="3">
        <f>IFERROR(XLOOKUP(A501,'Intake Responses'!$A:$A,'Intake Responses'!$F:$F),"")</f>
        <v/>
      </c>
      <c r="E501" s="3" t="n"/>
      <c r="F501" s="3">
        <f>IFERROR(XLOOKUP(A501,'Intake Responses'!$A:$A,'Intake Responses'!$M:$M),"")</f>
        <v/>
      </c>
      <c r="G501" s="3">
        <f>IFERROR(XLOOKUP(A501,'Intake Responses'!$A:$A,'Intake Responses'!$N:$N),"")</f>
        <v/>
      </c>
      <c r="H501" s="3">
        <f>IFERROR(XLOOKUP(A501,'Intake Responses'!$A:$A,'Intake Responses'!$O:$O),"")</f>
        <v/>
      </c>
      <c r="I501" s="3">
        <f>IFERROR(SWITCH(F501,"Multiple times per day",60,"Daily",20,"Weekly",4,"Monthly",1,"Quarterly",0.33,"Ad hoc",0.5,"Unknown",0),0)</f>
        <v/>
      </c>
      <c r="J501" s="3">
        <f>IFERROR((G501*H501*I501)/60,0)</f>
        <v/>
      </c>
      <c r="K501" s="3">
        <f>IFERROR(J501*12,0)</f>
        <v/>
      </c>
      <c r="L501" s="3">
        <f>IFERROR(XLOOKUP(A501,'Intake Responses'!$A:$A,'Intake Responses'!$T:$T),"")</f>
        <v/>
      </c>
      <c r="M501" s="3">
        <f>IFERROR(XLOOKUP(A501,'Intake Responses'!$A:$A,'Intake Responses'!$U:$U),"")</f>
        <v/>
      </c>
      <c r="N501" s="3">
        <f>IFERROR(XLOOKUP(A501,'Intake Responses'!$A:$A,'Intake Responses'!$V:$V),"")</f>
        <v/>
      </c>
      <c r="O501" s="3">
        <f>IFERROR(XLOOKUP(A501,'Intake Responses'!$A:$A,'Intake Responses'!$W:$W),"")</f>
        <v/>
      </c>
      <c r="P501" s="3">
        <f>IFERROR(XLOOKUP(A501,'Intake Responses'!$A:$A,'Intake Responses'!$X:$X),"")</f>
        <v/>
      </c>
      <c r="Q501" s="3">
        <f>IFERROR(XLOOKUP(A501,'Intake Responses'!$A:$A,'Intake Responses'!$AF:$AF),"")</f>
        <v/>
      </c>
      <c r="R501" s="3">
        <f>IFERROR(XLOOKUP(A501,'Intake Responses'!$A:$A,'Intake Responses'!$S:$S),"")</f>
        <v/>
      </c>
      <c r="S501" s="3" t="n"/>
      <c r="T501" s="3" t="n"/>
      <c r="U501" s="3" t="n"/>
      <c r="V501" s="3">
        <f>IFERROR(MIN(5,ROUND(((M501+O501)/2)+(IF(J501&gt;=20,2,IF(J501&gt;=10,1.5,IF(J501&gt;=5,1,IF(J501&gt;=1,0.5,0))))),1)),0)</f>
        <v/>
      </c>
      <c r="W501" s="3">
        <f>IFERROR(SWITCH(F501,"Multiple times per day",5,"Daily",4,"Weekly",3,"Monthly",2,"Quarterly",1,"Ad hoc",1,"Unknown",0),0)</f>
        <v/>
      </c>
      <c r="X501" s="3">
        <f>IFERROR(ROUND(AVERAGE(L501,N501),1),0)</f>
        <v/>
      </c>
      <c r="Y501" s="3">
        <f>IFERROR(SWITCH(U501,"High",3,"Medium",2,"Low",0,"Unknown",1,1)+IF(Q501="Yes",2,IF(Q501="Unsure",1,0)),0)</f>
        <v/>
      </c>
      <c r="Z501" s="3">
        <f>IFERROR(ROUND((V501*2)+(W501*1)+(X501*2)+(IF(T501="Easy",2,IF(T501="Medium",1,IF(T501="Hard",-1,0))))-(Y501*2),1),0)</f>
        <v/>
      </c>
      <c r="AA501" s="3">
        <f>IFERROR(IF(S501="Not a fit","Not a Fit",IF(Y501&gt;=5,"High Risk / Needs Review",IF(AND(Z501&gt;=18,T501="Easy"),"Quick Win",IF(AND(Z501&gt;=18,T501&lt;&gt;"Easy"),"Strategic Project",IF(Z501&gt;=10,"Discovery Needed","Process Issue"))))),"")</f>
        <v/>
      </c>
      <c r="AB501" s="3">
        <f>IFERROR(SWITCH(AA501,"Quick Win","Schedule prototype scoping conversation","Discovery Needed","Schedule workflow walkthrough","Strategic Project","Identify stakeholders and dependencies","High Risk / Needs Review","Review with Security/Legal/Data owner before solutioning","Process Issue","Explore process/template/documentation improvement","Not a Fit","Do not pursue at this time","Review manually"),"")</f>
        <v/>
      </c>
      <c r="AC501" s="3" t="n"/>
      <c r="AD501" s="3" t="n"/>
      <c r="AE501" s="3" t="n"/>
    </row>
  </sheetData>
  <autoFilter ref="A1:AE1"/>
  <conditionalFormatting sqref="Z2:Z501">
    <cfRule type="expression" priority="1" dxfId="0">
      <formula>Z2&gt;=20</formula>
    </cfRule>
    <cfRule type="expression" priority="2" dxfId="1">
      <formula>AND(Z2&gt;=10,Z2&lt;20)</formula>
    </cfRule>
    <cfRule type="expression" priority="3" dxfId="2">
      <formula>AND(Z2&lt;10,Z2&lt;&gt;"")</formula>
    </cfRule>
  </conditionalFormatting>
  <conditionalFormatting sqref="U2:U501">
    <cfRule type="expression" priority="4" dxfId="2">
      <formula>U2="High"</formula>
    </cfRule>
    <cfRule type="expression" priority="5" dxfId="1">
      <formula>U2="Medium"</formula>
    </cfRule>
    <cfRule type="expression" priority="6" dxfId="0">
      <formula>U2="Low"</formula>
    </cfRule>
    <cfRule type="expression" priority="7" dxfId="3">
      <formula>U2="Unknown"</formula>
    </cfRule>
  </conditionalFormatting>
  <conditionalFormatting sqref="AA2:AA501">
    <cfRule type="expression" priority="8" dxfId="0">
      <formula>AA2="Quick Win"</formula>
    </cfRule>
    <cfRule type="expression" priority="9" dxfId="4">
      <formula>AA2="Discovery Needed"</formula>
    </cfRule>
    <cfRule type="expression" priority="10" dxfId="5">
      <formula>AA2="Strategic Project"</formula>
    </cfRule>
    <cfRule type="expression" priority="11" dxfId="2">
      <formula>AA2="High Risk / Needs Review"</formula>
    </cfRule>
    <cfRule type="expression" priority="12" dxfId="1">
      <formula>AA2="Process Issue"</formula>
    </cfRule>
    <cfRule type="expression" priority="13" dxfId="3">
      <formula>AA2="Not a Fit"</formula>
    </cfRule>
  </conditionalFormatting>
  <dataValidations count="5">
    <dataValidation sqref="E2:E501" showDropDown="0" showInputMessage="0" showErrorMessage="0" allowBlank="1" type="list">
      <formula1>'Lists &amp; Settings'!$E$2:$E$10</formula1>
    </dataValidation>
    <dataValidation sqref="S2:S501" showDropDown="0" showInputMessage="0" showErrorMessage="0" allowBlank="1" type="list">
      <formula1>'Lists &amp; Settings'!$D$2:$D$12</formula1>
    </dataValidation>
    <dataValidation sqref="T2:T501" showDropDown="0" showInputMessage="0" showErrorMessage="0" allowBlank="1" type="list">
      <formula1>'Lists &amp; Settings'!$G$2:$G$5</formula1>
    </dataValidation>
    <dataValidation sqref="U2:U501" showDropDown="0" showInputMessage="0" showErrorMessage="0" allowBlank="1" type="list">
      <formula1>'Lists &amp; Settings'!$F$2:$F$5</formula1>
    </dataValidation>
    <dataValidation sqref="AA2:AA501" showDropDown="0" showInputMessage="0" showErrorMessage="0" allowBlank="1" type="list">
      <formula1>'Lists &amp; Settings'!$H$2:$H$7</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7030A0"/>
    <outlinePr summaryBelow="1" summaryRight="1"/>
    <pageSetUpPr/>
  </sheetPr>
  <dimension ref="A1:R50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28" customWidth="1" min="3" max="3"/>
    <col width="14" customWidth="1" min="4" max="4"/>
    <col width="18" customWidth="1" min="5" max="5"/>
    <col width="22" customWidth="1" min="6" max="6"/>
    <col width="22" customWidth="1" min="7" max="7"/>
    <col width="35" customWidth="1" min="8" max="8"/>
    <col width="45" customWidth="1" min="9" max="9"/>
    <col width="40" customWidth="1" min="10" max="10"/>
    <col width="40" customWidth="1" min="11" max="11"/>
    <col width="40" customWidth="1" min="12" max="12"/>
    <col width="28" customWidth="1" min="13" max="13"/>
    <col width="35" customWidth="1" min="14" max="14"/>
    <col width="20" customWidth="1" min="15" max="15"/>
    <col width="16" customWidth="1" min="16" max="16"/>
    <col width="30" customWidth="1" min="17" max="17"/>
    <col width="35" customWidth="1" min="18" max="18"/>
  </cols>
  <sheetData>
    <row r="1">
      <c r="A1" s="1" t="inlineStr">
        <is>
          <t>Discovery Session ID</t>
        </is>
      </c>
      <c r="B1" s="1" t="inlineStr">
        <is>
          <t>Opportunity ID</t>
        </is>
      </c>
      <c r="C1" s="1" t="inlineStr">
        <is>
          <t>Workflow / Task Name</t>
        </is>
      </c>
      <c r="D1" s="1" t="inlineStr">
        <is>
          <t>Session Date</t>
        </is>
      </c>
      <c r="E1" s="1" t="inlineStr">
        <is>
          <t>Facilitator</t>
        </is>
      </c>
      <c r="F1" s="1" t="inlineStr">
        <is>
          <t>Workflow Owner / SME</t>
        </is>
      </c>
      <c r="G1" s="1" t="inlineStr">
        <is>
          <t>Session Type</t>
        </is>
      </c>
      <c r="H1" s="1" t="inlineStr">
        <is>
          <t>Session Goal</t>
        </is>
      </c>
      <c r="I1" s="1" t="inlineStr">
        <is>
          <t>Summary of What We Learned</t>
        </is>
      </c>
      <c r="J1" s="1" t="inlineStr">
        <is>
          <t>Key Pain Points</t>
        </is>
      </c>
      <c r="K1" s="1" t="inlineStr">
        <is>
          <t>Risks / Guardrails</t>
        </is>
      </c>
      <c r="L1" s="1" t="inlineStr">
        <is>
          <t>Dependencies / Access Needed</t>
        </is>
      </c>
      <c r="M1" s="1" t="inlineStr">
        <is>
          <t>Likely Solution Direction</t>
        </is>
      </c>
      <c r="N1" s="1" t="inlineStr">
        <is>
          <t>Recommended Next Step</t>
        </is>
      </c>
      <c r="O1" s="1" t="inlineStr">
        <is>
          <t>Owner of Next Step</t>
        </is>
      </c>
      <c r="P1" s="1" t="inlineStr">
        <is>
          <t>Next Review Date</t>
        </is>
      </c>
      <c r="Q1" s="1" t="inlineStr">
        <is>
          <t>Link to Detailed Step Log</t>
        </is>
      </c>
      <c r="R1" s="1" t="inlineStr">
        <is>
          <t>Notes</t>
        </is>
      </c>
    </row>
    <row r="2" ht="25" customHeight="1">
      <c r="A2" s="2">
        <f>IF(B2="","","DS-"&amp;TEXT(ROW()-1,"0000"))</f>
        <v/>
      </c>
      <c r="B2" s="2" t="n"/>
      <c r="C2" s="2">
        <f>IFERROR(XLOOKUP(B2,'Opportunity Scoring'!$A:$A,'Opportunity Scoring'!$B:$B),"")</f>
        <v/>
      </c>
      <c r="D2" s="2" t="n"/>
      <c r="E2" s="2" t="n"/>
      <c r="F2" s="2">
        <f>IFERROR(XLOOKUP(B2,'Opportunity Scoring'!$A:$A,'Opportunity Scoring'!$D:$D),"")</f>
        <v/>
      </c>
      <c r="G2" s="2" t="n"/>
      <c r="H2" s="2" t="n"/>
      <c r="I2" s="2" t="n"/>
      <c r="J2" s="2" t="n"/>
      <c r="K2" s="2" t="n"/>
      <c r="L2" s="2" t="n"/>
      <c r="M2" s="2" t="n"/>
      <c r="N2" s="2" t="n"/>
      <c r="O2" s="2" t="n"/>
      <c r="P2" s="2" t="n"/>
      <c r="Q2" s="2" t="n"/>
      <c r="R2" s="2" t="n"/>
    </row>
    <row r="3" ht="25" customHeight="1">
      <c r="A3" s="3">
        <f>IF(B3="","","DS-"&amp;TEXT(ROW()-1,"0000"))</f>
        <v/>
      </c>
      <c r="B3" s="3" t="n"/>
      <c r="C3" s="3">
        <f>IFERROR(XLOOKUP(B3,'Opportunity Scoring'!$A:$A,'Opportunity Scoring'!$B:$B),"")</f>
        <v/>
      </c>
      <c r="D3" s="3" t="n"/>
      <c r="E3" s="3" t="n"/>
      <c r="F3" s="3">
        <f>IFERROR(XLOOKUP(B3,'Opportunity Scoring'!$A:$A,'Opportunity Scoring'!$D:$D),"")</f>
        <v/>
      </c>
      <c r="G3" s="3" t="n"/>
      <c r="H3" s="3" t="n"/>
      <c r="I3" s="3" t="n"/>
      <c r="J3" s="3" t="n"/>
      <c r="K3" s="3" t="n"/>
      <c r="L3" s="3" t="n"/>
      <c r="M3" s="3" t="n"/>
      <c r="N3" s="3" t="n"/>
      <c r="O3" s="3" t="n"/>
      <c r="P3" s="3" t="n"/>
      <c r="Q3" s="3" t="n"/>
      <c r="R3" s="3" t="n"/>
    </row>
    <row r="4" ht="25" customHeight="1">
      <c r="A4" s="2">
        <f>IF(B4="","","DS-"&amp;TEXT(ROW()-1,"0000"))</f>
        <v/>
      </c>
      <c r="B4" s="2" t="n"/>
      <c r="C4" s="2">
        <f>IFERROR(XLOOKUP(B4,'Opportunity Scoring'!$A:$A,'Opportunity Scoring'!$B:$B),"")</f>
        <v/>
      </c>
      <c r="D4" s="2" t="n"/>
      <c r="E4" s="2" t="n"/>
      <c r="F4" s="2">
        <f>IFERROR(XLOOKUP(B4,'Opportunity Scoring'!$A:$A,'Opportunity Scoring'!$D:$D),"")</f>
        <v/>
      </c>
      <c r="G4" s="2" t="n"/>
      <c r="H4" s="2" t="n"/>
      <c r="I4" s="2" t="n"/>
      <c r="J4" s="2" t="n"/>
      <c r="K4" s="2" t="n"/>
      <c r="L4" s="2" t="n"/>
      <c r="M4" s="2" t="n"/>
      <c r="N4" s="2" t="n"/>
      <c r="O4" s="2" t="n"/>
      <c r="P4" s="2" t="n"/>
      <c r="Q4" s="2" t="n"/>
      <c r="R4" s="2" t="n"/>
    </row>
    <row r="5" ht="25" customHeight="1">
      <c r="A5" s="3">
        <f>IF(B5="","","DS-"&amp;TEXT(ROW()-1,"0000"))</f>
        <v/>
      </c>
      <c r="B5" s="3" t="n"/>
      <c r="C5" s="3">
        <f>IFERROR(XLOOKUP(B5,'Opportunity Scoring'!$A:$A,'Opportunity Scoring'!$B:$B),"")</f>
        <v/>
      </c>
      <c r="D5" s="3" t="n"/>
      <c r="E5" s="3" t="n"/>
      <c r="F5" s="3">
        <f>IFERROR(XLOOKUP(B5,'Opportunity Scoring'!$A:$A,'Opportunity Scoring'!$D:$D),"")</f>
        <v/>
      </c>
      <c r="G5" s="3" t="n"/>
      <c r="H5" s="3" t="n"/>
      <c r="I5" s="3" t="n"/>
      <c r="J5" s="3" t="n"/>
      <c r="K5" s="3" t="n"/>
      <c r="L5" s="3" t="n"/>
      <c r="M5" s="3" t="n"/>
      <c r="N5" s="3" t="n"/>
      <c r="O5" s="3" t="n"/>
      <c r="P5" s="3" t="n"/>
      <c r="Q5" s="3" t="n"/>
      <c r="R5" s="3" t="n"/>
    </row>
    <row r="6" ht="25" customHeight="1">
      <c r="A6" s="2">
        <f>IF(B6="","","DS-"&amp;TEXT(ROW()-1,"0000"))</f>
        <v/>
      </c>
      <c r="B6" s="2" t="n"/>
      <c r="C6" s="2">
        <f>IFERROR(XLOOKUP(B6,'Opportunity Scoring'!$A:$A,'Opportunity Scoring'!$B:$B),"")</f>
        <v/>
      </c>
      <c r="D6" s="2" t="n"/>
      <c r="E6" s="2" t="n"/>
      <c r="F6" s="2">
        <f>IFERROR(XLOOKUP(B6,'Opportunity Scoring'!$A:$A,'Opportunity Scoring'!$D:$D),"")</f>
        <v/>
      </c>
      <c r="G6" s="2" t="n"/>
      <c r="H6" s="2" t="n"/>
      <c r="I6" s="2" t="n"/>
      <c r="J6" s="2" t="n"/>
      <c r="K6" s="2" t="n"/>
      <c r="L6" s="2" t="n"/>
      <c r="M6" s="2" t="n"/>
      <c r="N6" s="2" t="n"/>
      <c r="O6" s="2" t="n"/>
      <c r="P6" s="2" t="n"/>
      <c r="Q6" s="2" t="n"/>
      <c r="R6" s="2" t="n"/>
    </row>
    <row r="7" ht="25" customHeight="1">
      <c r="A7" s="3">
        <f>IF(B7="","","DS-"&amp;TEXT(ROW()-1,"0000"))</f>
        <v/>
      </c>
      <c r="B7" s="3" t="n"/>
      <c r="C7" s="3">
        <f>IFERROR(XLOOKUP(B7,'Opportunity Scoring'!$A:$A,'Opportunity Scoring'!$B:$B),"")</f>
        <v/>
      </c>
      <c r="D7" s="3" t="n"/>
      <c r="E7" s="3" t="n"/>
      <c r="F7" s="3">
        <f>IFERROR(XLOOKUP(B7,'Opportunity Scoring'!$A:$A,'Opportunity Scoring'!$D:$D),"")</f>
        <v/>
      </c>
      <c r="G7" s="3" t="n"/>
      <c r="H7" s="3" t="n"/>
      <c r="I7" s="3" t="n"/>
      <c r="J7" s="3" t="n"/>
      <c r="K7" s="3" t="n"/>
      <c r="L7" s="3" t="n"/>
      <c r="M7" s="3" t="n"/>
      <c r="N7" s="3" t="n"/>
      <c r="O7" s="3" t="n"/>
      <c r="P7" s="3" t="n"/>
      <c r="Q7" s="3" t="n"/>
      <c r="R7" s="3" t="n"/>
    </row>
    <row r="8" ht="25" customHeight="1">
      <c r="A8" s="2">
        <f>IF(B8="","","DS-"&amp;TEXT(ROW()-1,"0000"))</f>
        <v/>
      </c>
      <c r="B8" s="2" t="n"/>
      <c r="C8" s="2">
        <f>IFERROR(XLOOKUP(B8,'Opportunity Scoring'!$A:$A,'Opportunity Scoring'!$B:$B),"")</f>
        <v/>
      </c>
      <c r="D8" s="2" t="n"/>
      <c r="E8" s="2" t="n"/>
      <c r="F8" s="2">
        <f>IFERROR(XLOOKUP(B8,'Opportunity Scoring'!$A:$A,'Opportunity Scoring'!$D:$D),"")</f>
        <v/>
      </c>
      <c r="G8" s="2" t="n"/>
      <c r="H8" s="2" t="n"/>
      <c r="I8" s="2" t="n"/>
      <c r="J8" s="2" t="n"/>
      <c r="K8" s="2" t="n"/>
      <c r="L8" s="2" t="n"/>
      <c r="M8" s="2" t="n"/>
      <c r="N8" s="2" t="n"/>
      <c r="O8" s="2" t="n"/>
      <c r="P8" s="2" t="n"/>
      <c r="Q8" s="2" t="n"/>
      <c r="R8" s="2" t="n"/>
    </row>
    <row r="9" ht="25" customHeight="1">
      <c r="A9" s="3">
        <f>IF(B9="","","DS-"&amp;TEXT(ROW()-1,"0000"))</f>
        <v/>
      </c>
      <c r="B9" s="3" t="n"/>
      <c r="C9" s="3">
        <f>IFERROR(XLOOKUP(B9,'Opportunity Scoring'!$A:$A,'Opportunity Scoring'!$B:$B),"")</f>
        <v/>
      </c>
      <c r="D9" s="3" t="n"/>
      <c r="E9" s="3" t="n"/>
      <c r="F9" s="3">
        <f>IFERROR(XLOOKUP(B9,'Opportunity Scoring'!$A:$A,'Opportunity Scoring'!$D:$D),"")</f>
        <v/>
      </c>
      <c r="G9" s="3" t="n"/>
      <c r="H9" s="3" t="n"/>
      <c r="I9" s="3" t="n"/>
      <c r="J9" s="3" t="n"/>
      <c r="K9" s="3" t="n"/>
      <c r="L9" s="3" t="n"/>
      <c r="M9" s="3" t="n"/>
      <c r="N9" s="3" t="n"/>
      <c r="O9" s="3" t="n"/>
      <c r="P9" s="3" t="n"/>
      <c r="Q9" s="3" t="n"/>
      <c r="R9" s="3" t="n"/>
    </row>
    <row r="10" ht="25" customHeight="1">
      <c r="A10" s="2">
        <f>IF(B10="","","DS-"&amp;TEXT(ROW()-1,"0000"))</f>
        <v/>
      </c>
      <c r="B10" s="2" t="n"/>
      <c r="C10" s="2">
        <f>IFERROR(XLOOKUP(B10,'Opportunity Scoring'!$A:$A,'Opportunity Scoring'!$B:$B),"")</f>
        <v/>
      </c>
      <c r="D10" s="2" t="n"/>
      <c r="E10" s="2" t="n"/>
      <c r="F10" s="2">
        <f>IFERROR(XLOOKUP(B10,'Opportunity Scoring'!$A:$A,'Opportunity Scoring'!$D:$D),"")</f>
        <v/>
      </c>
      <c r="G10" s="2" t="n"/>
      <c r="H10" s="2" t="n"/>
      <c r="I10" s="2" t="n"/>
      <c r="J10" s="2" t="n"/>
      <c r="K10" s="2" t="n"/>
      <c r="L10" s="2" t="n"/>
      <c r="M10" s="2" t="n"/>
      <c r="N10" s="2" t="n"/>
      <c r="O10" s="2" t="n"/>
      <c r="P10" s="2" t="n"/>
      <c r="Q10" s="2" t="n"/>
      <c r="R10" s="2" t="n"/>
    </row>
    <row r="11" ht="25" customHeight="1">
      <c r="A11" s="3">
        <f>IF(B11="","","DS-"&amp;TEXT(ROW()-1,"0000"))</f>
        <v/>
      </c>
      <c r="B11" s="3" t="n"/>
      <c r="C11" s="3">
        <f>IFERROR(XLOOKUP(B11,'Opportunity Scoring'!$A:$A,'Opportunity Scoring'!$B:$B),"")</f>
        <v/>
      </c>
      <c r="D11" s="3" t="n"/>
      <c r="E11" s="3" t="n"/>
      <c r="F11" s="3">
        <f>IFERROR(XLOOKUP(B11,'Opportunity Scoring'!$A:$A,'Opportunity Scoring'!$D:$D),"")</f>
        <v/>
      </c>
      <c r="G11" s="3" t="n"/>
      <c r="H11" s="3" t="n"/>
      <c r="I11" s="3" t="n"/>
      <c r="J11" s="3" t="n"/>
      <c r="K11" s="3" t="n"/>
      <c r="L11" s="3" t="n"/>
      <c r="M11" s="3" t="n"/>
      <c r="N11" s="3" t="n"/>
      <c r="O11" s="3" t="n"/>
      <c r="P11" s="3" t="n"/>
      <c r="Q11" s="3" t="n"/>
      <c r="R11" s="3" t="n"/>
    </row>
    <row r="12" ht="25" customHeight="1">
      <c r="A12" s="2">
        <f>IF(B12="","","DS-"&amp;TEXT(ROW()-1,"0000"))</f>
        <v/>
      </c>
      <c r="B12" s="2" t="n"/>
      <c r="C12" s="2">
        <f>IFERROR(XLOOKUP(B12,'Opportunity Scoring'!$A:$A,'Opportunity Scoring'!$B:$B),"")</f>
        <v/>
      </c>
      <c r="D12" s="2" t="n"/>
      <c r="E12" s="2" t="n"/>
      <c r="F12" s="2">
        <f>IFERROR(XLOOKUP(B12,'Opportunity Scoring'!$A:$A,'Opportunity Scoring'!$D:$D),"")</f>
        <v/>
      </c>
      <c r="G12" s="2" t="n"/>
      <c r="H12" s="2" t="n"/>
      <c r="I12" s="2" t="n"/>
      <c r="J12" s="2" t="n"/>
      <c r="K12" s="2" t="n"/>
      <c r="L12" s="2" t="n"/>
      <c r="M12" s="2" t="n"/>
      <c r="N12" s="2" t="n"/>
      <c r="O12" s="2" t="n"/>
      <c r="P12" s="2" t="n"/>
      <c r="Q12" s="2" t="n"/>
      <c r="R12" s="2" t="n"/>
    </row>
    <row r="13" ht="25" customHeight="1">
      <c r="A13" s="3">
        <f>IF(B13="","","DS-"&amp;TEXT(ROW()-1,"0000"))</f>
        <v/>
      </c>
      <c r="B13" s="3" t="n"/>
      <c r="C13" s="3">
        <f>IFERROR(XLOOKUP(B13,'Opportunity Scoring'!$A:$A,'Opportunity Scoring'!$B:$B),"")</f>
        <v/>
      </c>
      <c r="D13" s="3" t="n"/>
      <c r="E13" s="3" t="n"/>
      <c r="F13" s="3">
        <f>IFERROR(XLOOKUP(B13,'Opportunity Scoring'!$A:$A,'Opportunity Scoring'!$D:$D),"")</f>
        <v/>
      </c>
      <c r="G13" s="3" t="n"/>
      <c r="H13" s="3" t="n"/>
      <c r="I13" s="3" t="n"/>
      <c r="J13" s="3" t="n"/>
      <c r="K13" s="3" t="n"/>
      <c r="L13" s="3" t="n"/>
      <c r="M13" s="3" t="n"/>
      <c r="N13" s="3" t="n"/>
      <c r="O13" s="3" t="n"/>
      <c r="P13" s="3" t="n"/>
      <c r="Q13" s="3" t="n"/>
      <c r="R13" s="3" t="n"/>
    </row>
    <row r="14" ht="25" customHeight="1">
      <c r="A14" s="2">
        <f>IF(B14="","","DS-"&amp;TEXT(ROW()-1,"0000"))</f>
        <v/>
      </c>
      <c r="B14" s="2" t="n"/>
      <c r="C14" s="2">
        <f>IFERROR(XLOOKUP(B14,'Opportunity Scoring'!$A:$A,'Opportunity Scoring'!$B:$B),"")</f>
        <v/>
      </c>
      <c r="D14" s="2" t="n"/>
      <c r="E14" s="2" t="n"/>
      <c r="F14" s="2">
        <f>IFERROR(XLOOKUP(B14,'Opportunity Scoring'!$A:$A,'Opportunity Scoring'!$D:$D),"")</f>
        <v/>
      </c>
      <c r="G14" s="2" t="n"/>
      <c r="H14" s="2" t="n"/>
      <c r="I14" s="2" t="n"/>
      <c r="J14" s="2" t="n"/>
      <c r="K14" s="2" t="n"/>
      <c r="L14" s="2" t="n"/>
      <c r="M14" s="2" t="n"/>
      <c r="N14" s="2" t="n"/>
      <c r="O14" s="2" t="n"/>
      <c r="P14" s="2" t="n"/>
      <c r="Q14" s="2" t="n"/>
      <c r="R14" s="2" t="n"/>
    </row>
    <row r="15" ht="25" customHeight="1">
      <c r="A15" s="3">
        <f>IF(B15="","","DS-"&amp;TEXT(ROW()-1,"0000"))</f>
        <v/>
      </c>
      <c r="B15" s="3" t="n"/>
      <c r="C15" s="3">
        <f>IFERROR(XLOOKUP(B15,'Opportunity Scoring'!$A:$A,'Opportunity Scoring'!$B:$B),"")</f>
        <v/>
      </c>
      <c r="D15" s="3" t="n"/>
      <c r="E15" s="3" t="n"/>
      <c r="F15" s="3">
        <f>IFERROR(XLOOKUP(B15,'Opportunity Scoring'!$A:$A,'Opportunity Scoring'!$D:$D),"")</f>
        <v/>
      </c>
      <c r="G15" s="3" t="n"/>
      <c r="H15" s="3" t="n"/>
      <c r="I15" s="3" t="n"/>
      <c r="J15" s="3" t="n"/>
      <c r="K15" s="3" t="n"/>
      <c r="L15" s="3" t="n"/>
      <c r="M15" s="3" t="n"/>
      <c r="N15" s="3" t="n"/>
      <c r="O15" s="3" t="n"/>
      <c r="P15" s="3" t="n"/>
      <c r="Q15" s="3" t="n"/>
      <c r="R15" s="3" t="n"/>
    </row>
    <row r="16" ht="25" customHeight="1">
      <c r="A16" s="2">
        <f>IF(B16="","","DS-"&amp;TEXT(ROW()-1,"0000"))</f>
        <v/>
      </c>
      <c r="B16" s="2" t="n"/>
      <c r="C16" s="2">
        <f>IFERROR(XLOOKUP(B16,'Opportunity Scoring'!$A:$A,'Opportunity Scoring'!$B:$B),"")</f>
        <v/>
      </c>
      <c r="D16" s="2" t="n"/>
      <c r="E16" s="2" t="n"/>
      <c r="F16" s="2">
        <f>IFERROR(XLOOKUP(B16,'Opportunity Scoring'!$A:$A,'Opportunity Scoring'!$D:$D),"")</f>
        <v/>
      </c>
      <c r="G16" s="2" t="n"/>
      <c r="H16" s="2" t="n"/>
      <c r="I16" s="2" t="n"/>
      <c r="J16" s="2" t="n"/>
      <c r="K16" s="2" t="n"/>
      <c r="L16" s="2" t="n"/>
      <c r="M16" s="2" t="n"/>
      <c r="N16" s="2" t="n"/>
      <c r="O16" s="2" t="n"/>
      <c r="P16" s="2" t="n"/>
      <c r="Q16" s="2" t="n"/>
      <c r="R16" s="2" t="n"/>
    </row>
    <row r="17" ht="25" customHeight="1">
      <c r="A17" s="3">
        <f>IF(B17="","","DS-"&amp;TEXT(ROW()-1,"0000"))</f>
        <v/>
      </c>
      <c r="B17" s="3" t="n"/>
      <c r="C17" s="3">
        <f>IFERROR(XLOOKUP(B17,'Opportunity Scoring'!$A:$A,'Opportunity Scoring'!$B:$B),"")</f>
        <v/>
      </c>
      <c r="D17" s="3" t="n"/>
      <c r="E17" s="3" t="n"/>
      <c r="F17" s="3">
        <f>IFERROR(XLOOKUP(B17,'Opportunity Scoring'!$A:$A,'Opportunity Scoring'!$D:$D),"")</f>
        <v/>
      </c>
      <c r="G17" s="3" t="n"/>
      <c r="H17" s="3" t="n"/>
      <c r="I17" s="3" t="n"/>
      <c r="J17" s="3" t="n"/>
      <c r="K17" s="3" t="n"/>
      <c r="L17" s="3" t="n"/>
      <c r="M17" s="3" t="n"/>
      <c r="N17" s="3" t="n"/>
      <c r="O17" s="3" t="n"/>
      <c r="P17" s="3" t="n"/>
      <c r="Q17" s="3" t="n"/>
      <c r="R17" s="3" t="n"/>
    </row>
    <row r="18" ht="25" customHeight="1">
      <c r="A18" s="2">
        <f>IF(B18="","","DS-"&amp;TEXT(ROW()-1,"0000"))</f>
        <v/>
      </c>
      <c r="B18" s="2" t="n"/>
      <c r="C18" s="2">
        <f>IFERROR(XLOOKUP(B18,'Opportunity Scoring'!$A:$A,'Opportunity Scoring'!$B:$B),"")</f>
        <v/>
      </c>
      <c r="D18" s="2" t="n"/>
      <c r="E18" s="2" t="n"/>
      <c r="F18" s="2">
        <f>IFERROR(XLOOKUP(B18,'Opportunity Scoring'!$A:$A,'Opportunity Scoring'!$D:$D),"")</f>
        <v/>
      </c>
      <c r="G18" s="2" t="n"/>
      <c r="H18" s="2" t="n"/>
      <c r="I18" s="2" t="n"/>
      <c r="J18" s="2" t="n"/>
      <c r="K18" s="2" t="n"/>
      <c r="L18" s="2" t="n"/>
      <c r="M18" s="2" t="n"/>
      <c r="N18" s="2" t="n"/>
      <c r="O18" s="2" t="n"/>
      <c r="P18" s="2" t="n"/>
      <c r="Q18" s="2" t="n"/>
      <c r="R18" s="2" t="n"/>
    </row>
    <row r="19" ht="25" customHeight="1">
      <c r="A19" s="3">
        <f>IF(B19="","","DS-"&amp;TEXT(ROW()-1,"0000"))</f>
        <v/>
      </c>
      <c r="B19" s="3" t="n"/>
      <c r="C19" s="3">
        <f>IFERROR(XLOOKUP(B19,'Opportunity Scoring'!$A:$A,'Opportunity Scoring'!$B:$B),"")</f>
        <v/>
      </c>
      <c r="D19" s="3" t="n"/>
      <c r="E19" s="3" t="n"/>
      <c r="F19" s="3">
        <f>IFERROR(XLOOKUP(B19,'Opportunity Scoring'!$A:$A,'Opportunity Scoring'!$D:$D),"")</f>
        <v/>
      </c>
      <c r="G19" s="3" t="n"/>
      <c r="H19" s="3" t="n"/>
      <c r="I19" s="3" t="n"/>
      <c r="J19" s="3" t="n"/>
      <c r="K19" s="3" t="n"/>
      <c r="L19" s="3" t="n"/>
      <c r="M19" s="3" t="n"/>
      <c r="N19" s="3" t="n"/>
      <c r="O19" s="3" t="n"/>
      <c r="P19" s="3" t="n"/>
      <c r="Q19" s="3" t="n"/>
      <c r="R19" s="3" t="n"/>
    </row>
    <row r="20" ht="25" customHeight="1">
      <c r="A20" s="2">
        <f>IF(B20="","","DS-"&amp;TEXT(ROW()-1,"0000"))</f>
        <v/>
      </c>
      <c r="B20" s="2" t="n"/>
      <c r="C20" s="2">
        <f>IFERROR(XLOOKUP(B20,'Opportunity Scoring'!$A:$A,'Opportunity Scoring'!$B:$B),"")</f>
        <v/>
      </c>
      <c r="D20" s="2" t="n"/>
      <c r="E20" s="2" t="n"/>
      <c r="F20" s="2">
        <f>IFERROR(XLOOKUP(B20,'Opportunity Scoring'!$A:$A,'Opportunity Scoring'!$D:$D),"")</f>
        <v/>
      </c>
      <c r="G20" s="2" t="n"/>
      <c r="H20" s="2" t="n"/>
      <c r="I20" s="2" t="n"/>
      <c r="J20" s="2" t="n"/>
      <c r="K20" s="2" t="n"/>
      <c r="L20" s="2" t="n"/>
      <c r="M20" s="2" t="n"/>
      <c r="N20" s="2" t="n"/>
      <c r="O20" s="2" t="n"/>
      <c r="P20" s="2" t="n"/>
      <c r="Q20" s="2" t="n"/>
      <c r="R20" s="2" t="n"/>
    </row>
    <row r="21" ht="25" customHeight="1">
      <c r="A21" s="3">
        <f>IF(B21="","","DS-"&amp;TEXT(ROW()-1,"0000"))</f>
        <v/>
      </c>
      <c r="B21" s="3" t="n"/>
      <c r="C21" s="3">
        <f>IFERROR(XLOOKUP(B21,'Opportunity Scoring'!$A:$A,'Opportunity Scoring'!$B:$B),"")</f>
        <v/>
      </c>
      <c r="D21" s="3" t="n"/>
      <c r="E21" s="3" t="n"/>
      <c r="F21" s="3">
        <f>IFERROR(XLOOKUP(B21,'Opportunity Scoring'!$A:$A,'Opportunity Scoring'!$D:$D),"")</f>
        <v/>
      </c>
      <c r="G21" s="3" t="n"/>
      <c r="H21" s="3" t="n"/>
      <c r="I21" s="3" t="n"/>
      <c r="J21" s="3" t="n"/>
      <c r="K21" s="3" t="n"/>
      <c r="L21" s="3" t="n"/>
      <c r="M21" s="3" t="n"/>
      <c r="N21" s="3" t="n"/>
      <c r="O21" s="3" t="n"/>
      <c r="P21" s="3" t="n"/>
      <c r="Q21" s="3" t="n"/>
      <c r="R21" s="3" t="n"/>
    </row>
    <row r="22" ht="25" customHeight="1">
      <c r="A22" s="2">
        <f>IF(B22="","","DS-"&amp;TEXT(ROW()-1,"0000"))</f>
        <v/>
      </c>
      <c r="B22" s="2" t="n"/>
      <c r="C22" s="2">
        <f>IFERROR(XLOOKUP(B22,'Opportunity Scoring'!$A:$A,'Opportunity Scoring'!$B:$B),"")</f>
        <v/>
      </c>
      <c r="D22" s="2" t="n"/>
      <c r="E22" s="2" t="n"/>
      <c r="F22" s="2">
        <f>IFERROR(XLOOKUP(B22,'Opportunity Scoring'!$A:$A,'Opportunity Scoring'!$D:$D),"")</f>
        <v/>
      </c>
      <c r="G22" s="2" t="n"/>
      <c r="H22" s="2" t="n"/>
      <c r="I22" s="2" t="n"/>
      <c r="J22" s="2" t="n"/>
      <c r="K22" s="2" t="n"/>
      <c r="L22" s="2" t="n"/>
      <c r="M22" s="2" t="n"/>
      <c r="N22" s="2" t="n"/>
      <c r="O22" s="2" t="n"/>
      <c r="P22" s="2" t="n"/>
      <c r="Q22" s="2" t="n"/>
      <c r="R22" s="2" t="n"/>
    </row>
    <row r="23" ht="25" customHeight="1">
      <c r="A23" s="3">
        <f>IF(B23="","","DS-"&amp;TEXT(ROW()-1,"0000"))</f>
        <v/>
      </c>
      <c r="B23" s="3" t="n"/>
      <c r="C23" s="3">
        <f>IFERROR(XLOOKUP(B23,'Opportunity Scoring'!$A:$A,'Opportunity Scoring'!$B:$B),"")</f>
        <v/>
      </c>
      <c r="D23" s="3" t="n"/>
      <c r="E23" s="3" t="n"/>
      <c r="F23" s="3">
        <f>IFERROR(XLOOKUP(B23,'Opportunity Scoring'!$A:$A,'Opportunity Scoring'!$D:$D),"")</f>
        <v/>
      </c>
      <c r="G23" s="3" t="n"/>
      <c r="H23" s="3" t="n"/>
      <c r="I23" s="3" t="n"/>
      <c r="J23" s="3" t="n"/>
      <c r="K23" s="3" t="n"/>
      <c r="L23" s="3" t="n"/>
      <c r="M23" s="3" t="n"/>
      <c r="N23" s="3" t="n"/>
      <c r="O23" s="3" t="n"/>
      <c r="P23" s="3" t="n"/>
      <c r="Q23" s="3" t="n"/>
      <c r="R23" s="3" t="n"/>
    </row>
    <row r="24" ht="25" customHeight="1">
      <c r="A24" s="2">
        <f>IF(B24="","","DS-"&amp;TEXT(ROW()-1,"0000"))</f>
        <v/>
      </c>
      <c r="B24" s="2" t="n"/>
      <c r="C24" s="2">
        <f>IFERROR(XLOOKUP(B24,'Opportunity Scoring'!$A:$A,'Opportunity Scoring'!$B:$B),"")</f>
        <v/>
      </c>
      <c r="D24" s="2" t="n"/>
      <c r="E24" s="2" t="n"/>
      <c r="F24" s="2">
        <f>IFERROR(XLOOKUP(B24,'Opportunity Scoring'!$A:$A,'Opportunity Scoring'!$D:$D),"")</f>
        <v/>
      </c>
      <c r="G24" s="2" t="n"/>
      <c r="H24" s="2" t="n"/>
      <c r="I24" s="2" t="n"/>
      <c r="J24" s="2" t="n"/>
      <c r="K24" s="2" t="n"/>
      <c r="L24" s="2" t="n"/>
      <c r="M24" s="2" t="n"/>
      <c r="N24" s="2" t="n"/>
      <c r="O24" s="2" t="n"/>
      <c r="P24" s="2" t="n"/>
      <c r="Q24" s="2" t="n"/>
      <c r="R24" s="2" t="n"/>
    </row>
    <row r="25" ht="25" customHeight="1">
      <c r="A25" s="3">
        <f>IF(B25="","","DS-"&amp;TEXT(ROW()-1,"0000"))</f>
        <v/>
      </c>
      <c r="B25" s="3" t="n"/>
      <c r="C25" s="3">
        <f>IFERROR(XLOOKUP(B25,'Opportunity Scoring'!$A:$A,'Opportunity Scoring'!$B:$B),"")</f>
        <v/>
      </c>
      <c r="D25" s="3" t="n"/>
      <c r="E25" s="3" t="n"/>
      <c r="F25" s="3">
        <f>IFERROR(XLOOKUP(B25,'Opportunity Scoring'!$A:$A,'Opportunity Scoring'!$D:$D),"")</f>
        <v/>
      </c>
      <c r="G25" s="3" t="n"/>
      <c r="H25" s="3" t="n"/>
      <c r="I25" s="3" t="n"/>
      <c r="J25" s="3" t="n"/>
      <c r="K25" s="3" t="n"/>
      <c r="L25" s="3" t="n"/>
      <c r="M25" s="3" t="n"/>
      <c r="N25" s="3" t="n"/>
      <c r="O25" s="3" t="n"/>
      <c r="P25" s="3" t="n"/>
      <c r="Q25" s="3" t="n"/>
      <c r="R25" s="3" t="n"/>
    </row>
    <row r="26" ht="25" customHeight="1">
      <c r="A26" s="2">
        <f>IF(B26="","","DS-"&amp;TEXT(ROW()-1,"0000"))</f>
        <v/>
      </c>
      <c r="B26" s="2" t="n"/>
      <c r="C26" s="2">
        <f>IFERROR(XLOOKUP(B26,'Opportunity Scoring'!$A:$A,'Opportunity Scoring'!$B:$B),"")</f>
        <v/>
      </c>
      <c r="D26" s="2" t="n"/>
      <c r="E26" s="2" t="n"/>
      <c r="F26" s="2">
        <f>IFERROR(XLOOKUP(B26,'Opportunity Scoring'!$A:$A,'Opportunity Scoring'!$D:$D),"")</f>
        <v/>
      </c>
      <c r="G26" s="2" t="n"/>
      <c r="H26" s="2" t="n"/>
      <c r="I26" s="2" t="n"/>
      <c r="J26" s="2" t="n"/>
      <c r="K26" s="2" t="n"/>
      <c r="L26" s="2" t="n"/>
      <c r="M26" s="2" t="n"/>
      <c r="N26" s="2" t="n"/>
      <c r="O26" s="2" t="n"/>
      <c r="P26" s="2" t="n"/>
      <c r="Q26" s="2" t="n"/>
      <c r="R26" s="2" t="n"/>
    </row>
    <row r="27" ht="25" customHeight="1">
      <c r="A27" s="3">
        <f>IF(B27="","","DS-"&amp;TEXT(ROW()-1,"0000"))</f>
        <v/>
      </c>
      <c r="B27" s="3" t="n"/>
      <c r="C27" s="3">
        <f>IFERROR(XLOOKUP(B27,'Opportunity Scoring'!$A:$A,'Opportunity Scoring'!$B:$B),"")</f>
        <v/>
      </c>
      <c r="D27" s="3" t="n"/>
      <c r="E27" s="3" t="n"/>
      <c r="F27" s="3">
        <f>IFERROR(XLOOKUP(B27,'Opportunity Scoring'!$A:$A,'Opportunity Scoring'!$D:$D),"")</f>
        <v/>
      </c>
      <c r="G27" s="3" t="n"/>
      <c r="H27" s="3" t="n"/>
      <c r="I27" s="3" t="n"/>
      <c r="J27" s="3" t="n"/>
      <c r="K27" s="3" t="n"/>
      <c r="L27" s="3" t="n"/>
      <c r="M27" s="3" t="n"/>
      <c r="N27" s="3" t="n"/>
      <c r="O27" s="3" t="n"/>
      <c r="P27" s="3" t="n"/>
      <c r="Q27" s="3" t="n"/>
      <c r="R27" s="3" t="n"/>
    </row>
    <row r="28" ht="25" customHeight="1">
      <c r="A28" s="2">
        <f>IF(B28="","","DS-"&amp;TEXT(ROW()-1,"0000"))</f>
        <v/>
      </c>
      <c r="B28" s="2" t="n"/>
      <c r="C28" s="2">
        <f>IFERROR(XLOOKUP(B28,'Opportunity Scoring'!$A:$A,'Opportunity Scoring'!$B:$B),"")</f>
        <v/>
      </c>
      <c r="D28" s="2" t="n"/>
      <c r="E28" s="2" t="n"/>
      <c r="F28" s="2">
        <f>IFERROR(XLOOKUP(B28,'Opportunity Scoring'!$A:$A,'Opportunity Scoring'!$D:$D),"")</f>
        <v/>
      </c>
      <c r="G28" s="2" t="n"/>
      <c r="H28" s="2" t="n"/>
      <c r="I28" s="2" t="n"/>
      <c r="J28" s="2" t="n"/>
      <c r="K28" s="2" t="n"/>
      <c r="L28" s="2" t="n"/>
      <c r="M28" s="2" t="n"/>
      <c r="N28" s="2" t="n"/>
      <c r="O28" s="2" t="n"/>
      <c r="P28" s="2" t="n"/>
      <c r="Q28" s="2" t="n"/>
      <c r="R28" s="2" t="n"/>
    </row>
    <row r="29" ht="25" customHeight="1">
      <c r="A29" s="3">
        <f>IF(B29="","","DS-"&amp;TEXT(ROW()-1,"0000"))</f>
        <v/>
      </c>
      <c r="B29" s="3" t="n"/>
      <c r="C29" s="3">
        <f>IFERROR(XLOOKUP(B29,'Opportunity Scoring'!$A:$A,'Opportunity Scoring'!$B:$B),"")</f>
        <v/>
      </c>
      <c r="D29" s="3" t="n"/>
      <c r="E29" s="3" t="n"/>
      <c r="F29" s="3">
        <f>IFERROR(XLOOKUP(B29,'Opportunity Scoring'!$A:$A,'Opportunity Scoring'!$D:$D),"")</f>
        <v/>
      </c>
      <c r="G29" s="3" t="n"/>
      <c r="H29" s="3" t="n"/>
      <c r="I29" s="3" t="n"/>
      <c r="J29" s="3" t="n"/>
      <c r="K29" s="3" t="n"/>
      <c r="L29" s="3" t="n"/>
      <c r="M29" s="3" t="n"/>
      <c r="N29" s="3" t="n"/>
      <c r="O29" s="3" t="n"/>
      <c r="P29" s="3" t="n"/>
      <c r="Q29" s="3" t="n"/>
      <c r="R29" s="3" t="n"/>
    </row>
    <row r="30" ht="25" customHeight="1">
      <c r="A30" s="2">
        <f>IF(B30="","","DS-"&amp;TEXT(ROW()-1,"0000"))</f>
        <v/>
      </c>
      <c r="B30" s="2" t="n"/>
      <c r="C30" s="2">
        <f>IFERROR(XLOOKUP(B30,'Opportunity Scoring'!$A:$A,'Opportunity Scoring'!$B:$B),"")</f>
        <v/>
      </c>
      <c r="D30" s="2" t="n"/>
      <c r="E30" s="2" t="n"/>
      <c r="F30" s="2">
        <f>IFERROR(XLOOKUP(B30,'Opportunity Scoring'!$A:$A,'Opportunity Scoring'!$D:$D),"")</f>
        <v/>
      </c>
      <c r="G30" s="2" t="n"/>
      <c r="H30" s="2" t="n"/>
      <c r="I30" s="2" t="n"/>
      <c r="J30" s="2" t="n"/>
      <c r="K30" s="2" t="n"/>
      <c r="L30" s="2" t="n"/>
      <c r="M30" s="2" t="n"/>
      <c r="N30" s="2" t="n"/>
      <c r="O30" s="2" t="n"/>
      <c r="P30" s="2" t="n"/>
      <c r="Q30" s="2" t="n"/>
      <c r="R30" s="2" t="n"/>
    </row>
    <row r="31" ht="25" customHeight="1">
      <c r="A31" s="3">
        <f>IF(B31="","","DS-"&amp;TEXT(ROW()-1,"0000"))</f>
        <v/>
      </c>
      <c r="B31" s="3" t="n"/>
      <c r="C31" s="3">
        <f>IFERROR(XLOOKUP(B31,'Opportunity Scoring'!$A:$A,'Opportunity Scoring'!$B:$B),"")</f>
        <v/>
      </c>
      <c r="D31" s="3" t="n"/>
      <c r="E31" s="3" t="n"/>
      <c r="F31" s="3">
        <f>IFERROR(XLOOKUP(B31,'Opportunity Scoring'!$A:$A,'Opportunity Scoring'!$D:$D),"")</f>
        <v/>
      </c>
      <c r="G31" s="3" t="n"/>
      <c r="H31" s="3" t="n"/>
      <c r="I31" s="3" t="n"/>
      <c r="J31" s="3" t="n"/>
      <c r="K31" s="3" t="n"/>
      <c r="L31" s="3" t="n"/>
      <c r="M31" s="3" t="n"/>
      <c r="N31" s="3" t="n"/>
      <c r="O31" s="3" t="n"/>
      <c r="P31" s="3" t="n"/>
      <c r="Q31" s="3" t="n"/>
      <c r="R31" s="3" t="n"/>
    </row>
    <row r="32" ht="25" customHeight="1">
      <c r="A32" s="2">
        <f>IF(B32="","","DS-"&amp;TEXT(ROW()-1,"0000"))</f>
        <v/>
      </c>
      <c r="B32" s="2" t="n"/>
      <c r="C32" s="2">
        <f>IFERROR(XLOOKUP(B32,'Opportunity Scoring'!$A:$A,'Opportunity Scoring'!$B:$B),"")</f>
        <v/>
      </c>
      <c r="D32" s="2" t="n"/>
      <c r="E32" s="2" t="n"/>
      <c r="F32" s="2">
        <f>IFERROR(XLOOKUP(B32,'Opportunity Scoring'!$A:$A,'Opportunity Scoring'!$D:$D),"")</f>
        <v/>
      </c>
      <c r="G32" s="2" t="n"/>
      <c r="H32" s="2" t="n"/>
      <c r="I32" s="2" t="n"/>
      <c r="J32" s="2" t="n"/>
      <c r="K32" s="2" t="n"/>
      <c r="L32" s="2" t="n"/>
      <c r="M32" s="2" t="n"/>
      <c r="N32" s="2" t="n"/>
      <c r="O32" s="2" t="n"/>
      <c r="P32" s="2" t="n"/>
      <c r="Q32" s="2" t="n"/>
      <c r="R32" s="2" t="n"/>
    </row>
    <row r="33" ht="25" customHeight="1">
      <c r="A33" s="3">
        <f>IF(B33="","","DS-"&amp;TEXT(ROW()-1,"0000"))</f>
        <v/>
      </c>
      <c r="B33" s="3" t="n"/>
      <c r="C33" s="3">
        <f>IFERROR(XLOOKUP(B33,'Opportunity Scoring'!$A:$A,'Opportunity Scoring'!$B:$B),"")</f>
        <v/>
      </c>
      <c r="D33" s="3" t="n"/>
      <c r="E33" s="3" t="n"/>
      <c r="F33" s="3">
        <f>IFERROR(XLOOKUP(B33,'Opportunity Scoring'!$A:$A,'Opportunity Scoring'!$D:$D),"")</f>
        <v/>
      </c>
      <c r="G33" s="3" t="n"/>
      <c r="H33" s="3" t="n"/>
      <c r="I33" s="3" t="n"/>
      <c r="J33" s="3" t="n"/>
      <c r="K33" s="3" t="n"/>
      <c r="L33" s="3" t="n"/>
      <c r="M33" s="3" t="n"/>
      <c r="N33" s="3" t="n"/>
      <c r="O33" s="3" t="n"/>
      <c r="P33" s="3" t="n"/>
      <c r="Q33" s="3" t="n"/>
      <c r="R33" s="3" t="n"/>
    </row>
    <row r="34" ht="25" customHeight="1">
      <c r="A34" s="2">
        <f>IF(B34="","","DS-"&amp;TEXT(ROW()-1,"0000"))</f>
        <v/>
      </c>
      <c r="B34" s="2" t="n"/>
      <c r="C34" s="2">
        <f>IFERROR(XLOOKUP(B34,'Opportunity Scoring'!$A:$A,'Opportunity Scoring'!$B:$B),"")</f>
        <v/>
      </c>
      <c r="D34" s="2" t="n"/>
      <c r="E34" s="2" t="n"/>
      <c r="F34" s="2">
        <f>IFERROR(XLOOKUP(B34,'Opportunity Scoring'!$A:$A,'Opportunity Scoring'!$D:$D),"")</f>
        <v/>
      </c>
      <c r="G34" s="2" t="n"/>
      <c r="H34" s="2" t="n"/>
      <c r="I34" s="2" t="n"/>
      <c r="J34" s="2" t="n"/>
      <c r="K34" s="2" t="n"/>
      <c r="L34" s="2" t="n"/>
      <c r="M34" s="2" t="n"/>
      <c r="N34" s="2" t="n"/>
      <c r="O34" s="2" t="n"/>
      <c r="P34" s="2" t="n"/>
      <c r="Q34" s="2" t="n"/>
      <c r="R34" s="2" t="n"/>
    </row>
    <row r="35" ht="25" customHeight="1">
      <c r="A35" s="3">
        <f>IF(B35="","","DS-"&amp;TEXT(ROW()-1,"0000"))</f>
        <v/>
      </c>
      <c r="B35" s="3" t="n"/>
      <c r="C35" s="3">
        <f>IFERROR(XLOOKUP(B35,'Opportunity Scoring'!$A:$A,'Opportunity Scoring'!$B:$B),"")</f>
        <v/>
      </c>
      <c r="D35" s="3" t="n"/>
      <c r="E35" s="3" t="n"/>
      <c r="F35" s="3">
        <f>IFERROR(XLOOKUP(B35,'Opportunity Scoring'!$A:$A,'Opportunity Scoring'!$D:$D),"")</f>
        <v/>
      </c>
      <c r="G35" s="3" t="n"/>
      <c r="H35" s="3" t="n"/>
      <c r="I35" s="3" t="n"/>
      <c r="J35" s="3" t="n"/>
      <c r="K35" s="3" t="n"/>
      <c r="L35" s="3" t="n"/>
      <c r="M35" s="3" t="n"/>
      <c r="N35" s="3" t="n"/>
      <c r="O35" s="3" t="n"/>
      <c r="P35" s="3" t="n"/>
      <c r="Q35" s="3" t="n"/>
      <c r="R35" s="3" t="n"/>
    </row>
    <row r="36" ht="25" customHeight="1">
      <c r="A36" s="2">
        <f>IF(B36="","","DS-"&amp;TEXT(ROW()-1,"0000"))</f>
        <v/>
      </c>
      <c r="B36" s="2" t="n"/>
      <c r="C36" s="2">
        <f>IFERROR(XLOOKUP(B36,'Opportunity Scoring'!$A:$A,'Opportunity Scoring'!$B:$B),"")</f>
        <v/>
      </c>
      <c r="D36" s="2" t="n"/>
      <c r="E36" s="2" t="n"/>
      <c r="F36" s="2">
        <f>IFERROR(XLOOKUP(B36,'Opportunity Scoring'!$A:$A,'Opportunity Scoring'!$D:$D),"")</f>
        <v/>
      </c>
      <c r="G36" s="2" t="n"/>
      <c r="H36" s="2" t="n"/>
      <c r="I36" s="2" t="n"/>
      <c r="J36" s="2" t="n"/>
      <c r="K36" s="2" t="n"/>
      <c r="L36" s="2" t="n"/>
      <c r="M36" s="2" t="n"/>
      <c r="N36" s="2" t="n"/>
      <c r="O36" s="2" t="n"/>
      <c r="P36" s="2" t="n"/>
      <c r="Q36" s="2" t="n"/>
      <c r="R36" s="2" t="n"/>
    </row>
    <row r="37" ht="25" customHeight="1">
      <c r="A37" s="3">
        <f>IF(B37="","","DS-"&amp;TEXT(ROW()-1,"0000"))</f>
        <v/>
      </c>
      <c r="B37" s="3" t="n"/>
      <c r="C37" s="3">
        <f>IFERROR(XLOOKUP(B37,'Opportunity Scoring'!$A:$A,'Opportunity Scoring'!$B:$B),"")</f>
        <v/>
      </c>
      <c r="D37" s="3" t="n"/>
      <c r="E37" s="3" t="n"/>
      <c r="F37" s="3">
        <f>IFERROR(XLOOKUP(B37,'Opportunity Scoring'!$A:$A,'Opportunity Scoring'!$D:$D),"")</f>
        <v/>
      </c>
      <c r="G37" s="3" t="n"/>
      <c r="H37" s="3" t="n"/>
      <c r="I37" s="3" t="n"/>
      <c r="J37" s="3" t="n"/>
      <c r="K37" s="3" t="n"/>
      <c r="L37" s="3" t="n"/>
      <c r="M37" s="3" t="n"/>
      <c r="N37" s="3" t="n"/>
      <c r="O37" s="3" t="n"/>
      <c r="P37" s="3" t="n"/>
      <c r="Q37" s="3" t="n"/>
      <c r="R37" s="3" t="n"/>
    </row>
    <row r="38" ht="25" customHeight="1">
      <c r="A38" s="2">
        <f>IF(B38="","","DS-"&amp;TEXT(ROW()-1,"0000"))</f>
        <v/>
      </c>
      <c r="B38" s="2" t="n"/>
      <c r="C38" s="2">
        <f>IFERROR(XLOOKUP(B38,'Opportunity Scoring'!$A:$A,'Opportunity Scoring'!$B:$B),"")</f>
        <v/>
      </c>
      <c r="D38" s="2" t="n"/>
      <c r="E38" s="2" t="n"/>
      <c r="F38" s="2">
        <f>IFERROR(XLOOKUP(B38,'Opportunity Scoring'!$A:$A,'Opportunity Scoring'!$D:$D),"")</f>
        <v/>
      </c>
      <c r="G38" s="2" t="n"/>
      <c r="H38" s="2" t="n"/>
      <c r="I38" s="2" t="n"/>
      <c r="J38" s="2" t="n"/>
      <c r="K38" s="2" t="n"/>
      <c r="L38" s="2" t="n"/>
      <c r="M38" s="2" t="n"/>
      <c r="N38" s="2" t="n"/>
      <c r="O38" s="2" t="n"/>
      <c r="P38" s="2" t="n"/>
      <c r="Q38" s="2" t="n"/>
      <c r="R38" s="2" t="n"/>
    </row>
    <row r="39" ht="25" customHeight="1">
      <c r="A39" s="3">
        <f>IF(B39="","","DS-"&amp;TEXT(ROW()-1,"0000"))</f>
        <v/>
      </c>
      <c r="B39" s="3" t="n"/>
      <c r="C39" s="3">
        <f>IFERROR(XLOOKUP(B39,'Opportunity Scoring'!$A:$A,'Opportunity Scoring'!$B:$B),"")</f>
        <v/>
      </c>
      <c r="D39" s="3" t="n"/>
      <c r="E39" s="3" t="n"/>
      <c r="F39" s="3">
        <f>IFERROR(XLOOKUP(B39,'Opportunity Scoring'!$A:$A,'Opportunity Scoring'!$D:$D),"")</f>
        <v/>
      </c>
      <c r="G39" s="3" t="n"/>
      <c r="H39" s="3" t="n"/>
      <c r="I39" s="3" t="n"/>
      <c r="J39" s="3" t="n"/>
      <c r="K39" s="3" t="n"/>
      <c r="L39" s="3" t="n"/>
      <c r="M39" s="3" t="n"/>
      <c r="N39" s="3" t="n"/>
      <c r="O39" s="3" t="n"/>
      <c r="P39" s="3" t="n"/>
      <c r="Q39" s="3" t="n"/>
      <c r="R39" s="3" t="n"/>
    </row>
    <row r="40" ht="25" customHeight="1">
      <c r="A40" s="2">
        <f>IF(B40="","","DS-"&amp;TEXT(ROW()-1,"0000"))</f>
        <v/>
      </c>
      <c r="B40" s="2" t="n"/>
      <c r="C40" s="2">
        <f>IFERROR(XLOOKUP(B40,'Opportunity Scoring'!$A:$A,'Opportunity Scoring'!$B:$B),"")</f>
        <v/>
      </c>
      <c r="D40" s="2" t="n"/>
      <c r="E40" s="2" t="n"/>
      <c r="F40" s="2">
        <f>IFERROR(XLOOKUP(B40,'Opportunity Scoring'!$A:$A,'Opportunity Scoring'!$D:$D),"")</f>
        <v/>
      </c>
      <c r="G40" s="2" t="n"/>
      <c r="H40" s="2" t="n"/>
      <c r="I40" s="2" t="n"/>
      <c r="J40" s="2" t="n"/>
      <c r="K40" s="2" t="n"/>
      <c r="L40" s="2" t="n"/>
      <c r="M40" s="2" t="n"/>
      <c r="N40" s="2" t="n"/>
      <c r="O40" s="2" t="n"/>
      <c r="P40" s="2" t="n"/>
      <c r="Q40" s="2" t="n"/>
      <c r="R40" s="2" t="n"/>
    </row>
    <row r="41" ht="25" customHeight="1">
      <c r="A41" s="3">
        <f>IF(B41="","","DS-"&amp;TEXT(ROW()-1,"0000"))</f>
        <v/>
      </c>
      <c r="B41" s="3" t="n"/>
      <c r="C41" s="3">
        <f>IFERROR(XLOOKUP(B41,'Opportunity Scoring'!$A:$A,'Opportunity Scoring'!$B:$B),"")</f>
        <v/>
      </c>
      <c r="D41" s="3" t="n"/>
      <c r="E41" s="3" t="n"/>
      <c r="F41" s="3">
        <f>IFERROR(XLOOKUP(B41,'Opportunity Scoring'!$A:$A,'Opportunity Scoring'!$D:$D),"")</f>
        <v/>
      </c>
      <c r="G41" s="3" t="n"/>
      <c r="H41" s="3" t="n"/>
      <c r="I41" s="3" t="n"/>
      <c r="J41" s="3" t="n"/>
      <c r="K41" s="3" t="n"/>
      <c r="L41" s="3" t="n"/>
      <c r="M41" s="3" t="n"/>
      <c r="N41" s="3" t="n"/>
      <c r="O41" s="3" t="n"/>
      <c r="P41" s="3" t="n"/>
      <c r="Q41" s="3" t="n"/>
      <c r="R41" s="3" t="n"/>
    </row>
    <row r="42" ht="25" customHeight="1">
      <c r="A42" s="2">
        <f>IF(B42="","","DS-"&amp;TEXT(ROW()-1,"0000"))</f>
        <v/>
      </c>
      <c r="B42" s="2" t="n"/>
      <c r="C42" s="2">
        <f>IFERROR(XLOOKUP(B42,'Opportunity Scoring'!$A:$A,'Opportunity Scoring'!$B:$B),"")</f>
        <v/>
      </c>
      <c r="D42" s="2" t="n"/>
      <c r="E42" s="2" t="n"/>
      <c r="F42" s="2">
        <f>IFERROR(XLOOKUP(B42,'Opportunity Scoring'!$A:$A,'Opportunity Scoring'!$D:$D),"")</f>
        <v/>
      </c>
      <c r="G42" s="2" t="n"/>
      <c r="H42" s="2" t="n"/>
      <c r="I42" s="2" t="n"/>
      <c r="J42" s="2" t="n"/>
      <c r="K42" s="2" t="n"/>
      <c r="L42" s="2" t="n"/>
      <c r="M42" s="2" t="n"/>
      <c r="N42" s="2" t="n"/>
      <c r="O42" s="2" t="n"/>
      <c r="P42" s="2" t="n"/>
      <c r="Q42" s="2" t="n"/>
      <c r="R42" s="2" t="n"/>
    </row>
    <row r="43" ht="25" customHeight="1">
      <c r="A43" s="3">
        <f>IF(B43="","","DS-"&amp;TEXT(ROW()-1,"0000"))</f>
        <v/>
      </c>
      <c r="B43" s="3" t="n"/>
      <c r="C43" s="3">
        <f>IFERROR(XLOOKUP(B43,'Opportunity Scoring'!$A:$A,'Opportunity Scoring'!$B:$B),"")</f>
        <v/>
      </c>
      <c r="D43" s="3" t="n"/>
      <c r="E43" s="3" t="n"/>
      <c r="F43" s="3">
        <f>IFERROR(XLOOKUP(B43,'Opportunity Scoring'!$A:$A,'Opportunity Scoring'!$D:$D),"")</f>
        <v/>
      </c>
      <c r="G43" s="3" t="n"/>
      <c r="H43" s="3" t="n"/>
      <c r="I43" s="3" t="n"/>
      <c r="J43" s="3" t="n"/>
      <c r="K43" s="3" t="n"/>
      <c r="L43" s="3" t="n"/>
      <c r="M43" s="3" t="n"/>
      <c r="N43" s="3" t="n"/>
      <c r="O43" s="3" t="n"/>
      <c r="P43" s="3" t="n"/>
      <c r="Q43" s="3" t="n"/>
      <c r="R43" s="3" t="n"/>
    </row>
    <row r="44" ht="25" customHeight="1">
      <c r="A44" s="2">
        <f>IF(B44="","","DS-"&amp;TEXT(ROW()-1,"0000"))</f>
        <v/>
      </c>
      <c r="B44" s="2" t="n"/>
      <c r="C44" s="2">
        <f>IFERROR(XLOOKUP(B44,'Opportunity Scoring'!$A:$A,'Opportunity Scoring'!$B:$B),"")</f>
        <v/>
      </c>
      <c r="D44" s="2" t="n"/>
      <c r="E44" s="2" t="n"/>
      <c r="F44" s="2">
        <f>IFERROR(XLOOKUP(B44,'Opportunity Scoring'!$A:$A,'Opportunity Scoring'!$D:$D),"")</f>
        <v/>
      </c>
      <c r="G44" s="2" t="n"/>
      <c r="H44" s="2" t="n"/>
      <c r="I44" s="2" t="n"/>
      <c r="J44" s="2" t="n"/>
      <c r="K44" s="2" t="n"/>
      <c r="L44" s="2" t="n"/>
      <c r="M44" s="2" t="n"/>
      <c r="N44" s="2" t="n"/>
      <c r="O44" s="2" t="n"/>
      <c r="P44" s="2" t="n"/>
      <c r="Q44" s="2" t="n"/>
      <c r="R44" s="2" t="n"/>
    </row>
    <row r="45" ht="25" customHeight="1">
      <c r="A45" s="3">
        <f>IF(B45="","","DS-"&amp;TEXT(ROW()-1,"0000"))</f>
        <v/>
      </c>
      <c r="B45" s="3" t="n"/>
      <c r="C45" s="3">
        <f>IFERROR(XLOOKUP(B45,'Opportunity Scoring'!$A:$A,'Opportunity Scoring'!$B:$B),"")</f>
        <v/>
      </c>
      <c r="D45" s="3" t="n"/>
      <c r="E45" s="3" t="n"/>
      <c r="F45" s="3">
        <f>IFERROR(XLOOKUP(B45,'Opportunity Scoring'!$A:$A,'Opportunity Scoring'!$D:$D),"")</f>
        <v/>
      </c>
      <c r="G45" s="3" t="n"/>
      <c r="H45" s="3" t="n"/>
      <c r="I45" s="3" t="n"/>
      <c r="J45" s="3" t="n"/>
      <c r="K45" s="3" t="n"/>
      <c r="L45" s="3" t="n"/>
      <c r="M45" s="3" t="n"/>
      <c r="N45" s="3" t="n"/>
      <c r="O45" s="3" t="n"/>
      <c r="P45" s="3" t="n"/>
      <c r="Q45" s="3" t="n"/>
      <c r="R45" s="3" t="n"/>
    </row>
    <row r="46" ht="25" customHeight="1">
      <c r="A46" s="2">
        <f>IF(B46="","","DS-"&amp;TEXT(ROW()-1,"0000"))</f>
        <v/>
      </c>
      <c r="B46" s="2" t="n"/>
      <c r="C46" s="2">
        <f>IFERROR(XLOOKUP(B46,'Opportunity Scoring'!$A:$A,'Opportunity Scoring'!$B:$B),"")</f>
        <v/>
      </c>
      <c r="D46" s="2" t="n"/>
      <c r="E46" s="2" t="n"/>
      <c r="F46" s="2">
        <f>IFERROR(XLOOKUP(B46,'Opportunity Scoring'!$A:$A,'Opportunity Scoring'!$D:$D),"")</f>
        <v/>
      </c>
      <c r="G46" s="2" t="n"/>
      <c r="H46" s="2" t="n"/>
      <c r="I46" s="2" t="n"/>
      <c r="J46" s="2" t="n"/>
      <c r="K46" s="2" t="n"/>
      <c r="L46" s="2" t="n"/>
      <c r="M46" s="2" t="n"/>
      <c r="N46" s="2" t="n"/>
      <c r="O46" s="2" t="n"/>
      <c r="P46" s="2" t="n"/>
      <c r="Q46" s="2" t="n"/>
      <c r="R46" s="2" t="n"/>
    </row>
    <row r="47" ht="25" customHeight="1">
      <c r="A47" s="3">
        <f>IF(B47="","","DS-"&amp;TEXT(ROW()-1,"0000"))</f>
        <v/>
      </c>
      <c r="B47" s="3" t="n"/>
      <c r="C47" s="3">
        <f>IFERROR(XLOOKUP(B47,'Opportunity Scoring'!$A:$A,'Opportunity Scoring'!$B:$B),"")</f>
        <v/>
      </c>
      <c r="D47" s="3" t="n"/>
      <c r="E47" s="3" t="n"/>
      <c r="F47" s="3">
        <f>IFERROR(XLOOKUP(B47,'Opportunity Scoring'!$A:$A,'Opportunity Scoring'!$D:$D),"")</f>
        <v/>
      </c>
      <c r="G47" s="3" t="n"/>
      <c r="H47" s="3" t="n"/>
      <c r="I47" s="3" t="n"/>
      <c r="J47" s="3" t="n"/>
      <c r="K47" s="3" t="n"/>
      <c r="L47" s="3" t="n"/>
      <c r="M47" s="3" t="n"/>
      <c r="N47" s="3" t="n"/>
      <c r="O47" s="3" t="n"/>
      <c r="P47" s="3" t="n"/>
      <c r="Q47" s="3" t="n"/>
      <c r="R47" s="3" t="n"/>
    </row>
    <row r="48" ht="25" customHeight="1">
      <c r="A48" s="2">
        <f>IF(B48="","","DS-"&amp;TEXT(ROW()-1,"0000"))</f>
        <v/>
      </c>
      <c r="B48" s="2" t="n"/>
      <c r="C48" s="2">
        <f>IFERROR(XLOOKUP(B48,'Opportunity Scoring'!$A:$A,'Opportunity Scoring'!$B:$B),"")</f>
        <v/>
      </c>
      <c r="D48" s="2" t="n"/>
      <c r="E48" s="2" t="n"/>
      <c r="F48" s="2">
        <f>IFERROR(XLOOKUP(B48,'Opportunity Scoring'!$A:$A,'Opportunity Scoring'!$D:$D),"")</f>
        <v/>
      </c>
      <c r="G48" s="2" t="n"/>
      <c r="H48" s="2" t="n"/>
      <c r="I48" s="2" t="n"/>
      <c r="J48" s="2" t="n"/>
      <c r="K48" s="2" t="n"/>
      <c r="L48" s="2" t="n"/>
      <c r="M48" s="2" t="n"/>
      <c r="N48" s="2" t="n"/>
      <c r="O48" s="2" t="n"/>
      <c r="P48" s="2" t="n"/>
      <c r="Q48" s="2" t="n"/>
      <c r="R48" s="2" t="n"/>
    </row>
    <row r="49" ht="25" customHeight="1">
      <c r="A49" s="3">
        <f>IF(B49="","","DS-"&amp;TEXT(ROW()-1,"0000"))</f>
        <v/>
      </c>
      <c r="B49" s="3" t="n"/>
      <c r="C49" s="3">
        <f>IFERROR(XLOOKUP(B49,'Opportunity Scoring'!$A:$A,'Opportunity Scoring'!$B:$B),"")</f>
        <v/>
      </c>
      <c r="D49" s="3" t="n"/>
      <c r="E49" s="3" t="n"/>
      <c r="F49" s="3">
        <f>IFERROR(XLOOKUP(B49,'Opportunity Scoring'!$A:$A,'Opportunity Scoring'!$D:$D),"")</f>
        <v/>
      </c>
      <c r="G49" s="3" t="n"/>
      <c r="H49" s="3" t="n"/>
      <c r="I49" s="3" t="n"/>
      <c r="J49" s="3" t="n"/>
      <c r="K49" s="3" t="n"/>
      <c r="L49" s="3" t="n"/>
      <c r="M49" s="3" t="n"/>
      <c r="N49" s="3" t="n"/>
      <c r="O49" s="3" t="n"/>
      <c r="P49" s="3" t="n"/>
      <c r="Q49" s="3" t="n"/>
      <c r="R49" s="3" t="n"/>
    </row>
    <row r="50" ht="25" customHeight="1">
      <c r="A50" s="2">
        <f>IF(B50="","","DS-"&amp;TEXT(ROW()-1,"0000"))</f>
        <v/>
      </c>
      <c r="B50" s="2" t="n"/>
      <c r="C50" s="2">
        <f>IFERROR(XLOOKUP(B50,'Opportunity Scoring'!$A:$A,'Opportunity Scoring'!$B:$B),"")</f>
        <v/>
      </c>
      <c r="D50" s="2" t="n"/>
      <c r="E50" s="2" t="n"/>
      <c r="F50" s="2">
        <f>IFERROR(XLOOKUP(B50,'Opportunity Scoring'!$A:$A,'Opportunity Scoring'!$D:$D),"")</f>
        <v/>
      </c>
      <c r="G50" s="2" t="n"/>
      <c r="H50" s="2" t="n"/>
      <c r="I50" s="2" t="n"/>
      <c r="J50" s="2" t="n"/>
      <c r="K50" s="2" t="n"/>
      <c r="L50" s="2" t="n"/>
      <c r="M50" s="2" t="n"/>
      <c r="N50" s="2" t="n"/>
      <c r="O50" s="2" t="n"/>
      <c r="P50" s="2" t="n"/>
      <c r="Q50" s="2" t="n"/>
      <c r="R50" s="2" t="n"/>
    </row>
    <row r="51" ht="25" customHeight="1">
      <c r="A51" s="3">
        <f>IF(B51="","","DS-"&amp;TEXT(ROW()-1,"0000"))</f>
        <v/>
      </c>
      <c r="B51" s="3" t="n"/>
      <c r="C51" s="3">
        <f>IFERROR(XLOOKUP(B51,'Opportunity Scoring'!$A:$A,'Opportunity Scoring'!$B:$B),"")</f>
        <v/>
      </c>
      <c r="D51" s="3" t="n"/>
      <c r="E51" s="3" t="n"/>
      <c r="F51" s="3">
        <f>IFERROR(XLOOKUP(B51,'Opportunity Scoring'!$A:$A,'Opportunity Scoring'!$D:$D),"")</f>
        <v/>
      </c>
      <c r="G51" s="3" t="n"/>
      <c r="H51" s="3" t="n"/>
      <c r="I51" s="3" t="n"/>
      <c r="J51" s="3" t="n"/>
      <c r="K51" s="3" t="n"/>
      <c r="L51" s="3" t="n"/>
      <c r="M51" s="3" t="n"/>
      <c r="N51" s="3" t="n"/>
      <c r="O51" s="3" t="n"/>
      <c r="P51" s="3" t="n"/>
      <c r="Q51" s="3" t="n"/>
      <c r="R51" s="3" t="n"/>
    </row>
    <row r="52" ht="25" customHeight="1">
      <c r="A52" s="2">
        <f>IF(B52="","","DS-"&amp;TEXT(ROW()-1,"0000"))</f>
        <v/>
      </c>
      <c r="B52" s="2" t="n"/>
      <c r="C52" s="2">
        <f>IFERROR(XLOOKUP(B52,'Opportunity Scoring'!$A:$A,'Opportunity Scoring'!$B:$B),"")</f>
        <v/>
      </c>
      <c r="D52" s="2" t="n"/>
      <c r="E52" s="2" t="n"/>
      <c r="F52" s="2">
        <f>IFERROR(XLOOKUP(B52,'Opportunity Scoring'!$A:$A,'Opportunity Scoring'!$D:$D),"")</f>
        <v/>
      </c>
      <c r="G52" s="2" t="n"/>
      <c r="H52" s="2" t="n"/>
      <c r="I52" s="2" t="n"/>
      <c r="J52" s="2" t="n"/>
      <c r="K52" s="2" t="n"/>
      <c r="L52" s="2" t="n"/>
      <c r="M52" s="2" t="n"/>
      <c r="N52" s="2" t="n"/>
      <c r="O52" s="2" t="n"/>
      <c r="P52" s="2" t="n"/>
      <c r="Q52" s="2" t="n"/>
      <c r="R52" s="2" t="n"/>
    </row>
    <row r="53" ht="25" customHeight="1">
      <c r="A53" s="3">
        <f>IF(B53="","","DS-"&amp;TEXT(ROW()-1,"0000"))</f>
        <v/>
      </c>
      <c r="B53" s="3" t="n"/>
      <c r="C53" s="3">
        <f>IFERROR(XLOOKUP(B53,'Opportunity Scoring'!$A:$A,'Opportunity Scoring'!$B:$B),"")</f>
        <v/>
      </c>
      <c r="D53" s="3" t="n"/>
      <c r="E53" s="3" t="n"/>
      <c r="F53" s="3">
        <f>IFERROR(XLOOKUP(B53,'Opportunity Scoring'!$A:$A,'Opportunity Scoring'!$D:$D),"")</f>
        <v/>
      </c>
      <c r="G53" s="3" t="n"/>
      <c r="H53" s="3" t="n"/>
      <c r="I53" s="3" t="n"/>
      <c r="J53" s="3" t="n"/>
      <c r="K53" s="3" t="n"/>
      <c r="L53" s="3" t="n"/>
      <c r="M53" s="3" t="n"/>
      <c r="N53" s="3" t="n"/>
      <c r="O53" s="3" t="n"/>
      <c r="P53" s="3" t="n"/>
      <c r="Q53" s="3" t="n"/>
      <c r="R53" s="3" t="n"/>
    </row>
    <row r="54" ht="25" customHeight="1">
      <c r="A54" s="2">
        <f>IF(B54="","","DS-"&amp;TEXT(ROW()-1,"0000"))</f>
        <v/>
      </c>
      <c r="B54" s="2" t="n"/>
      <c r="C54" s="2">
        <f>IFERROR(XLOOKUP(B54,'Opportunity Scoring'!$A:$A,'Opportunity Scoring'!$B:$B),"")</f>
        <v/>
      </c>
      <c r="D54" s="2" t="n"/>
      <c r="E54" s="2" t="n"/>
      <c r="F54" s="2">
        <f>IFERROR(XLOOKUP(B54,'Opportunity Scoring'!$A:$A,'Opportunity Scoring'!$D:$D),"")</f>
        <v/>
      </c>
      <c r="G54" s="2" t="n"/>
      <c r="H54" s="2" t="n"/>
      <c r="I54" s="2" t="n"/>
      <c r="J54" s="2" t="n"/>
      <c r="K54" s="2" t="n"/>
      <c r="L54" s="2" t="n"/>
      <c r="M54" s="2" t="n"/>
      <c r="N54" s="2" t="n"/>
      <c r="O54" s="2" t="n"/>
      <c r="P54" s="2" t="n"/>
      <c r="Q54" s="2" t="n"/>
      <c r="R54" s="2" t="n"/>
    </row>
    <row r="55" ht="25" customHeight="1">
      <c r="A55" s="3">
        <f>IF(B55="","","DS-"&amp;TEXT(ROW()-1,"0000"))</f>
        <v/>
      </c>
      <c r="B55" s="3" t="n"/>
      <c r="C55" s="3">
        <f>IFERROR(XLOOKUP(B55,'Opportunity Scoring'!$A:$A,'Opportunity Scoring'!$B:$B),"")</f>
        <v/>
      </c>
      <c r="D55" s="3" t="n"/>
      <c r="E55" s="3" t="n"/>
      <c r="F55" s="3">
        <f>IFERROR(XLOOKUP(B55,'Opportunity Scoring'!$A:$A,'Opportunity Scoring'!$D:$D),"")</f>
        <v/>
      </c>
      <c r="G55" s="3" t="n"/>
      <c r="H55" s="3" t="n"/>
      <c r="I55" s="3" t="n"/>
      <c r="J55" s="3" t="n"/>
      <c r="K55" s="3" t="n"/>
      <c r="L55" s="3" t="n"/>
      <c r="M55" s="3" t="n"/>
      <c r="N55" s="3" t="n"/>
      <c r="O55" s="3" t="n"/>
      <c r="P55" s="3" t="n"/>
      <c r="Q55" s="3" t="n"/>
      <c r="R55" s="3" t="n"/>
    </row>
    <row r="56" ht="25" customHeight="1">
      <c r="A56" s="2">
        <f>IF(B56="","","DS-"&amp;TEXT(ROW()-1,"0000"))</f>
        <v/>
      </c>
      <c r="B56" s="2" t="n"/>
      <c r="C56" s="2">
        <f>IFERROR(XLOOKUP(B56,'Opportunity Scoring'!$A:$A,'Opportunity Scoring'!$B:$B),"")</f>
        <v/>
      </c>
      <c r="D56" s="2" t="n"/>
      <c r="E56" s="2" t="n"/>
      <c r="F56" s="2">
        <f>IFERROR(XLOOKUP(B56,'Opportunity Scoring'!$A:$A,'Opportunity Scoring'!$D:$D),"")</f>
        <v/>
      </c>
      <c r="G56" s="2" t="n"/>
      <c r="H56" s="2" t="n"/>
      <c r="I56" s="2" t="n"/>
      <c r="J56" s="2" t="n"/>
      <c r="K56" s="2" t="n"/>
      <c r="L56" s="2" t="n"/>
      <c r="M56" s="2" t="n"/>
      <c r="N56" s="2" t="n"/>
      <c r="O56" s="2" t="n"/>
      <c r="P56" s="2" t="n"/>
      <c r="Q56" s="2" t="n"/>
      <c r="R56" s="2" t="n"/>
    </row>
    <row r="57" ht="25" customHeight="1">
      <c r="A57" s="3">
        <f>IF(B57="","","DS-"&amp;TEXT(ROW()-1,"0000"))</f>
        <v/>
      </c>
      <c r="B57" s="3" t="n"/>
      <c r="C57" s="3">
        <f>IFERROR(XLOOKUP(B57,'Opportunity Scoring'!$A:$A,'Opportunity Scoring'!$B:$B),"")</f>
        <v/>
      </c>
      <c r="D57" s="3" t="n"/>
      <c r="E57" s="3" t="n"/>
      <c r="F57" s="3">
        <f>IFERROR(XLOOKUP(B57,'Opportunity Scoring'!$A:$A,'Opportunity Scoring'!$D:$D),"")</f>
        <v/>
      </c>
      <c r="G57" s="3" t="n"/>
      <c r="H57" s="3" t="n"/>
      <c r="I57" s="3" t="n"/>
      <c r="J57" s="3" t="n"/>
      <c r="K57" s="3" t="n"/>
      <c r="L57" s="3" t="n"/>
      <c r="M57" s="3" t="n"/>
      <c r="N57" s="3" t="n"/>
      <c r="O57" s="3" t="n"/>
      <c r="P57" s="3" t="n"/>
      <c r="Q57" s="3" t="n"/>
      <c r="R57" s="3" t="n"/>
    </row>
    <row r="58" ht="25" customHeight="1">
      <c r="A58" s="2">
        <f>IF(B58="","","DS-"&amp;TEXT(ROW()-1,"0000"))</f>
        <v/>
      </c>
      <c r="B58" s="2" t="n"/>
      <c r="C58" s="2">
        <f>IFERROR(XLOOKUP(B58,'Opportunity Scoring'!$A:$A,'Opportunity Scoring'!$B:$B),"")</f>
        <v/>
      </c>
      <c r="D58" s="2" t="n"/>
      <c r="E58" s="2" t="n"/>
      <c r="F58" s="2">
        <f>IFERROR(XLOOKUP(B58,'Opportunity Scoring'!$A:$A,'Opportunity Scoring'!$D:$D),"")</f>
        <v/>
      </c>
      <c r="G58" s="2" t="n"/>
      <c r="H58" s="2" t="n"/>
      <c r="I58" s="2" t="n"/>
      <c r="J58" s="2" t="n"/>
      <c r="K58" s="2" t="n"/>
      <c r="L58" s="2" t="n"/>
      <c r="M58" s="2" t="n"/>
      <c r="N58" s="2" t="n"/>
      <c r="O58" s="2" t="n"/>
      <c r="P58" s="2" t="n"/>
      <c r="Q58" s="2" t="n"/>
      <c r="R58" s="2" t="n"/>
    </row>
    <row r="59" ht="25" customHeight="1">
      <c r="A59" s="3">
        <f>IF(B59="","","DS-"&amp;TEXT(ROW()-1,"0000"))</f>
        <v/>
      </c>
      <c r="B59" s="3" t="n"/>
      <c r="C59" s="3">
        <f>IFERROR(XLOOKUP(B59,'Opportunity Scoring'!$A:$A,'Opportunity Scoring'!$B:$B),"")</f>
        <v/>
      </c>
      <c r="D59" s="3" t="n"/>
      <c r="E59" s="3" t="n"/>
      <c r="F59" s="3">
        <f>IFERROR(XLOOKUP(B59,'Opportunity Scoring'!$A:$A,'Opportunity Scoring'!$D:$D),"")</f>
        <v/>
      </c>
      <c r="G59" s="3" t="n"/>
      <c r="H59" s="3" t="n"/>
      <c r="I59" s="3" t="n"/>
      <c r="J59" s="3" t="n"/>
      <c r="K59" s="3" t="n"/>
      <c r="L59" s="3" t="n"/>
      <c r="M59" s="3" t="n"/>
      <c r="N59" s="3" t="n"/>
      <c r="O59" s="3" t="n"/>
      <c r="P59" s="3" t="n"/>
      <c r="Q59" s="3" t="n"/>
      <c r="R59" s="3" t="n"/>
    </row>
    <row r="60" ht="25" customHeight="1">
      <c r="A60" s="2">
        <f>IF(B60="","","DS-"&amp;TEXT(ROW()-1,"0000"))</f>
        <v/>
      </c>
      <c r="B60" s="2" t="n"/>
      <c r="C60" s="2">
        <f>IFERROR(XLOOKUP(B60,'Opportunity Scoring'!$A:$A,'Opportunity Scoring'!$B:$B),"")</f>
        <v/>
      </c>
      <c r="D60" s="2" t="n"/>
      <c r="E60" s="2" t="n"/>
      <c r="F60" s="2">
        <f>IFERROR(XLOOKUP(B60,'Opportunity Scoring'!$A:$A,'Opportunity Scoring'!$D:$D),"")</f>
        <v/>
      </c>
      <c r="G60" s="2" t="n"/>
      <c r="H60" s="2" t="n"/>
      <c r="I60" s="2" t="n"/>
      <c r="J60" s="2" t="n"/>
      <c r="K60" s="2" t="n"/>
      <c r="L60" s="2" t="n"/>
      <c r="M60" s="2" t="n"/>
      <c r="N60" s="2" t="n"/>
      <c r="O60" s="2" t="n"/>
      <c r="P60" s="2" t="n"/>
      <c r="Q60" s="2" t="n"/>
      <c r="R60" s="2" t="n"/>
    </row>
    <row r="61" ht="25" customHeight="1">
      <c r="A61" s="3">
        <f>IF(B61="","","DS-"&amp;TEXT(ROW()-1,"0000"))</f>
        <v/>
      </c>
      <c r="B61" s="3" t="n"/>
      <c r="C61" s="3">
        <f>IFERROR(XLOOKUP(B61,'Opportunity Scoring'!$A:$A,'Opportunity Scoring'!$B:$B),"")</f>
        <v/>
      </c>
      <c r="D61" s="3" t="n"/>
      <c r="E61" s="3" t="n"/>
      <c r="F61" s="3">
        <f>IFERROR(XLOOKUP(B61,'Opportunity Scoring'!$A:$A,'Opportunity Scoring'!$D:$D),"")</f>
        <v/>
      </c>
      <c r="G61" s="3" t="n"/>
      <c r="H61" s="3" t="n"/>
      <c r="I61" s="3" t="n"/>
      <c r="J61" s="3" t="n"/>
      <c r="K61" s="3" t="n"/>
      <c r="L61" s="3" t="n"/>
      <c r="M61" s="3" t="n"/>
      <c r="N61" s="3" t="n"/>
      <c r="O61" s="3" t="n"/>
      <c r="P61" s="3" t="n"/>
      <c r="Q61" s="3" t="n"/>
      <c r="R61" s="3" t="n"/>
    </row>
    <row r="62" ht="25" customHeight="1">
      <c r="A62" s="2">
        <f>IF(B62="","","DS-"&amp;TEXT(ROW()-1,"0000"))</f>
        <v/>
      </c>
      <c r="B62" s="2" t="n"/>
      <c r="C62" s="2">
        <f>IFERROR(XLOOKUP(B62,'Opportunity Scoring'!$A:$A,'Opportunity Scoring'!$B:$B),"")</f>
        <v/>
      </c>
      <c r="D62" s="2" t="n"/>
      <c r="E62" s="2" t="n"/>
      <c r="F62" s="2">
        <f>IFERROR(XLOOKUP(B62,'Opportunity Scoring'!$A:$A,'Opportunity Scoring'!$D:$D),"")</f>
        <v/>
      </c>
      <c r="G62" s="2" t="n"/>
      <c r="H62" s="2" t="n"/>
      <c r="I62" s="2" t="n"/>
      <c r="J62" s="2" t="n"/>
      <c r="K62" s="2" t="n"/>
      <c r="L62" s="2" t="n"/>
      <c r="M62" s="2" t="n"/>
      <c r="N62" s="2" t="n"/>
      <c r="O62" s="2" t="n"/>
      <c r="P62" s="2" t="n"/>
      <c r="Q62" s="2" t="n"/>
      <c r="R62" s="2" t="n"/>
    </row>
    <row r="63" ht="25" customHeight="1">
      <c r="A63" s="3">
        <f>IF(B63="","","DS-"&amp;TEXT(ROW()-1,"0000"))</f>
        <v/>
      </c>
      <c r="B63" s="3" t="n"/>
      <c r="C63" s="3">
        <f>IFERROR(XLOOKUP(B63,'Opportunity Scoring'!$A:$A,'Opportunity Scoring'!$B:$B),"")</f>
        <v/>
      </c>
      <c r="D63" s="3" t="n"/>
      <c r="E63" s="3" t="n"/>
      <c r="F63" s="3">
        <f>IFERROR(XLOOKUP(B63,'Opportunity Scoring'!$A:$A,'Opportunity Scoring'!$D:$D),"")</f>
        <v/>
      </c>
      <c r="G63" s="3" t="n"/>
      <c r="H63" s="3" t="n"/>
      <c r="I63" s="3" t="n"/>
      <c r="J63" s="3" t="n"/>
      <c r="K63" s="3" t="n"/>
      <c r="L63" s="3" t="n"/>
      <c r="M63" s="3" t="n"/>
      <c r="N63" s="3" t="n"/>
      <c r="O63" s="3" t="n"/>
      <c r="P63" s="3" t="n"/>
      <c r="Q63" s="3" t="n"/>
      <c r="R63" s="3" t="n"/>
    </row>
    <row r="64" ht="25" customHeight="1">
      <c r="A64" s="2">
        <f>IF(B64="","","DS-"&amp;TEXT(ROW()-1,"0000"))</f>
        <v/>
      </c>
      <c r="B64" s="2" t="n"/>
      <c r="C64" s="2">
        <f>IFERROR(XLOOKUP(B64,'Opportunity Scoring'!$A:$A,'Opportunity Scoring'!$B:$B),"")</f>
        <v/>
      </c>
      <c r="D64" s="2" t="n"/>
      <c r="E64" s="2" t="n"/>
      <c r="F64" s="2">
        <f>IFERROR(XLOOKUP(B64,'Opportunity Scoring'!$A:$A,'Opportunity Scoring'!$D:$D),"")</f>
        <v/>
      </c>
      <c r="G64" s="2" t="n"/>
      <c r="H64" s="2" t="n"/>
      <c r="I64" s="2" t="n"/>
      <c r="J64" s="2" t="n"/>
      <c r="K64" s="2" t="n"/>
      <c r="L64" s="2" t="n"/>
      <c r="M64" s="2" t="n"/>
      <c r="N64" s="2" t="n"/>
      <c r="O64" s="2" t="n"/>
      <c r="P64" s="2" t="n"/>
      <c r="Q64" s="2" t="n"/>
      <c r="R64" s="2" t="n"/>
    </row>
    <row r="65" ht="25" customHeight="1">
      <c r="A65" s="3">
        <f>IF(B65="","","DS-"&amp;TEXT(ROW()-1,"0000"))</f>
        <v/>
      </c>
      <c r="B65" s="3" t="n"/>
      <c r="C65" s="3">
        <f>IFERROR(XLOOKUP(B65,'Opportunity Scoring'!$A:$A,'Opportunity Scoring'!$B:$B),"")</f>
        <v/>
      </c>
      <c r="D65" s="3" t="n"/>
      <c r="E65" s="3" t="n"/>
      <c r="F65" s="3">
        <f>IFERROR(XLOOKUP(B65,'Opportunity Scoring'!$A:$A,'Opportunity Scoring'!$D:$D),"")</f>
        <v/>
      </c>
      <c r="G65" s="3" t="n"/>
      <c r="H65" s="3" t="n"/>
      <c r="I65" s="3" t="n"/>
      <c r="J65" s="3" t="n"/>
      <c r="K65" s="3" t="n"/>
      <c r="L65" s="3" t="n"/>
      <c r="M65" s="3" t="n"/>
      <c r="N65" s="3" t="n"/>
      <c r="O65" s="3" t="n"/>
      <c r="P65" s="3" t="n"/>
      <c r="Q65" s="3" t="n"/>
      <c r="R65" s="3" t="n"/>
    </row>
    <row r="66" ht="25" customHeight="1">
      <c r="A66" s="2">
        <f>IF(B66="","","DS-"&amp;TEXT(ROW()-1,"0000"))</f>
        <v/>
      </c>
      <c r="B66" s="2" t="n"/>
      <c r="C66" s="2">
        <f>IFERROR(XLOOKUP(B66,'Opportunity Scoring'!$A:$A,'Opportunity Scoring'!$B:$B),"")</f>
        <v/>
      </c>
      <c r="D66" s="2" t="n"/>
      <c r="E66" s="2" t="n"/>
      <c r="F66" s="2">
        <f>IFERROR(XLOOKUP(B66,'Opportunity Scoring'!$A:$A,'Opportunity Scoring'!$D:$D),"")</f>
        <v/>
      </c>
      <c r="G66" s="2" t="n"/>
      <c r="H66" s="2" t="n"/>
      <c r="I66" s="2" t="n"/>
      <c r="J66" s="2" t="n"/>
      <c r="K66" s="2" t="n"/>
      <c r="L66" s="2" t="n"/>
      <c r="M66" s="2" t="n"/>
      <c r="N66" s="2" t="n"/>
      <c r="O66" s="2" t="n"/>
      <c r="P66" s="2" t="n"/>
      <c r="Q66" s="2" t="n"/>
      <c r="R66" s="2" t="n"/>
    </row>
    <row r="67" ht="25" customHeight="1">
      <c r="A67" s="3">
        <f>IF(B67="","","DS-"&amp;TEXT(ROW()-1,"0000"))</f>
        <v/>
      </c>
      <c r="B67" s="3" t="n"/>
      <c r="C67" s="3">
        <f>IFERROR(XLOOKUP(B67,'Opportunity Scoring'!$A:$A,'Opportunity Scoring'!$B:$B),"")</f>
        <v/>
      </c>
      <c r="D67" s="3" t="n"/>
      <c r="E67" s="3" t="n"/>
      <c r="F67" s="3">
        <f>IFERROR(XLOOKUP(B67,'Opportunity Scoring'!$A:$A,'Opportunity Scoring'!$D:$D),"")</f>
        <v/>
      </c>
      <c r="G67" s="3" t="n"/>
      <c r="H67" s="3" t="n"/>
      <c r="I67" s="3" t="n"/>
      <c r="J67" s="3" t="n"/>
      <c r="K67" s="3" t="n"/>
      <c r="L67" s="3" t="n"/>
      <c r="M67" s="3" t="n"/>
      <c r="N67" s="3" t="n"/>
      <c r="O67" s="3" t="n"/>
      <c r="P67" s="3" t="n"/>
      <c r="Q67" s="3" t="n"/>
      <c r="R67" s="3" t="n"/>
    </row>
    <row r="68" ht="25" customHeight="1">
      <c r="A68" s="2">
        <f>IF(B68="","","DS-"&amp;TEXT(ROW()-1,"0000"))</f>
        <v/>
      </c>
      <c r="B68" s="2" t="n"/>
      <c r="C68" s="2">
        <f>IFERROR(XLOOKUP(B68,'Opportunity Scoring'!$A:$A,'Opportunity Scoring'!$B:$B),"")</f>
        <v/>
      </c>
      <c r="D68" s="2" t="n"/>
      <c r="E68" s="2" t="n"/>
      <c r="F68" s="2">
        <f>IFERROR(XLOOKUP(B68,'Opportunity Scoring'!$A:$A,'Opportunity Scoring'!$D:$D),"")</f>
        <v/>
      </c>
      <c r="G68" s="2" t="n"/>
      <c r="H68" s="2" t="n"/>
      <c r="I68" s="2" t="n"/>
      <c r="J68" s="2" t="n"/>
      <c r="K68" s="2" t="n"/>
      <c r="L68" s="2" t="n"/>
      <c r="M68" s="2" t="n"/>
      <c r="N68" s="2" t="n"/>
      <c r="O68" s="2" t="n"/>
      <c r="P68" s="2" t="n"/>
      <c r="Q68" s="2" t="n"/>
      <c r="R68" s="2" t="n"/>
    </row>
    <row r="69" ht="25" customHeight="1">
      <c r="A69" s="3">
        <f>IF(B69="","","DS-"&amp;TEXT(ROW()-1,"0000"))</f>
        <v/>
      </c>
      <c r="B69" s="3" t="n"/>
      <c r="C69" s="3">
        <f>IFERROR(XLOOKUP(B69,'Opportunity Scoring'!$A:$A,'Opportunity Scoring'!$B:$B),"")</f>
        <v/>
      </c>
      <c r="D69" s="3" t="n"/>
      <c r="E69" s="3" t="n"/>
      <c r="F69" s="3">
        <f>IFERROR(XLOOKUP(B69,'Opportunity Scoring'!$A:$A,'Opportunity Scoring'!$D:$D),"")</f>
        <v/>
      </c>
      <c r="G69" s="3" t="n"/>
      <c r="H69" s="3" t="n"/>
      <c r="I69" s="3" t="n"/>
      <c r="J69" s="3" t="n"/>
      <c r="K69" s="3" t="n"/>
      <c r="L69" s="3" t="n"/>
      <c r="M69" s="3" t="n"/>
      <c r="N69" s="3" t="n"/>
      <c r="O69" s="3" t="n"/>
      <c r="P69" s="3" t="n"/>
      <c r="Q69" s="3" t="n"/>
      <c r="R69" s="3" t="n"/>
    </row>
    <row r="70" ht="25" customHeight="1">
      <c r="A70" s="2">
        <f>IF(B70="","","DS-"&amp;TEXT(ROW()-1,"0000"))</f>
        <v/>
      </c>
      <c r="B70" s="2" t="n"/>
      <c r="C70" s="2">
        <f>IFERROR(XLOOKUP(B70,'Opportunity Scoring'!$A:$A,'Opportunity Scoring'!$B:$B),"")</f>
        <v/>
      </c>
      <c r="D70" s="2" t="n"/>
      <c r="E70" s="2" t="n"/>
      <c r="F70" s="2">
        <f>IFERROR(XLOOKUP(B70,'Opportunity Scoring'!$A:$A,'Opportunity Scoring'!$D:$D),"")</f>
        <v/>
      </c>
      <c r="G70" s="2" t="n"/>
      <c r="H70" s="2" t="n"/>
      <c r="I70" s="2" t="n"/>
      <c r="J70" s="2" t="n"/>
      <c r="K70" s="2" t="n"/>
      <c r="L70" s="2" t="n"/>
      <c r="M70" s="2" t="n"/>
      <c r="N70" s="2" t="n"/>
      <c r="O70" s="2" t="n"/>
      <c r="P70" s="2" t="n"/>
      <c r="Q70" s="2" t="n"/>
      <c r="R70" s="2" t="n"/>
    </row>
    <row r="71" ht="25" customHeight="1">
      <c r="A71" s="3">
        <f>IF(B71="","","DS-"&amp;TEXT(ROW()-1,"0000"))</f>
        <v/>
      </c>
      <c r="B71" s="3" t="n"/>
      <c r="C71" s="3">
        <f>IFERROR(XLOOKUP(B71,'Opportunity Scoring'!$A:$A,'Opportunity Scoring'!$B:$B),"")</f>
        <v/>
      </c>
      <c r="D71" s="3" t="n"/>
      <c r="E71" s="3" t="n"/>
      <c r="F71" s="3">
        <f>IFERROR(XLOOKUP(B71,'Opportunity Scoring'!$A:$A,'Opportunity Scoring'!$D:$D),"")</f>
        <v/>
      </c>
      <c r="G71" s="3" t="n"/>
      <c r="H71" s="3" t="n"/>
      <c r="I71" s="3" t="n"/>
      <c r="J71" s="3" t="n"/>
      <c r="K71" s="3" t="n"/>
      <c r="L71" s="3" t="n"/>
      <c r="M71" s="3" t="n"/>
      <c r="N71" s="3" t="n"/>
      <c r="O71" s="3" t="n"/>
      <c r="P71" s="3" t="n"/>
      <c r="Q71" s="3" t="n"/>
      <c r="R71" s="3" t="n"/>
    </row>
    <row r="72" ht="25" customHeight="1">
      <c r="A72" s="2">
        <f>IF(B72="","","DS-"&amp;TEXT(ROW()-1,"0000"))</f>
        <v/>
      </c>
      <c r="B72" s="2" t="n"/>
      <c r="C72" s="2">
        <f>IFERROR(XLOOKUP(B72,'Opportunity Scoring'!$A:$A,'Opportunity Scoring'!$B:$B),"")</f>
        <v/>
      </c>
      <c r="D72" s="2" t="n"/>
      <c r="E72" s="2" t="n"/>
      <c r="F72" s="2">
        <f>IFERROR(XLOOKUP(B72,'Opportunity Scoring'!$A:$A,'Opportunity Scoring'!$D:$D),"")</f>
        <v/>
      </c>
      <c r="G72" s="2" t="n"/>
      <c r="H72" s="2" t="n"/>
      <c r="I72" s="2" t="n"/>
      <c r="J72" s="2" t="n"/>
      <c r="K72" s="2" t="n"/>
      <c r="L72" s="2" t="n"/>
      <c r="M72" s="2" t="n"/>
      <c r="N72" s="2" t="n"/>
      <c r="O72" s="2" t="n"/>
      <c r="P72" s="2" t="n"/>
      <c r="Q72" s="2" t="n"/>
      <c r="R72" s="2" t="n"/>
    </row>
    <row r="73" ht="25" customHeight="1">
      <c r="A73" s="3">
        <f>IF(B73="","","DS-"&amp;TEXT(ROW()-1,"0000"))</f>
        <v/>
      </c>
      <c r="B73" s="3" t="n"/>
      <c r="C73" s="3">
        <f>IFERROR(XLOOKUP(B73,'Opportunity Scoring'!$A:$A,'Opportunity Scoring'!$B:$B),"")</f>
        <v/>
      </c>
      <c r="D73" s="3" t="n"/>
      <c r="E73" s="3" t="n"/>
      <c r="F73" s="3">
        <f>IFERROR(XLOOKUP(B73,'Opportunity Scoring'!$A:$A,'Opportunity Scoring'!$D:$D),"")</f>
        <v/>
      </c>
      <c r="G73" s="3" t="n"/>
      <c r="H73" s="3" t="n"/>
      <c r="I73" s="3" t="n"/>
      <c r="J73" s="3" t="n"/>
      <c r="K73" s="3" t="n"/>
      <c r="L73" s="3" t="n"/>
      <c r="M73" s="3" t="n"/>
      <c r="N73" s="3" t="n"/>
      <c r="O73" s="3" t="n"/>
      <c r="P73" s="3" t="n"/>
      <c r="Q73" s="3" t="n"/>
      <c r="R73" s="3" t="n"/>
    </row>
    <row r="74" ht="25" customHeight="1">
      <c r="A74" s="2">
        <f>IF(B74="","","DS-"&amp;TEXT(ROW()-1,"0000"))</f>
        <v/>
      </c>
      <c r="B74" s="2" t="n"/>
      <c r="C74" s="2">
        <f>IFERROR(XLOOKUP(B74,'Opportunity Scoring'!$A:$A,'Opportunity Scoring'!$B:$B),"")</f>
        <v/>
      </c>
      <c r="D74" s="2" t="n"/>
      <c r="E74" s="2" t="n"/>
      <c r="F74" s="2">
        <f>IFERROR(XLOOKUP(B74,'Opportunity Scoring'!$A:$A,'Opportunity Scoring'!$D:$D),"")</f>
        <v/>
      </c>
      <c r="G74" s="2" t="n"/>
      <c r="H74" s="2" t="n"/>
      <c r="I74" s="2" t="n"/>
      <c r="J74" s="2" t="n"/>
      <c r="K74" s="2" t="n"/>
      <c r="L74" s="2" t="n"/>
      <c r="M74" s="2" t="n"/>
      <c r="N74" s="2" t="n"/>
      <c r="O74" s="2" t="n"/>
      <c r="P74" s="2" t="n"/>
      <c r="Q74" s="2" t="n"/>
      <c r="R74" s="2" t="n"/>
    </row>
    <row r="75" ht="25" customHeight="1">
      <c r="A75" s="3">
        <f>IF(B75="","","DS-"&amp;TEXT(ROW()-1,"0000"))</f>
        <v/>
      </c>
      <c r="B75" s="3" t="n"/>
      <c r="C75" s="3">
        <f>IFERROR(XLOOKUP(B75,'Opportunity Scoring'!$A:$A,'Opportunity Scoring'!$B:$B),"")</f>
        <v/>
      </c>
      <c r="D75" s="3" t="n"/>
      <c r="E75" s="3" t="n"/>
      <c r="F75" s="3">
        <f>IFERROR(XLOOKUP(B75,'Opportunity Scoring'!$A:$A,'Opportunity Scoring'!$D:$D),"")</f>
        <v/>
      </c>
      <c r="G75" s="3" t="n"/>
      <c r="H75" s="3" t="n"/>
      <c r="I75" s="3" t="n"/>
      <c r="J75" s="3" t="n"/>
      <c r="K75" s="3" t="n"/>
      <c r="L75" s="3" t="n"/>
      <c r="M75" s="3" t="n"/>
      <c r="N75" s="3" t="n"/>
      <c r="O75" s="3" t="n"/>
      <c r="P75" s="3" t="n"/>
      <c r="Q75" s="3" t="n"/>
      <c r="R75" s="3" t="n"/>
    </row>
    <row r="76" ht="25" customHeight="1">
      <c r="A76" s="2">
        <f>IF(B76="","","DS-"&amp;TEXT(ROW()-1,"0000"))</f>
        <v/>
      </c>
      <c r="B76" s="2" t="n"/>
      <c r="C76" s="2">
        <f>IFERROR(XLOOKUP(B76,'Opportunity Scoring'!$A:$A,'Opportunity Scoring'!$B:$B),"")</f>
        <v/>
      </c>
      <c r="D76" s="2" t="n"/>
      <c r="E76" s="2" t="n"/>
      <c r="F76" s="2">
        <f>IFERROR(XLOOKUP(B76,'Opportunity Scoring'!$A:$A,'Opportunity Scoring'!$D:$D),"")</f>
        <v/>
      </c>
      <c r="G76" s="2" t="n"/>
      <c r="H76" s="2" t="n"/>
      <c r="I76" s="2" t="n"/>
      <c r="J76" s="2" t="n"/>
      <c r="K76" s="2" t="n"/>
      <c r="L76" s="2" t="n"/>
      <c r="M76" s="2" t="n"/>
      <c r="N76" s="2" t="n"/>
      <c r="O76" s="2" t="n"/>
      <c r="P76" s="2" t="n"/>
      <c r="Q76" s="2" t="n"/>
      <c r="R76" s="2" t="n"/>
    </row>
    <row r="77" ht="25" customHeight="1">
      <c r="A77" s="3">
        <f>IF(B77="","","DS-"&amp;TEXT(ROW()-1,"0000"))</f>
        <v/>
      </c>
      <c r="B77" s="3" t="n"/>
      <c r="C77" s="3">
        <f>IFERROR(XLOOKUP(B77,'Opportunity Scoring'!$A:$A,'Opportunity Scoring'!$B:$B),"")</f>
        <v/>
      </c>
      <c r="D77" s="3" t="n"/>
      <c r="E77" s="3" t="n"/>
      <c r="F77" s="3">
        <f>IFERROR(XLOOKUP(B77,'Opportunity Scoring'!$A:$A,'Opportunity Scoring'!$D:$D),"")</f>
        <v/>
      </c>
      <c r="G77" s="3" t="n"/>
      <c r="H77" s="3" t="n"/>
      <c r="I77" s="3" t="n"/>
      <c r="J77" s="3" t="n"/>
      <c r="K77" s="3" t="n"/>
      <c r="L77" s="3" t="n"/>
      <c r="M77" s="3" t="n"/>
      <c r="N77" s="3" t="n"/>
      <c r="O77" s="3" t="n"/>
      <c r="P77" s="3" t="n"/>
      <c r="Q77" s="3" t="n"/>
      <c r="R77" s="3" t="n"/>
    </row>
    <row r="78" ht="25" customHeight="1">
      <c r="A78" s="2">
        <f>IF(B78="","","DS-"&amp;TEXT(ROW()-1,"0000"))</f>
        <v/>
      </c>
      <c r="B78" s="2" t="n"/>
      <c r="C78" s="2">
        <f>IFERROR(XLOOKUP(B78,'Opportunity Scoring'!$A:$A,'Opportunity Scoring'!$B:$B),"")</f>
        <v/>
      </c>
      <c r="D78" s="2" t="n"/>
      <c r="E78" s="2" t="n"/>
      <c r="F78" s="2">
        <f>IFERROR(XLOOKUP(B78,'Opportunity Scoring'!$A:$A,'Opportunity Scoring'!$D:$D),"")</f>
        <v/>
      </c>
      <c r="G78" s="2" t="n"/>
      <c r="H78" s="2" t="n"/>
      <c r="I78" s="2" t="n"/>
      <c r="J78" s="2" t="n"/>
      <c r="K78" s="2" t="n"/>
      <c r="L78" s="2" t="n"/>
      <c r="M78" s="2" t="n"/>
      <c r="N78" s="2" t="n"/>
      <c r="O78" s="2" t="n"/>
      <c r="P78" s="2" t="n"/>
      <c r="Q78" s="2" t="n"/>
      <c r="R78" s="2" t="n"/>
    </row>
    <row r="79" ht="25" customHeight="1">
      <c r="A79" s="3">
        <f>IF(B79="","","DS-"&amp;TEXT(ROW()-1,"0000"))</f>
        <v/>
      </c>
      <c r="B79" s="3" t="n"/>
      <c r="C79" s="3">
        <f>IFERROR(XLOOKUP(B79,'Opportunity Scoring'!$A:$A,'Opportunity Scoring'!$B:$B),"")</f>
        <v/>
      </c>
      <c r="D79" s="3" t="n"/>
      <c r="E79" s="3" t="n"/>
      <c r="F79" s="3">
        <f>IFERROR(XLOOKUP(B79,'Opportunity Scoring'!$A:$A,'Opportunity Scoring'!$D:$D),"")</f>
        <v/>
      </c>
      <c r="G79" s="3" t="n"/>
      <c r="H79" s="3" t="n"/>
      <c r="I79" s="3" t="n"/>
      <c r="J79" s="3" t="n"/>
      <c r="K79" s="3" t="n"/>
      <c r="L79" s="3" t="n"/>
      <c r="M79" s="3" t="n"/>
      <c r="N79" s="3" t="n"/>
      <c r="O79" s="3" t="n"/>
      <c r="P79" s="3" t="n"/>
      <c r="Q79" s="3" t="n"/>
      <c r="R79" s="3" t="n"/>
    </row>
    <row r="80" ht="25" customHeight="1">
      <c r="A80" s="2">
        <f>IF(B80="","","DS-"&amp;TEXT(ROW()-1,"0000"))</f>
        <v/>
      </c>
      <c r="B80" s="2" t="n"/>
      <c r="C80" s="2">
        <f>IFERROR(XLOOKUP(B80,'Opportunity Scoring'!$A:$A,'Opportunity Scoring'!$B:$B),"")</f>
        <v/>
      </c>
      <c r="D80" s="2" t="n"/>
      <c r="E80" s="2" t="n"/>
      <c r="F80" s="2">
        <f>IFERROR(XLOOKUP(B80,'Opportunity Scoring'!$A:$A,'Opportunity Scoring'!$D:$D),"")</f>
        <v/>
      </c>
      <c r="G80" s="2" t="n"/>
      <c r="H80" s="2" t="n"/>
      <c r="I80" s="2" t="n"/>
      <c r="J80" s="2" t="n"/>
      <c r="K80" s="2" t="n"/>
      <c r="L80" s="2" t="n"/>
      <c r="M80" s="2" t="n"/>
      <c r="N80" s="2" t="n"/>
      <c r="O80" s="2" t="n"/>
      <c r="P80" s="2" t="n"/>
      <c r="Q80" s="2" t="n"/>
      <c r="R80" s="2" t="n"/>
    </row>
    <row r="81" ht="25" customHeight="1">
      <c r="A81" s="3">
        <f>IF(B81="","","DS-"&amp;TEXT(ROW()-1,"0000"))</f>
        <v/>
      </c>
      <c r="B81" s="3" t="n"/>
      <c r="C81" s="3">
        <f>IFERROR(XLOOKUP(B81,'Opportunity Scoring'!$A:$A,'Opportunity Scoring'!$B:$B),"")</f>
        <v/>
      </c>
      <c r="D81" s="3" t="n"/>
      <c r="E81" s="3" t="n"/>
      <c r="F81" s="3">
        <f>IFERROR(XLOOKUP(B81,'Opportunity Scoring'!$A:$A,'Opportunity Scoring'!$D:$D),"")</f>
        <v/>
      </c>
      <c r="G81" s="3" t="n"/>
      <c r="H81" s="3" t="n"/>
      <c r="I81" s="3" t="n"/>
      <c r="J81" s="3" t="n"/>
      <c r="K81" s="3" t="n"/>
      <c r="L81" s="3" t="n"/>
      <c r="M81" s="3" t="n"/>
      <c r="N81" s="3" t="n"/>
      <c r="O81" s="3" t="n"/>
      <c r="P81" s="3" t="n"/>
      <c r="Q81" s="3" t="n"/>
      <c r="R81" s="3" t="n"/>
    </row>
    <row r="82" ht="25" customHeight="1">
      <c r="A82" s="2">
        <f>IF(B82="","","DS-"&amp;TEXT(ROW()-1,"0000"))</f>
        <v/>
      </c>
      <c r="B82" s="2" t="n"/>
      <c r="C82" s="2">
        <f>IFERROR(XLOOKUP(B82,'Opportunity Scoring'!$A:$A,'Opportunity Scoring'!$B:$B),"")</f>
        <v/>
      </c>
      <c r="D82" s="2" t="n"/>
      <c r="E82" s="2" t="n"/>
      <c r="F82" s="2">
        <f>IFERROR(XLOOKUP(B82,'Opportunity Scoring'!$A:$A,'Opportunity Scoring'!$D:$D),"")</f>
        <v/>
      </c>
      <c r="G82" s="2" t="n"/>
      <c r="H82" s="2" t="n"/>
      <c r="I82" s="2" t="n"/>
      <c r="J82" s="2" t="n"/>
      <c r="K82" s="2" t="n"/>
      <c r="L82" s="2" t="n"/>
      <c r="M82" s="2" t="n"/>
      <c r="N82" s="2" t="n"/>
      <c r="O82" s="2" t="n"/>
      <c r="P82" s="2" t="n"/>
      <c r="Q82" s="2" t="n"/>
      <c r="R82" s="2" t="n"/>
    </row>
    <row r="83" ht="25" customHeight="1">
      <c r="A83" s="3">
        <f>IF(B83="","","DS-"&amp;TEXT(ROW()-1,"0000"))</f>
        <v/>
      </c>
      <c r="B83" s="3" t="n"/>
      <c r="C83" s="3">
        <f>IFERROR(XLOOKUP(B83,'Opportunity Scoring'!$A:$A,'Opportunity Scoring'!$B:$B),"")</f>
        <v/>
      </c>
      <c r="D83" s="3" t="n"/>
      <c r="E83" s="3" t="n"/>
      <c r="F83" s="3">
        <f>IFERROR(XLOOKUP(B83,'Opportunity Scoring'!$A:$A,'Opportunity Scoring'!$D:$D),"")</f>
        <v/>
      </c>
      <c r="G83" s="3" t="n"/>
      <c r="H83" s="3" t="n"/>
      <c r="I83" s="3" t="n"/>
      <c r="J83" s="3" t="n"/>
      <c r="K83" s="3" t="n"/>
      <c r="L83" s="3" t="n"/>
      <c r="M83" s="3" t="n"/>
      <c r="N83" s="3" t="n"/>
      <c r="O83" s="3" t="n"/>
      <c r="P83" s="3" t="n"/>
      <c r="Q83" s="3" t="n"/>
      <c r="R83" s="3" t="n"/>
    </row>
    <row r="84" ht="25" customHeight="1">
      <c r="A84" s="2">
        <f>IF(B84="","","DS-"&amp;TEXT(ROW()-1,"0000"))</f>
        <v/>
      </c>
      <c r="B84" s="2" t="n"/>
      <c r="C84" s="2">
        <f>IFERROR(XLOOKUP(B84,'Opportunity Scoring'!$A:$A,'Opportunity Scoring'!$B:$B),"")</f>
        <v/>
      </c>
      <c r="D84" s="2" t="n"/>
      <c r="E84" s="2" t="n"/>
      <c r="F84" s="2">
        <f>IFERROR(XLOOKUP(B84,'Opportunity Scoring'!$A:$A,'Opportunity Scoring'!$D:$D),"")</f>
        <v/>
      </c>
      <c r="G84" s="2" t="n"/>
      <c r="H84" s="2" t="n"/>
      <c r="I84" s="2" t="n"/>
      <c r="J84" s="2" t="n"/>
      <c r="K84" s="2" t="n"/>
      <c r="L84" s="2" t="n"/>
      <c r="M84" s="2" t="n"/>
      <c r="N84" s="2" t="n"/>
      <c r="O84" s="2" t="n"/>
      <c r="P84" s="2" t="n"/>
      <c r="Q84" s="2" t="n"/>
      <c r="R84" s="2" t="n"/>
    </row>
    <row r="85" ht="25" customHeight="1">
      <c r="A85" s="3">
        <f>IF(B85="","","DS-"&amp;TEXT(ROW()-1,"0000"))</f>
        <v/>
      </c>
      <c r="B85" s="3" t="n"/>
      <c r="C85" s="3">
        <f>IFERROR(XLOOKUP(B85,'Opportunity Scoring'!$A:$A,'Opportunity Scoring'!$B:$B),"")</f>
        <v/>
      </c>
      <c r="D85" s="3" t="n"/>
      <c r="E85" s="3" t="n"/>
      <c r="F85" s="3">
        <f>IFERROR(XLOOKUP(B85,'Opportunity Scoring'!$A:$A,'Opportunity Scoring'!$D:$D),"")</f>
        <v/>
      </c>
      <c r="G85" s="3" t="n"/>
      <c r="H85" s="3" t="n"/>
      <c r="I85" s="3" t="n"/>
      <c r="J85" s="3" t="n"/>
      <c r="K85" s="3" t="n"/>
      <c r="L85" s="3" t="n"/>
      <c r="M85" s="3" t="n"/>
      <c r="N85" s="3" t="n"/>
      <c r="O85" s="3" t="n"/>
      <c r="P85" s="3" t="n"/>
      <c r="Q85" s="3" t="n"/>
      <c r="R85" s="3" t="n"/>
    </row>
    <row r="86" ht="25" customHeight="1">
      <c r="A86" s="2">
        <f>IF(B86="","","DS-"&amp;TEXT(ROW()-1,"0000"))</f>
        <v/>
      </c>
      <c r="B86" s="2" t="n"/>
      <c r="C86" s="2">
        <f>IFERROR(XLOOKUP(B86,'Opportunity Scoring'!$A:$A,'Opportunity Scoring'!$B:$B),"")</f>
        <v/>
      </c>
      <c r="D86" s="2" t="n"/>
      <c r="E86" s="2" t="n"/>
      <c r="F86" s="2">
        <f>IFERROR(XLOOKUP(B86,'Opportunity Scoring'!$A:$A,'Opportunity Scoring'!$D:$D),"")</f>
        <v/>
      </c>
      <c r="G86" s="2" t="n"/>
      <c r="H86" s="2" t="n"/>
      <c r="I86" s="2" t="n"/>
      <c r="J86" s="2" t="n"/>
      <c r="K86" s="2" t="n"/>
      <c r="L86" s="2" t="n"/>
      <c r="M86" s="2" t="n"/>
      <c r="N86" s="2" t="n"/>
      <c r="O86" s="2" t="n"/>
      <c r="P86" s="2" t="n"/>
      <c r="Q86" s="2" t="n"/>
      <c r="R86" s="2" t="n"/>
    </row>
    <row r="87" ht="25" customHeight="1">
      <c r="A87" s="3">
        <f>IF(B87="","","DS-"&amp;TEXT(ROW()-1,"0000"))</f>
        <v/>
      </c>
      <c r="B87" s="3" t="n"/>
      <c r="C87" s="3">
        <f>IFERROR(XLOOKUP(B87,'Opportunity Scoring'!$A:$A,'Opportunity Scoring'!$B:$B),"")</f>
        <v/>
      </c>
      <c r="D87" s="3" t="n"/>
      <c r="E87" s="3" t="n"/>
      <c r="F87" s="3">
        <f>IFERROR(XLOOKUP(B87,'Opportunity Scoring'!$A:$A,'Opportunity Scoring'!$D:$D),"")</f>
        <v/>
      </c>
      <c r="G87" s="3" t="n"/>
      <c r="H87" s="3" t="n"/>
      <c r="I87" s="3" t="n"/>
      <c r="J87" s="3" t="n"/>
      <c r="K87" s="3" t="n"/>
      <c r="L87" s="3" t="n"/>
      <c r="M87" s="3" t="n"/>
      <c r="N87" s="3" t="n"/>
      <c r="O87" s="3" t="n"/>
      <c r="P87" s="3" t="n"/>
      <c r="Q87" s="3" t="n"/>
      <c r="R87" s="3" t="n"/>
    </row>
    <row r="88" ht="25" customHeight="1">
      <c r="A88" s="2">
        <f>IF(B88="","","DS-"&amp;TEXT(ROW()-1,"0000"))</f>
        <v/>
      </c>
      <c r="B88" s="2" t="n"/>
      <c r="C88" s="2">
        <f>IFERROR(XLOOKUP(B88,'Opportunity Scoring'!$A:$A,'Opportunity Scoring'!$B:$B),"")</f>
        <v/>
      </c>
      <c r="D88" s="2" t="n"/>
      <c r="E88" s="2" t="n"/>
      <c r="F88" s="2">
        <f>IFERROR(XLOOKUP(B88,'Opportunity Scoring'!$A:$A,'Opportunity Scoring'!$D:$D),"")</f>
        <v/>
      </c>
      <c r="G88" s="2" t="n"/>
      <c r="H88" s="2" t="n"/>
      <c r="I88" s="2" t="n"/>
      <c r="J88" s="2" t="n"/>
      <c r="K88" s="2" t="n"/>
      <c r="L88" s="2" t="n"/>
      <c r="M88" s="2" t="n"/>
      <c r="N88" s="2" t="n"/>
      <c r="O88" s="2" t="n"/>
      <c r="P88" s="2" t="n"/>
      <c r="Q88" s="2" t="n"/>
      <c r="R88" s="2" t="n"/>
    </row>
    <row r="89" ht="25" customHeight="1">
      <c r="A89" s="3">
        <f>IF(B89="","","DS-"&amp;TEXT(ROW()-1,"0000"))</f>
        <v/>
      </c>
      <c r="B89" s="3" t="n"/>
      <c r="C89" s="3">
        <f>IFERROR(XLOOKUP(B89,'Opportunity Scoring'!$A:$A,'Opportunity Scoring'!$B:$B),"")</f>
        <v/>
      </c>
      <c r="D89" s="3" t="n"/>
      <c r="E89" s="3" t="n"/>
      <c r="F89" s="3">
        <f>IFERROR(XLOOKUP(B89,'Opportunity Scoring'!$A:$A,'Opportunity Scoring'!$D:$D),"")</f>
        <v/>
      </c>
      <c r="G89" s="3" t="n"/>
      <c r="H89" s="3" t="n"/>
      <c r="I89" s="3" t="n"/>
      <c r="J89" s="3" t="n"/>
      <c r="K89" s="3" t="n"/>
      <c r="L89" s="3" t="n"/>
      <c r="M89" s="3" t="n"/>
      <c r="N89" s="3" t="n"/>
      <c r="O89" s="3" t="n"/>
      <c r="P89" s="3" t="n"/>
      <c r="Q89" s="3" t="n"/>
      <c r="R89" s="3" t="n"/>
    </row>
    <row r="90" ht="25" customHeight="1">
      <c r="A90" s="2">
        <f>IF(B90="","","DS-"&amp;TEXT(ROW()-1,"0000"))</f>
        <v/>
      </c>
      <c r="B90" s="2" t="n"/>
      <c r="C90" s="2">
        <f>IFERROR(XLOOKUP(B90,'Opportunity Scoring'!$A:$A,'Opportunity Scoring'!$B:$B),"")</f>
        <v/>
      </c>
      <c r="D90" s="2" t="n"/>
      <c r="E90" s="2" t="n"/>
      <c r="F90" s="2">
        <f>IFERROR(XLOOKUP(B90,'Opportunity Scoring'!$A:$A,'Opportunity Scoring'!$D:$D),"")</f>
        <v/>
      </c>
      <c r="G90" s="2" t="n"/>
      <c r="H90" s="2" t="n"/>
      <c r="I90" s="2" t="n"/>
      <c r="J90" s="2" t="n"/>
      <c r="K90" s="2" t="n"/>
      <c r="L90" s="2" t="n"/>
      <c r="M90" s="2" t="n"/>
      <c r="N90" s="2" t="n"/>
      <c r="O90" s="2" t="n"/>
      <c r="P90" s="2" t="n"/>
      <c r="Q90" s="2" t="n"/>
      <c r="R90" s="2" t="n"/>
    </row>
    <row r="91" ht="25" customHeight="1">
      <c r="A91" s="3">
        <f>IF(B91="","","DS-"&amp;TEXT(ROW()-1,"0000"))</f>
        <v/>
      </c>
      <c r="B91" s="3" t="n"/>
      <c r="C91" s="3">
        <f>IFERROR(XLOOKUP(B91,'Opportunity Scoring'!$A:$A,'Opportunity Scoring'!$B:$B),"")</f>
        <v/>
      </c>
      <c r="D91" s="3" t="n"/>
      <c r="E91" s="3" t="n"/>
      <c r="F91" s="3">
        <f>IFERROR(XLOOKUP(B91,'Opportunity Scoring'!$A:$A,'Opportunity Scoring'!$D:$D),"")</f>
        <v/>
      </c>
      <c r="G91" s="3" t="n"/>
      <c r="H91" s="3" t="n"/>
      <c r="I91" s="3" t="n"/>
      <c r="J91" s="3" t="n"/>
      <c r="K91" s="3" t="n"/>
      <c r="L91" s="3" t="n"/>
      <c r="M91" s="3" t="n"/>
      <c r="N91" s="3" t="n"/>
      <c r="O91" s="3" t="n"/>
      <c r="P91" s="3" t="n"/>
      <c r="Q91" s="3" t="n"/>
      <c r="R91" s="3" t="n"/>
    </row>
    <row r="92" ht="25" customHeight="1">
      <c r="A92" s="2">
        <f>IF(B92="","","DS-"&amp;TEXT(ROW()-1,"0000"))</f>
        <v/>
      </c>
      <c r="B92" s="2" t="n"/>
      <c r="C92" s="2">
        <f>IFERROR(XLOOKUP(B92,'Opportunity Scoring'!$A:$A,'Opportunity Scoring'!$B:$B),"")</f>
        <v/>
      </c>
      <c r="D92" s="2" t="n"/>
      <c r="E92" s="2" t="n"/>
      <c r="F92" s="2">
        <f>IFERROR(XLOOKUP(B92,'Opportunity Scoring'!$A:$A,'Opportunity Scoring'!$D:$D),"")</f>
        <v/>
      </c>
      <c r="G92" s="2" t="n"/>
      <c r="H92" s="2" t="n"/>
      <c r="I92" s="2" t="n"/>
      <c r="J92" s="2" t="n"/>
      <c r="K92" s="2" t="n"/>
      <c r="L92" s="2" t="n"/>
      <c r="M92" s="2" t="n"/>
      <c r="N92" s="2" t="n"/>
      <c r="O92" s="2" t="n"/>
      <c r="P92" s="2" t="n"/>
      <c r="Q92" s="2" t="n"/>
      <c r="R92" s="2" t="n"/>
    </row>
    <row r="93" ht="25" customHeight="1">
      <c r="A93" s="3">
        <f>IF(B93="","","DS-"&amp;TEXT(ROW()-1,"0000"))</f>
        <v/>
      </c>
      <c r="B93" s="3" t="n"/>
      <c r="C93" s="3">
        <f>IFERROR(XLOOKUP(B93,'Opportunity Scoring'!$A:$A,'Opportunity Scoring'!$B:$B),"")</f>
        <v/>
      </c>
      <c r="D93" s="3" t="n"/>
      <c r="E93" s="3" t="n"/>
      <c r="F93" s="3">
        <f>IFERROR(XLOOKUP(B93,'Opportunity Scoring'!$A:$A,'Opportunity Scoring'!$D:$D),"")</f>
        <v/>
      </c>
      <c r="G93" s="3" t="n"/>
      <c r="H93" s="3" t="n"/>
      <c r="I93" s="3" t="n"/>
      <c r="J93" s="3" t="n"/>
      <c r="K93" s="3" t="n"/>
      <c r="L93" s="3" t="n"/>
      <c r="M93" s="3" t="n"/>
      <c r="N93" s="3" t="n"/>
      <c r="O93" s="3" t="n"/>
      <c r="P93" s="3" t="n"/>
      <c r="Q93" s="3" t="n"/>
      <c r="R93" s="3" t="n"/>
    </row>
    <row r="94" ht="25" customHeight="1">
      <c r="A94" s="2">
        <f>IF(B94="","","DS-"&amp;TEXT(ROW()-1,"0000"))</f>
        <v/>
      </c>
      <c r="B94" s="2" t="n"/>
      <c r="C94" s="2">
        <f>IFERROR(XLOOKUP(B94,'Opportunity Scoring'!$A:$A,'Opportunity Scoring'!$B:$B),"")</f>
        <v/>
      </c>
      <c r="D94" s="2" t="n"/>
      <c r="E94" s="2" t="n"/>
      <c r="F94" s="2">
        <f>IFERROR(XLOOKUP(B94,'Opportunity Scoring'!$A:$A,'Opportunity Scoring'!$D:$D),"")</f>
        <v/>
      </c>
      <c r="G94" s="2" t="n"/>
      <c r="H94" s="2" t="n"/>
      <c r="I94" s="2" t="n"/>
      <c r="J94" s="2" t="n"/>
      <c r="K94" s="2" t="n"/>
      <c r="L94" s="2" t="n"/>
      <c r="M94" s="2" t="n"/>
      <c r="N94" s="2" t="n"/>
      <c r="O94" s="2" t="n"/>
      <c r="P94" s="2" t="n"/>
      <c r="Q94" s="2" t="n"/>
      <c r="R94" s="2" t="n"/>
    </row>
    <row r="95" ht="25" customHeight="1">
      <c r="A95" s="3">
        <f>IF(B95="","","DS-"&amp;TEXT(ROW()-1,"0000"))</f>
        <v/>
      </c>
      <c r="B95" s="3" t="n"/>
      <c r="C95" s="3">
        <f>IFERROR(XLOOKUP(B95,'Opportunity Scoring'!$A:$A,'Opportunity Scoring'!$B:$B),"")</f>
        <v/>
      </c>
      <c r="D95" s="3" t="n"/>
      <c r="E95" s="3" t="n"/>
      <c r="F95" s="3">
        <f>IFERROR(XLOOKUP(B95,'Opportunity Scoring'!$A:$A,'Opportunity Scoring'!$D:$D),"")</f>
        <v/>
      </c>
      <c r="G95" s="3" t="n"/>
      <c r="H95" s="3" t="n"/>
      <c r="I95" s="3" t="n"/>
      <c r="J95" s="3" t="n"/>
      <c r="K95" s="3" t="n"/>
      <c r="L95" s="3" t="n"/>
      <c r="M95" s="3" t="n"/>
      <c r="N95" s="3" t="n"/>
      <c r="O95" s="3" t="n"/>
      <c r="P95" s="3" t="n"/>
      <c r="Q95" s="3" t="n"/>
      <c r="R95" s="3" t="n"/>
    </row>
    <row r="96" ht="25" customHeight="1">
      <c r="A96" s="2">
        <f>IF(B96="","","DS-"&amp;TEXT(ROW()-1,"0000"))</f>
        <v/>
      </c>
      <c r="B96" s="2" t="n"/>
      <c r="C96" s="2">
        <f>IFERROR(XLOOKUP(B96,'Opportunity Scoring'!$A:$A,'Opportunity Scoring'!$B:$B),"")</f>
        <v/>
      </c>
      <c r="D96" s="2" t="n"/>
      <c r="E96" s="2" t="n"/>
      <c r="F96" s="2">
        <f>IFERROR(XLOOKUP(B96,'Opportunity Scoring'!$A:$A,'Opportunity Scoring'!$D:$D),"")</f>
        <v/>
      </c>
      <c r="G96" s="2" t="n"/>
      <c r="H96" s="2" t="n"/>
      <c r="I96" s="2" t="n"/>
      <c r="J96" s="2" t="n"/>
      <c r="K96" s="2" t="n"/>
      <c r="L96" s="2" t="n"/>
      <c r="M96" s="2" t="n"/>
      <c r="N96" s="2" t="n"/>
      <c r="O96" s="2" t="n"/>
      <c r="P96" s="2" t="n"/>
      <c r="Q96" s="2" t="n"/>
      <c r="R96" s="2" t="n"/>
    </row>
    <row r="97" ht="25" customHeight="1">
      <c r="A97" s="3">
        <f>IF(B97="","","DS-"&amp;TEXT(ROW()-1,"0000"))</f>
        <v/>
      </c>
      <c r="B97" s="3" t="n"/>
      <c r="C97" s="3">
        <f>IFERROR(XLOOKUP(B97,'Opportunity Scoring'!$A:$A,'Opportunity Scoring'!$B:$B),"")</f>
        <v/>
      </c>
      <c r="D97" s="3" t="n"/>
      <c r="E97" s="3" t="n"/>
      <c r="F97" s="3">
        <f>IFERROR(XLOOKUP(B97,'Opportunity Scoring'!$A:$A,'Opportunity Scoring'!$D:$D),"")</f>
        <v/>
      </c>
      <c r="G97" s="3" t="n"/>
      <c r="H97" s="3" t="n"/>
      <c r="I97" s="3" t="n"/>
      <c r="J97" s="3" t="n"/>
      <c r="K97" s="3" t="n"/>
      <c r="L97" s="3" t="n"/>
      <c r="M97" s="3" t="n"/>
      <c r="N97" s="3" t="n"/>
      <c r="O97" s="3" t="n"/>
      <c r="P97" s="3" t="n"/>
      <c r="Q97" s="3" t="n"/>
      <c r="R97" s="3" t="n"/>
    </row>
    <row r="98" ht="25" customHeight="1">
      <c r="A98" s="2">
        <f>IF(B98="","","DS-"&amp;TEXT(ROW()-1,"0000"))</f>
        <v/>
      </c>
      <c r="B98" s="2" t="n"/>
      <c r="C98" s="2">
        <f>IFERROR(XLOOKUP(B98,'Opportunity Scoring'!$A:$A,'Opportunity Scoring'!$B:$B),"")</f>
        <v/>
      </c>
      <c r="D98" s="2" t="n"/>
      <c r="E98" s="2" t="n"/>
      <c r="F98" s="2">
        <f>IFERROR(XLOOKUP(B98,'Opportunity Scoring'!$A:$A,'Opportunity Scoring'!$D:$D),"")</f>
        <v/>
      </c>
      <c r="G98" s="2" t="n"/>
      <c r="H98" s="2" t="n"/>
      <c r="I98" s="2" t="n"/>
      <c r="J98" s="2" t="n"/>
      <c r="K98" s="2" t="n"/>
      <c r="L98" s="2" t="n"/>
      <c r="M98" s="2" t="n"/>
      <c r="N98" s="2" t="n"/>
      <c r="O98" s="2" t="n"/>
      <c r="P98" s="2" t="n"/>
      <c r="Q98" s="2" t="n"/>
      <c r="R98" s="2" t="n"/>
    </row>
    <row r="99" ht="25" customHeight="1">
      <c r="A99" s="3">
        <f>IF(B99="","","DS-"&amp;TEXT(ROW()-1,"0000"))</f>
        <v/>
      </c>
      <c r="B99" s="3" t="n"/>
      <c r="C99" s="3">
        <f>IFERROR(XLOOKUP(B99,'Opportunity Scoring'!$A:$A,'Opportunity Scoring'!$B:$B),"")</f>
        <v/>
      </c>
      <c r="D99" s="3" t="n"/>
      <c r="E99" s="3" t="n"/>
      <c r="F99" s="3">
        <f>IFERROR(XLOOKUP(B99,'Opportunity Scoring'!$A:$A,'Opportunity Scoring'!$D:$D),"")</f>
        <v/>
      </c>
      <c r="G99" s="3" t="n"/>
      <c r="H99" s="3" t="n"/>
      <c r="I99" s="3" t="n"/>
      <c r="J99" s="3" t="n"/>
      <c r="K99" s="3" t="n"/>
      <c r="L99" s="3" t="n"/>
      <c r="M99" s="3" t="n"/>
      <c r="N99" s="3" t="n"/>
      <c r="O99" s="3" t="n"/>
      <c r="P99" s="3" t="n"/>
      <c r="Q99" s="3" t="n"/>
      <c r="R99" s="3" t="n"/>
    </row>
    <row r="100" ht="25" customHeight="1">
      <c r="A100" s="2">
        <f>IF(B100="","","DS-"&amp;TEXT(ROW()-1,"0000"))</f>
        <v/>
      </c>
      <c r="B100" s="2" t="n"/>
      <c r="C100" s="2">
        <f>IFERROR(XLOOKUP(B100,'Opportunity Scoring'!$A:$A,'Opportunity Scoring'!$B:$B),"")</f>
        <v/>
      </c>
      <c r="D100" s="2" t="n"/>
      <c r="E100" s="2" t="n"/>
      <c r="F100" s="2">
        <f>IFERROR(XLOOKUP(B100,'Opportunity Scoring'!$A:$A,'Opportunity Scoring'!$D:$D),"")</f>
        <v/>
      </c>
      <c r="G100" s="2" t="n"/>
      <c r="H100" s="2" t="n"/>
      <c r="I100" s="2" t="n"/>
      <c r="J100" s="2" t="n"/>
      <c r="K100" s="2" t="n"/>
      <c r="L100" s="2" t="n"/>
      <c r="M100" s="2" t="n"/>
      <c r="N100" s="2" t="n"/>
      <c r="O100" s="2" t="n"/>
      <c r="P100" s="2" t="n"/>
      <c r="Q100" s="2" t="n"/>
      <c r="R100" s="2" t="n"/>
    </row>
    <row r="101" ht="25" customHeight="1">
      <c r="A101" s="3">
        <f>IF(B101="","","DS-"&amp;TEXT(ROW()-1,"0000"))</f>
        <v/>
      </c>
      <c r="B101" s="3" t="n"/>
      <c r="C101" s="3">
        <f>IFERROR(XLOOKUP(B101,'Opportunity Scoring'!$A:$A,'Opportunity Scoring'!$B:$B),"")</f>
        <v/>
      </c>
      <c r="D101" s="3" t="n"/>
      <c r="E101" s="3" t="n"/>
      <c r="F101" s="3">
        <f>IFERROR(XLOOKUP(B101,'Opportunity Scoring'!$A:$A,'Opportunity Scoring'!$D:$D),"")</f>
        <v/>
      </c>
      <c r="G101" s="3" t="n"/>
      <c r="H101" s="3" t="n"/>
      <c r="I101" s="3" t="n"/>
      <c r="J101" s="3" t="n"/>
      <c r="K101" s="3" t="n"/>
      <c r="L101" s="3" t="n"/>
      <c r="M101" s="3" t="n"/>
      <c r="N101" s="3" t="n"/>
      <c r="O101" s="3" t="n"/>
      <c r="P101" s="3" t="n"/>
      <c r="Q101" s="3" t="n"/>
      <c r="R101" s="3" t="n"/>
    </row>
    <row r="102" ht="25" customHeight="1">
      <c r="A102" s="2">
        <f>IF(B102="","","DS-"&amp;TEXT(ROW()-1,"0000"))</f>
        <v/>
      </c>
      <c r="B102" s="2" t="n"/>
      <c r="C102" s="2">
        <f>IFERROR(XLOOKUP(B102,'Opportunity Scoring'!$A:$A,'Opportunity Scoring'!$B:$B),"")</f>
        <v/>
      </c>
      <c r="D102" s="2" t="n"/>
      <c r="E102" s="2" t="n"/>
      <c r="F102" s="2">
        <f>IFERROR(XLOOKUP(B102,'Opportunity Scoring'!$A:$A,'Opportunity Scoring'!$D:$D),"")</f>
        <v/>
      </c>
      <c r="G102" s="2" t="n"/>
      <c r="H102" s="2" t="n"/>
      <c r="I102" s="2" t="n"/>
      <c r="J102" s="2" t="n"/>
      <c r="K102" s="2" t="n"/>
      <c r="L102" s="2" t="n"/>
      <c r="M102" s="2" t="n"/>
      <c r="N102" s="2" t="n"/>
      <c r="O102" s="2" t="n"/>
      <c r="P102" s="2" t="n"/>
      <c r="Q102" s="2" t="n"/>
      <c r="R102" s="2" t="n"/>
    </row>
    <row r="103" ht="25" customHeight="1">
      <c r="A103" s="3">
        <f>IF(B103="","","DS-"&amp;TEXT(ROW()-1,"0000"))</f>
        <v/>
      </c>
      <c r="B103" s="3" t="n"/>
      <c r="C103" s="3">
        <f>IFERROR(XLOOKUP(B103,'Opportunity Scoring'!$A:$A,'Opportunity Scoring'!$B:$B),"")</f>
        <v/>
      </c>
      <c r="D103" s="3" t="n"/>
      <c r="E103" s="3" t="n"/>
      <c r="F103" s="3">
        <f>IFERROR(XLOOKUP(B103,'Opportunity Scoring'!$A:$A,'Opportunity Scoring'!$D:$D),"")</f>
        <v/>
      </c>
      <c r="G103" s="3" t="n"/>
      <c r="H103" s="3" t="n"/>
      <c r="I103" s="3" t="n"/>
      <c r="J103" s="3" t="n"/>
      <c r="K103" s="3" t="n"/>
      <c r="L103" s="3" t="n"/>
      <c r="M103" s="3" t="n"/>
      <c r="N103" s="3" t="n"/>
      <c r="O103" s="3" t="n"/>
      <c r="P103" s="3" t="n"/>
      <c r="Q103" s="3" t="n"/>
      <c r="R103" s="3" t="n"/>
    </row>
    <row r="104" ht="25" customHeight="1">
      <c r="A104" s="2">
        <f>IF(B104="","","DS-"&amp;TEXT(ROW()-1,"0000"))</f>
        <v/>
      </c>
      <c r="B104" s="2" t="n"/>
      <c r="C104" s="2">
        <f>IFERROR(XLOOKUP(B104,'Opportunity Scoring'!$A:$A,'Opportunity Scoring'!$B:$B),"")</f>
        <v/>
      </c>
      <c r="D104" s="2" t="n"/>
      <c r="E104" s="2" t="n"/>
      <c r="F104" s="2">
        <f>IFERROR(XLOOKUP(B104,'Opportunity Scoring'!$A:$A,'Opportunity Scoring'!$D:$D),"")</f>
        <v/>
      </c>
      <c r="G104" s="2" t="n"/>
      <c r="H104" s="2" t="n"/>
      <c r="I104" s="2" t="n"/>
      <c r="J104" s="2" t="n"/>
      <c r="K104" s="2" t="n"/>
      <c r="L104" s="2" t="n"/>
      <c r="M104" s="2" t="n"/>
      <c r="N104" s="2" t="n"/>
      <c r="O104" s="2" t="n"/>
      <c r="P104" s="2" t="n"/>
      <c r="Q104" s="2" t="n"/>
      <c r="R104" s="2" t="n"/>
    </row>
    <row r="105" ht="25" customHeight="1">
      <c r="A105" s="3">
        <f>IF(B105="","","DS-"&amp;TEXT(ROW()-1,"0000"))</f>
        <v/>
      </c>
      <c r="B105" s="3" t="n"/>
      <c r="C105" s="3">
        <f>IFERROR(XLOOKUP(B105,'Opportunity Scoring'!$A:$A,'Opportunity Scoring'!$B:$B),"")</f>
        <v/>
      </c>
      <c r="D105" s="3" t="n"/>
      <c r="E105" s="3" t="n"/>
      <c r="F105" s="3">
        <f>IFERROR(XLOOKUP(B105,'Opportunity Scoring'!$A:$A,'Opportunity Scoring'!$D:$D),"")</f>
        <v/>
      </c>
      <c r="G105" s="3" t="n"/>
      <c r="H105" s="3" t="n"/>
      <c r="I105" s="3" t="n"/>
      <c r="J105" s="3" t="n"/>
      <c r="K105" s="3" t="n"/>
      <c r="L105" s="3" t="n"/>
      <c r="M105" s="3" t="n"/>
      <c r="N105" s="3" t="n"/>
      <c r="O105" s="3" t="n"/>
      <c r="P105" s="3" t="n"/>
      <c r="Q105" s="3" t="n"/>
      <c r="R105" s="3" t="n"/>
    </row>
    <row r="106" ht="25" customHeight="1">
      <c r="A106" s="2">
        <f>IF(B106="","","DS-"&amp;TEXT(ROW()-1,"0000"))</f>
        <v/>
      </c>
      <c r="B106" s="2" t="n"/>
      <c r="C106" s="2">
        <f>IFERROR(XLOOKUP(B106,'Opportunity Scoring'!$A:$A,'Opportunity Scoring'!$B:$B),"")</f>
        <v/>
      </c>
      <c r="D106" s="2" t="n"/>
      <c r="E106" s="2" t="n"/>
      <c r="F106" s="2">
        <f>IFERROR(XLOOKUP(B106,'Opportunity Scoring'!$A:$A,'Opportunity Scoring'!$D:$D),"")</f>
        <v/>
      </c>
      <c r="G106" s="2" t="n"/>
      <c r="H106" s="2" t="n"/>
      <c r="I106" s="2" t="n"/>
      <c r="J106" s="2" t="n"/>
      <c r="K106" s="2" t="n"/>
      <c r="L106" s="2" t="n"/>
      <c r="M106" s="2" t="n"/>
      <c r="N106" s="2" t="n"/>
      <c r="O106" s="2" t="n"/>
      <c r="P106" s="2" t="n"/>
      <c r="Q106" s="2" t="n"/>
      <c r="R106" s="2" t="n"/>
    </row>
    <row r="107" ht="25" customHeight="1">
      <c r="A107" s="3">
        <f>IF(B107="","","DS-"&amp;TEXT(ROW()-1,"0000"))</f>
        <v/>
      </c>
      <c r="B107" s="3" t="n"/>
      <c r="C107" s="3">
        <f>IFERROR(XLOOKUP(B107,'Opportunity Scoring'!$A:$A,'Opportunity Scoring'!$B:$B),"")</f>
        <v/>
      </c>
      <c r="D107" s="3" t="n"/>
      <c r="E107" s="3" t="n"/>
      <c r="F107" s="3">
        <f>IFERROR(XLOOKUP(B107,'Opportunity Scoring'!$A:$A,'Opportunity Scoring'!$D:$D),"")</f>
        <v/>
      </c>
      <c r="G107" s="3" t="n"/>
      <c r="H107" s="3" t="n"/>
      <c r="I107" s="3" t="n"/>
      <c r="J107" s="3" t="n"/>
      <c r="K107" s="3" t="n"/>
      <c r="L107" s="3" t="n"/>
      <c r="M107" s="3" t="n"/>
      <c r="N107" s="3" t="n"/>
      <c r="O107" s="3" t="n"/>
      <c r="P107" s="3" t="n"/>
      <c r="Q107" s="3" t="n"/>
      <c r="R107" s="3" t="n"/>
    </row>
    <row r="108" ht="25" customHeight="1">
      <c r="A108" s="2">
        <f>IF(B108="","","DS-"&amp;TEXT(ROW()-1,"0000"))</f>
        <v/>
      </c>
      <c r="B108" s="2" t="n"/>
      <c r="C108" s="2">
        <f>IFERROR(XLOOKUP(B108,'Opportunity Scoring'!$A:$A,'Opportunity Scoring'!$B:$B),"")</f>
        <v/>
      </c>
      <c r="D108" s="2" t="n"/>
      <c r="E108" s="2" t="n"/>
      <c r="F108" s="2">
        <f>IFERROR(XLOOKUP(B108,'Opportunity Scoring'!$A:$A,'Opportunity Scoring'!$D:$D),"")</f>
        <v/>
      </c>
      <c r="G108" s="2" t="n"/>
      <c r="H108" s="2" t="n"/>
      <c r="I108" s="2" t="n"/>
      <c r="J108" s="2" t="n"/>
      <c r="K108" s="2" t="n"/>
      <c r="L108" s="2" t="n"/>
      <c r="M108" s="2" t="n"/>
      <c r="N108" s="2" t="n"/>
      <c r="O108" s="2" t="n"/>
      <c r="P108" s="2" t="n"/>
      <c r="Q108" s="2" t="n"/>
      <c r="R108" s="2" t="n"/>
    </row>
    <row r="109" ht="25" customHeight="1">
      <c r="A109" s="3">
        <f>IF(B109="","","DS-"&amp;TEXT(ROW()-1,"0000"))</f>
        <v/>
      </c>
      <c r="B109" s="3" t="n"/>
      <c r="C109" s="3">
        <f>IFERROR(XLOOKUP(B109,'Opportunity Scoring'!$A:$A,'Opportunity Scoring'!$B:$B),"")</f>
        <v/>
      </c>
      <c r="D109" s="3" t="n"/>
      <c r="E109" s="3" t="n"/>
      <c r="F109" s="3">
        <f>IFERROR(XLOOKUP(B109,'Opportunity Scoring'!$A:$A,'Opportunity Scoring'!$D:$D),"")</f>
        <v/>
      </c>
      <c r="G109" s="3" t="n"/>
      <c r="H109" s="3" t="n"/>
      <c r="I109" s="3" t="n"/>
      <c r="J109" s="3" t="n"/>
      <c r="K109" s="3" t="n"/>
      <c r="L109" s="3" t="n"/>
      <c r="M109" s="3" t="n"/>
      <c r="N109" s="3" t="n"/>
      <c r="O109" s="3" t="n"/>
      <c r="P109" s="3" t="n"/>
      <c r="Q109" s="3" t="n"/>
      <c r="R109" s="3" t="n"/>
    </row>
    <row r="110" ht="25" customHeight="1">
      <c r="A110" s="2">
        <f>IF(B110="","","DS-"&amp;TEXT(ROW()-1,"0000"))</f>
        <v/>
      </c>
      <c r="B110" s="2" t="n"/>
      <c r="C110" s="2">
        <f>IFERROR(XLOOKUP(B110,'Opportunity Scoring'!$A:$A,'Opportunity Scoring'!$B:$B),"")</f>
        <v/>
      </c>
      <c r="D110" s="2" t="n"/>
      <c r="E110" s="2" t="n"/>
      <c r="F110" s="2">
        <f>IFERROR(XLOOKUP(B110,'Opportunity Scoring'!$A:$A,'Opportunity Scoring'!$D:$D),"")</f>
        <v/>
      </c>
      <c r="G110" s="2" t="n"/>
      <c r="H110" s="2" t="n"/>
      <c r="I110" s="2" t="n"/>
      <c r="J110" s="2" t="n"/>
      <c r="K110" s="2" t="n"/>
      <c r="L110" s="2" t="n"/>
      <c r="M110" s="2" t="n"/>
      <c r="N110" s="2" t="n"/>
      <c r="O110" s="2" t="n"/>
      <c r="P110" s="2" t="n"/>
      <c r="Q110" s="2" t="n"/>
      <c r="R110" s="2" t="n"/>
    </row>
    <row r="111" ht="25" customHeight="1">
      <c r="A111" s="3">
        <f>IF(B111="","","DS-"&amp;TEXT(ROW()-1,"0000"))</f>
        <v/>
      </c>
      <c r="B111" s="3" t="n"/>
      <c r="C111" s="3">
        <f>IFERROR(XLOOKUP(B111,'Opportunity Scoring'!$A:$A,'Opportunity Scoring'!$B:$B),"")</f>
        <v/>
      </c>
      <c r="D111" s="3" t="n"/>
      <c r="E111" s="3" t="n"/>
      <c r="F111" s="3">
        <f>IFERROR(XLOOKUP(B111,'Opportunity Scoring'!$A:$A,'Opportunity Scoring'!$D:$D),"")</f>
        <v/>
      </c>
      <c r="G111" s="3" t="n"/>
      <c r="H111" s="3" t="n"/>
      <c r="I111" s="3" t="n"/>
      <c r="J111" s="3" t="n"/>
      <c r="K111" s="3" t="n"/>
      <c r="L111" s="3" t="n"/>
      <c r="M111" s="3" t="n"/>
      <c r="N111" s="3" t="n"/>
      <c r="O111" s="3" t="n"/>
      <c r="P111" s="3" t="n"/>
      <c r="Q111" s="3" t="n"/>
      <c r="R111" s="3" t="n"/>
    </row>
    <row r="112" ht="25" customHeight="1">
      <c r="A112" s="2">
        <f>IF(B112="","","DS-"&amp;TEXT(ROW()-1,"0000"))</f>
        <v/>
      </c>
      <c r="B112" s="2" t="n"/>
      <c r="C112" s="2">
        <f>IFERROR(XLOOKUP(B112,'Opportunity Scoring'!$A:$A,'Opportunity Scoring'!$B:$B),"")</f>
        <v/>
      </c>
      <c r="D112" s="2" t="n"/>
      <c r="E112" s="2" t="n"/>
      <c r="F112" s="2">
        <f>IFERROR(XLOOKUP(B112,'Opportunity Scoring'!$A:$A,'Opportunity Scoring'!$D:$D),"")</f>
        <v/>
      </c>
      <c r="G112" s="2" t="n"/>
      <c r="H112" s="2" t="n"/>
      <c r="I112" s="2" t="n"/>
      <c r="J112" s="2" t="n"/>
      <c r="K112" s="2" t="n"/>
      <c r="L112" s="2" t="n"/>
      <c r="M112" s="2" t="n"/>
      <c r="N112" s="2" t="n"/>
      <c r="O112" s="2" t="n"/>
      <c r="P112" s="2" t="n"/>
      <c r="Q112" s="2" t="n"/>
      <c r="R112" s="2" t="n"/>
    </row>
    <row r="113" ht="25" customHeight="1">
      <c r="A113" s="3">
        <f>IF(B113="","","DS-"&amp;TEXT(ROW()-1,"0000"))</f>
        <v/>
      </c>
      <c r="B113" s="3" t="n"/>
      <c r="C113" s="3">
        <f>IFERROR(XLOOKUP(B113,'Opportunity Scoring'!$A:$A,'Opportunity Scoring'!$B:$B),"")</f>
        <v/>
      </c>
      <c r="D113" s="3" t="n"/>
      <c r="E113" s="3" t="n"/>
      <c r="F113" s="3">
        <f>IFERROR(XLOOKUP(B113,'Opportunity Scoring'!$A:$A,'Opportunity Scoring'!$D:$D),"")</f>
        <v/>
      </c>
      <c r="G113" s="3" t="n"/>
      <c r="H113" s="3" t="n"/>
      <c r="I113" s="3" t="n"/>
      <c r="J113" s="3" t="n"/>
      <c r="K113" s="3" t="n"/>
      <c r="L113" s="3" t="n"/>
      <c r="M113" s="3" t="n"/>
      <c r="N113" s="3" t="n"/>
      <c r="O113" s="3" t="n"/>
      <c r="P113" s="3" t="n"/>
      <c r="Q113" s="3" t="n"/>
      <c r="R113" s="3" t="n"/>
    </row>
    <row r="114" ht="25" customHeight="1">
      <c r="A114" s="2">
        <f>IF(B114="","","DS-"&amp;TEXT(ROW()-1,"0000"))</f>
        <v/>
      </c>
      <c r="B114" s="2" t="n"/>
      <c r="C114" s="2">
        <f>IFERROR(XLOOKUP(B114,'Opportunity Scoring'!$A:$A,'Opportunity Scoring'!$B:$B),"")</f>
        <v/>
      </c>
      <c r="D114" s="2" t="n"/>
      <c r="E114" s="2" t="n"/>
      <c r="F114" s="2">
        <f>IFERROR(XLOOKUP(B114,'Opportunity Scoring'!$A:$A,'Opportunity Scoring'!$D:$D),"")</f>
        <v/>
      </c>
      <c r="G114" s="2" t="n"/>
      <c r="H114" s="2" t="n"/>
      <c r="I114" s="2" t="n"/>
      <c r="J114" s="2" t="n"/>
      <c r="K114" s="2" t="n"/>
      <c r="L114" s="2" t="n"/>
      <c r="M114" s="2" t="n"/>
      <c r="N114" s="2" t="n"/>
      <c r="O114" s="2" t="n"/>
      <c r="P114" s="2" t="n"/>
      <c r="Q114" s="2" t="n"/>
      <c r="R114" s="2" t="n"/>
    </row>
    <row r="115" ht="25" customHeight="1">
      <c r="A115" s="3">
        <f>IF(B115="","","DS-"&amp;TEXT(ROW()-1,"0000"))</f>
        <v/>
      </c>
      <c r="B115" s="3" t="n"/>
      <c r="C115" s="3">
        <f>IFERROR(XLOOKUP(B115,'Opportunity Scoring'!$A:$A,'Opportunity Scoring'!$B:$B),"")</f>
        <v/>
      </c>
      <c r="D115" s="3" t="n"/>
      <c r="E115" s="3" t="n"/>
      <c r="F115" s="3">
        <f>IFERROR(XLOOKUP(B115,'Opportunity Scoring'!$A:$A,'Opportunity Scoring'!$D:$D),"")</f>
        <v/>
      </c>
      <c r="G115" s="3" t="n"/>
      <c r="H115" s="3" t="n"/>
      <c r="I115" s="3" t="n"/>
      <c r="J115" s="3" t="n"/>
      <c r="K115" s="3" t="n"/>
      <c r="L115" s="3" t="n"/>
      <c r="M115" s="3" t="n"/>
      <c r="N115" s="3" t="n"/>
      <c r="O115" s="3" t="n"/>
      <c r="P115" s="3" t="n"/>
      <c r="Q115" s="3" t="n"/>
      <c r="R115" s="3" t="n"/>
    </row>
    <row r="116" ht="25" customHeight="1">
      <c r="A116" s="2">
        <f>IF(B116="","","DS-"&amp;TEXT(ROW()-1,"0000"))</f>
        <v/>
      </c>
      <c r="B116" s="2" t="n"/>
      <c r="C116" s="2">
        <f>IFERROR(XLOOKUP(B116,'Opportunity Scoring'!$A:$A,'Opportunity Scoring'!$B:$B),"")</f>
        <v/>
      </c>
      <c r="D116" s="2" t="n"/>
      <c r="E116" s="2" t="n"/>
      <c r="F116" s="2">
        <f>IFERROR(XLOOKUP(B116,'Opportunity Scoring'!$A:$A,'Opportunity Scoring'!$D:$D),"")</f>
        <v/>
      </c>
      <c r="G116" s="2" t="n"/>
      <c r="H116" s="2" t="n"/>
      <c r="I116" s="2" t="n"/>
      <c r="J116" s="2" t="n"/>
      <c r="K116" s="2" t="n"/>
      <c r="L116" s="2" t="n"/>
      <c r="M116" s="2" t="n"/>
      <c r="N116" s="2" t="n"/>
      <c r="O116" s="2" t="n"/>
      <c r="P116" s="2" t="n"/>
      <c r="Q116" s="2" t="n"/>
      <c r="R116" s="2" t="n"/>
    </row>
    <row r="117" ht="25" customHeight="1">
      <c r="A117" s="3">
        <f>IF(B117="","","DS-"&amp;TEXT(ROW()-1,"0000"))</f>
        <v/>
      </c>
      <c r="B117" s="3" t="n"/>
      <c r="C117" s="3">
        <f>IFERROR(XLOOKUP(B117,'Opportunity Scoring'!$A:$A,'Opportunity Scoring'!$B:$B),"")</f>
        <v/>
      </c>
      <c r="D117" s="3" t="n"/>
      <c r="E117" s="3" t="n"/>
      <c r="F117" s="3">
        <f>IFERROR(XLOOKUP(B117,'Opportunity Scoring'!$A:$A,'Opportunity Scoring'!$D:$D),"")</f>
        <v/>
      </c>
      <c r="G117" s="3" t="n"/>
      <c r="H117" s="3" t="n"/>
      <c r="I117" s="3" t="n"/>
      <c r="J117" s="3" t="n"/>
      <c r="K117" s="3" t="n"/>
      <c r="L117" s="3" t="n"/>
      <c r="M117" s="3" t="n"/>
      <c r="N117" s="3" t="n"/>
      <c r="O117" s="3" t="n"/>
      <c r="P117" s="3" t="n"/>
      <c r="Q117" s="3" t="n"/>
      <c r="R117" s="3" t="n"/>
    </row>
    <row r="118" ht="25" customHeight="1">
      <c r="A118" s="2">
        <f>IF(B118="","","DS-"&amp;TEXT(ROW()-1,"0000"))</f>
        <v/>
      </c>
      <c r="B118" s="2" t="n"/>
      <c r="C118" s="2">
        <f>IFERROR(XLOOKUP(B118,'Opportunity Scoring'!$A:$A,'Opportunity Scoring'!$B:$B),"")</f>
        <v/>
      </c>
      <c r="D118" s="2" t="n"/>
      <c r="E118" s="2" t="n"/>
      <c r="F118" s="2">
        <f>IFERROR(XLOOKUP(B118,'Opportunity Scoring'!$A:$A,'Opportunity Scoring'!$D:$D),"")</f>
        <v/>
      </c>
      <c r="G118" s="2" t="n"/>
      <c r="H118" s="2" t="n"/>
      <c r="I118" s="2" t="n"/>
      <c r="J118" s="2" t="n"/>
      <c r="K118" s="2" t="n"/>
      <c r="L118" s="2" t="n"/>
      <c r="M118" s="2" t="n"/>
      <c r="N118" s="2" t="n"/>
      <c r="O118" s="2" t="n"/>
      <c r="P118" s="2" t="n"/>
      <c r="Q118" s="2" t="n"/>
      <c r="R118" s="2" t="n"/>
    </row>
    <row r="119" ht="25" customHeight="1">
      <c r="A119" s="3">
        <f>IF(B119="","","DS-"&amp;TEXT(ROW()-1,"0000"))</f>
        <v/>
      </c>
      <c r="B119" s="3" t="n"/>
      <c r="C119" s="3">
        <f>IFERROR(XLOOKUP(B119,'Opportunity Scoring'!$A:$A,'Opportunity Scoring'!$B:$B),"")</f>
        <v/>
      </c>
      <c r="D119" s="3" t="n"/>
      <c r="E119" s="3" t="n"/>
      <c r="F119" s="3">
        <f>IFERROR(XLOOKUP(B119,'Opportunity Scoring'!$A:$A,'Opportunity Scoring'!$D:$D),"")</f>
        <v/>
      </c>
      <c r="G119" s="3" t="n"/>
      <c r="H119" s="3" t="n"/>
      <c r="I119" s="3" t="n"/>
      <c r="J119" s="3" t="n"/>
      <c r="K119" s="3" t="n"/>
      <c r="L119" s="3" t="n"/>
      <c r="M119" s="3" t="n"/>
      <c r="N119" s="3" t="n"/>
      <c r="O119" s="3" t="n"/>
      <c r="P119" s="3" t="n"/>
      <c r="Q119" s="3" t="n"/>
      <c r="R119" s="3" t="n"/>
    </row>
    <row r="120" ht="25" customHeight="1">
      <c r="A120" s="2">
        <f>IF(B120="","","DS-"&amp;TEXT(ROW()-1,"0000"))</f>
        <v/>
      </c>
      <c r="B120" s="2" t="n"/>
      <c r="C120" s="2">
        <f>IFERROR(XLOOKUP(B120,'Opportunity Scoring'!$A:$A,'Opportunity Scoring'!$B:$B),"")</f>
        <v/>
      </c>
      <c r="D120" s="2" t="n"/>
      <c r="E120" s="2" t="n"/>
      <c r="F120" s="2">
        <f>IFERROR(XLOOKUP(B120,'Opportunity Scoring'!$A:$A,'Opportunity Scoring'!$D:$D),"")</f>
        <v/>
      </c>
      <c r="G120" s="2" t="n"/>
      <c r="H120" s="2" t="n"/>
      <c r="I120" s="2" t="n"/>
      <c r="J120" s="2" t="n"/>
      <c r="K120" s="2" t="n"/>
      <c r="L120" s="2" t="n"/>
      <c r="M120" s="2" t="n"/>
      <c r="N120" s="2" t="n"/>
      <c r="O120" s="2" t="n"/>
      <c r="P120" s="2" t="n"/>
      <c r="Q120" s="2" t="n"/>
      <c r="R120" s="2" t="n"/>
    </row>
    <row r="121" ht="25" customHeight="1">
      <c r="A121" s="3">
        <f>IF(B121="","","DS-"&amp;TEXT(ROW()-1,"0000"))</f>
        <v/>
      </c>
      <c r="B121" s="3" t="n"/>
      <c r="C121" s="3">
        <f>IFERROR(XLOOKUP(B121,'Opportunity Scoring'!$A:$A,'Opportunity Scoring'!$B:$B),"")</f>
        <v/>
      </c>
      <c r="D121" s="3" t="n"/>
      <c r="E121" s="3" t="n"/>
      <c r="F121" s="3">
        <f>IFERROR(XLOOKUP(B121,'Opportunity Scoring'!$A:$A,'Opportunity Scoring'!$D:$D),"")</f>
        <v/>
      </c>
      <c r="G121" s="3" t="n"/>
      <c r="H121" s="3" t="n"/>
      <c r="I121" s="3" t="n"/>
      <c r="J121" s="3" t="n"/>
      <c r="K121" s="3" t="n"/>
      <c r="L121" s="3" t="n"/>
      <c r="M121" s="3" t="n"/>
      <c r="N121" s="3" t="n"/>
      <c r="O121" s="3" t="n"/>
      <c r="P121" s="3" t="n"/>
      <c r="Q121" s="3" t="n"/>
      <c r="R121" s="3" t="n"/>
    </row>
    <row r="122" ht="25" customHeight="1">
      <c r="A122" s="2">
        <f>IF(B122="","","DS-"&amp;TEXT(ROW()-1,"0000"))</f>
        <v/>
      </c>
      <c r="B122" s="2" t="n"/>
      <c r="C122" s="2">
        <f>IFERROR(XLOOKUP(B122,'Opportunity Scoring'!$A:$A,'Opportunity Scoring'!$B:$B),"")</f>
        <v/>
      </c>
      <c r="D122" s="2" t="n"/>
      <c r="E122" s="2" t="n"/>
      <c r="F122" s="2">
        <f>IFERROR(XLOOKUP(B122,'Opportunity Scoring'!$A:$A,'Opportunity Scoring'!$D:$D),"")</f>
        <v/>
      </c>
      <c r="G122" s="2" t="n"/>
      <c r="H122" s="2" t="n"/>
      <c r="I122" s="2" t="n"/>
      <c r="J122" s="2" t="n"/>
      <c r="K122" s="2" t="n"/>
      <c r="L122" s="2" t="n"/>
      <c r="M122" s="2" t="n"/>
      <c r="N122" s="2" t="n"/>
      <c r="O122" s="2" t="n"/>
      <c r="P122" s="2" t="n"/>
      <c r="Q122" s="2" t="n"/>
      <c r="R122" s="2" t="n"/>
    </row>
    <row r="123" ht="25" customHeight="1">
      <c r="A123" s="3">
        <f>IF(B123="","","DS-"&amp;TEXT(ROW()-1,"0000"))</f>
        <v/>
      </c>
      <c r="B123" s="3" t="n"/>
      <c r="C123" s="3">
        <f>IFERROR(XLOOKUP(B123,'Opportunity Scoring'!$A:$A,'Opportunity Scoring'!$B:$B),"")</f>
        <v/>
      </c>
      <c r="D123" s="3" t="n"/>
      <c r="E123" s="3" t="n"/>
      <c r="F123" s="3">
        <f>IFERROR(XLOOKUP(B123,'Opportunity Scoring'!$A:$A,'Opportunity Scoring'!$D:$D),"")</f>
        <v/>
      </c>
      <c r="G123" s="3" t="n"/>
      <c r="H123" s="3" t="n"/>
      <c r="I123" s="3" t="n"/>
      <c r="J123" s="3" t="n"/>
      <c r="K123" s="3" t="n"/>
      <c r="L123" s="3" t="n"/>
      <c r="M123" s="3" t="n"/>
      <c r="N123" s="3" t="n"/>
      <c r="O123" s="3" t="n"/>
      <c r="P123" s="3" t="n"/>
      <c r="Q123" s="3" t="n"/>
      <c r="R123" s="3" t="n"/>
    </row>
    <row r="124" ht="25" customHeight="1">
      <c r="A124" s="2">
        <f>IF(B124="","","DS-"&amp;TEXT(ROW()-1,"0000"))</f>
        <v/>
      </c>
      <c r="B124" s="2" t="n"/>
      <c r="C124" s="2">
        <f>IFERROR(XLOOKUP(B124,'Opportunity Scoring'!$A:$A,'Opportunity Scoring'!$B:$B),"")</f>
        <v/>
      </c>
      <c r="D124" s="2" t="n"/>
      <c r="E124" s="2" t="n"/>
      <c r="F124" s="2">
        <f>IFERROR(XLOOKUP(B124,'Opportunity Scoring'!$A:$A,'Opportunity Scoring'!$D:$D),"")</f>
        <v/>
      </c>
      <c r="G124" s="2" t="n"/>
      <c r="H124" s="2" t="n"/>
      <c r="I124" s="2" t="n"/>
      <c r="J124" s="2" t="n"/>
      <c r="K124" s="2" t="n"/>
      <c r="L124" s="2" t="n"/>
      <c r="M124" s="2" t="n"/>
      <c r="N124" s="2" t="n"/>
      <c r="O124" s="2" t="n"/>
      <c r="P124" s="2" t="n"/>
      <c r="Q124" s="2" t="n"/>
      <c r="R124" s="2" t="n"/>
    </row>
    <row r="125" ht="25" customHeight="1">
      <c r="A125" s="3">
        <f>IF(B125="","","DS-"&amp;TEXT(ROW()-1,"0000"))</f>
        <v/>
      </c>
      <c r="B125" s="3" t="n"/>
      <c r="C125" s="3">
        <f>IFERROR(XLOOKUP(B125,'Opportunity Scoring'!$A:$A,'Opportunity Scoring'!$B:$B),"")</f>
        <v/>
      </c>
      <c r="D125" s="3" t="n"/>
      <c r="E125" s="3" t="n"/>
      <c r="F125" s="3">
        <f>IFERROR(XLOOKUP(B125,'Opportunity Scoring'!$A:$A,'Opportunity Scoring'!$D:$D),"")</f>
        <v/>
      </c>
      <c r="G125" s="3" t="n"/>
      <c r="H125" s="3" t="n"/>
      <c r="I125" s="3" t="n"/>
      <c r="J125" s="3" t="n"/>
      <c r="K125" s="3" t="n"/>
      <c r="L125" s="3" t="n"/>
      <c r="M125" s="3" t="n"/>
      <c r="N125" s="3" t="n"/>
      <c r="O125" s="3" t="n"/>
      <c r="P125" s="3" t="n"/>
      <c r="Q125" s="3" t="n"/>
      <c r="R125" s="3" t="n"/>
    </row>
    <row r="126" ht="25" customHeight="1">
      <c r="A126" s="2">
        <f>IF(B126="","","DS-"&amp;TEXT(ROW()-1,"0000"))</f>
        <v/>
      </c>
      <c r="B126" s="2" t="n"/>
      <c r="C126" s="2">
        <f>IFERROR(XLOOKUP(B126,'Opportunity Scoring'!$A:$A,'Opportunity Scoring'!$B:$B),"")</f>
        <v/>
      </c>
      <c r="D126" s="2" t="n"/>
      <c r="E126" s="2" t="n"/>
      <c r="F126" s="2">
        <f>IFERROR(XLOOKUP(B126,'Opportunity Scoring'!$A:$A,'Opportunity Scoring'!$D:$D),"")</f>
        <v/>
      </c>
      <c r="G126" s="2" t="n"/>
      <c r="H126" s="2" t="n"/>
      <c r="I126" s="2" t="n"/>
      <c r="J126" s="2" t="n"/>
      <c r="K126" s="2" t="n"/>
      <c r="L126" s="2" t="n"/>
      <c r="M126" s="2" t="n"/>
      <c r="N126" s="2" t="n"/>
      <c r="O126" s="2" t="n"/>
      <c r="P126" s="2" t="n"/>
      <c r="Q126" s="2" t="n"/>
      <c r="R126" s="2" t="n"/>
    </row>
    <row r="127" ht="25" customHeight="1">
      <c r="A127" s="3">
        <f>IF(B127="","","DS-"&amp;TEXT(ROW()-1,"0000"))</f>
        <v/>
      </c>
      <c r="B127" s="3" t="n"/>
      <c r="C127" s="3">
        <f>IFERROR(XLOOKUP(B127,'Opportunity Scoring'!$A:$A,'Opportunity Scoring'!$B:$B),"")</f>
        <v/>
      </c>
      <c r="D127" s="3" t="n"/>
      <c r="E127" s="3" t="n"/>
      <c r="F127" s="3">
        <f>IFERROR(XLOOKUP(B127,'Opportunity Scoring'!$A:$A,'Opportunity Scoring'!$D:$D),"")</f>
        <v/>
      </c>
      <c r="G127" s="3" t="n"/>
      <c r="H127" s="3" t="n"/>
      <c r="I127" s="3" t="n"/>
      <c r="J127" s="3" t="n"/>
      <c r="K127" s="3" t="n"/>
      <c r="L127" s="3" t="n"/>
      <c r="M127" s="3" t="n"/>
      <c r="N127" s="3" t="n"/>
      <c r="O127" s="3" t="n"/>
      <c r="P127" s="3" t="n"/>
      <c r="Q127" s="3" t="n"/>
      <c r="R127" s="3" t="n"/>
    </row>
    <row r="128" ht="25" customHeight="1">
      <c r="A128" s="2">
        <f>IF(B128="","","DS-"&amp;TEXT(ROW()-1,"0000"))</f>
        <v/>
      </c>
      <c r="B128" s="2" t="n"/>
      <c r="C128" s="2">
        <f>IFERROR(XLOOKUP(B128,'Opportunity Scoring'!$A:$A,'Opportunity Scoring'!$B:$B),"")</f>
        <v/>
      </c>
      <c r="D128" s="2" t="n"/>
      <c r="E128" s="2" t="n"/>
      <c r="F128" s="2">
        <f>IFERROR(XLOOKUP(B128,'Opportunity Scoring'!$A:$A,'Opportunity Scoring'!$D:$D),"")</f>
        <v/>
      </c>
      <c r="G128" s="2" t="n"/>
      <c r="H128" s="2" t="n"/>
      <c r="I128" s="2" t="n"/>
      <c r="J128" s="2" t="n"/>
      <c r="K128" s="2" t="n"/>
      <c r="L128" s="2" t="n"/>
      <c r="M128" s="2" t="n"/>
      <c r="N128" s="2" t="n"/>
      <c r="O128" s="2" t="n"/>
      <c r="P128" s="2" t="n"/>
      <c r="Q128" s="2" t="n"/>
      <c r="R128" s="2" t="n"/>
    </row>
    <row r="129" ht="25" customHeight="1">
      <c r="A129" s="3">
        <f>IF(B129="","","DS-"&amp;TEXT(ROW()-1,"0000"))</f>
        <v/>
      </c>
      <c r="B129" s="3" t="n"/>
      <c r="C129" s="3">
        <f>IFERROR(XLOOKUP(B129,'Opportunity Scoring'!$A:$A,'Opportunity Scoring'!$B:$B),"")</f>
        <v/>
      </c>
      <c r="D129" s="3" t="n"/>
      <c r="E129" s="3" t="n"/>
      <c r="F129" s="3">
        <f>IFERROR(XLOOKUP(B129,'Opportunity Scoring'!$A:$A,'Opportunity Scoring'!$D:$D),"")</f>
        <v/>
      </c>
      <c r="G129" s="3" t="n"/>
      <c r="H129" s="3" t="n"/>
      <c r="I129" s="3" t="n"/>
      <c r="J129" s="3" t="n"/>
      <c r="K129" s="3" t="n"/>
      <c r="L129" s="3" t="n"/>
      <c r="M129" s="3" t="n"/>
      <c r="N129" s="3" t="n"/>
      <c r="O129" s="3" t="n"/>
      <c r="P129" s="3" t="n"/>
      <c r="Q129" s="3" t="n"/>
      <c r="R129" s="3" t="n"/>
    </row>
    <row r="130" ht="25" customHeight="1">
      <c r="A130" s="2">
        <f>IF(B130="","","DS-"&amp;TEXT(ROW()-1,"0000"))</f>
        <v/>
      </c>
      <c r="B130" s="2" t="n"/>
      <c r="C130" s="2">
        <f>IFERROR(XLOOKUP(B130,'Opportunity Scoring'!$A:$A,'Opportunity Scoring'!$B:$B),"")</f>
        <v/>
      </c>
      <c r="D130" s="2" t="n"/>
      <c r="E130" s="2" t="n"/>
      <c r="F130" s="2">
        <f>IFERROR(XLOOKUP(B130,'Opportunity Scoring'!$A:$A,'Opportunity Scoring'!$D:$D),"")</f>
        <v/>
      </c>
      <c r="G130" s="2" t="n"/>
      <c r="H130" s="2" t="n"/>
      <c r="I130" s="2" t="n"/>
      <c r="J130" s="2" t="n"/>
      <c r="K130" s="2" t="n"/>
      <c r="L130" s="2" t="n"/>
      <c r="M130" s="2" t="n"/>
      <c r="N130" s="2" t="n"/>
      <c r="O130" s="2" t="n"/>
      <c r="P130" s="2" t="n"/>
      <c r="Q130" s="2" t="n"/>
      <c r="R130" s="2" t="n"/>
    </row>
    <row r="131" ht="25" customHeight="1">
      <c r="A131" s="3">
        <f>IF(B131="","","DS-"&amp;TEXT(ROW()-1,"0000"))</f>
        <v/>
      </c>
      <c r="B131" s="3" t="n"/>
      <c r="C131" s="3">
        <f>IFERROR(XLOOKUP(B131,'Opportunity Scoring'!$A:$A,'Opportunity Scoring'!$B:$B),"")</f>
        <v/>
      </c>
      <c r="D131" s="3" t="n"/>
      <c r="E131" s="3" t="n"/>
      <c r="F131" s="3">
        <f>IFERROR(XLOOKUP(B131,'Opportunity Scoring'!$A:$A,'Opportunity Scoring'!$D:$D),"")</f>
        <v/>
      </c>
      <c r="G131" s="3" t="n"/>
      <c r="H131" s="3" t="n"/>
      <c r="I131" s="3" t="n"/>
      <c r="J131" s="3" t="n"/>
      <c r="K131" s="3" t="n"/>
      <c r="L131" s="3" t="n"/>
      <c r="M131" s="3" t="n"/>
      <c r="N131" s="3" t="n"/>
      <c r="O131" s="3" t="n"/>
      <c r="P131" s="3" t="n"/>
      <c r="Q131" s="3" t="n"/>
      <c r="R131" s="3" t="n"/>
    </row>
    <row r="132" ht="25" customHeight="1">
      <c r="A132" s="2">
        <f>IF(B132="","","DS-"&amp;TEXT(ROW()-1,"0000"))</f>
        <v/>
      </c>
      <c r="B132" s="2" t="n"/>
      <c r="C132" s="2">
        <f>IFERROR(XLOOKUP(B132,'Opportunity Scoring'!$A:$A,'Opportunity Scoring'!$B:$B),"")</f>
        <v/>
      </c>
      <c r="D132" s="2" t="n"/>
      <c r="E132" s="2" t="n"/>
      <c r="F132" s="2">
        <f>IFERROR(XLOOKUP(B132,'Opportunity Scoring'!$A:$A,'Opportunity Scoring'!$D:$D),"")</f>
        <v/>
      </c>
      <c r="G132" s="2" t="n"/>
      <c r="H132" s="2" t="n"/>
      <c r="I132" s="2" t="n"/>
      <c r="J132" s="2" t="n"/>
      <c r="K132" s="2" t="n"/>
      <c r="L132" s="2" t="n"/>
      <c r="M132" s="2" t="n"/>
      <c r="N132" s="2" t="n"/>
      <c r="O132" s="2" t="n"/>
      <c r="P132" s="2" t="n"/>
      <c r="Q132" s="2" t="n"/>
      <c r="R132" s="2" t="n"/>
    </row>
    <row r="133" ht="25" customHeight="1">
      <c r="A133" s="3">
        <f>IF(B133="","","DS-"&amp;TEXT(ROW()-1,"0000"))</f>
        <v/>
      </c>
      <c r="B133" s="3" t="n"/>
      <c r="C133" s="3">
        <f>IFERROR(XLOOKUP(B133,'Opportunity Scoring'!$A:$A,'Opportunity Scoring'!$B:$B),"")</f>
        <v/>
      </c>
      <c r="D133" s="3" t="n"/>
      <c r="E133" s="3" t="n"/>
      <c r="F133" s="3">
        <f>IFERROR(XLOOKUP(B133,'Opportunity Scoring'!$A:$A,'Opportunity Scoring'!$D:$D),"")</f>
        <v/>
      </c>
      <c r="G133" s="3" t="n"/>
      <c r="H133" s="3" t="n"/>
      <c r="I133" s="3" t="n"/>
      <c r="J133" s="3" t="n"/>
      <c r="K133" s="3" t="n"/>
      <c r="L133" s="3" t="n"/>
      <c r="M133" s="3" t="n"/>
      <c r="N133" s="3" t="n"/>
      <c r="O133" s="3" t="n"/>
      <c r="P133" s="3" t="n"/>
      <c r="Q133" s="3" t="n"/>
      <c r="R133" s="3" t="n"/>
    </row>
    <row r="134" ht="25" customHeight="1">
      <c r="A134" s="2">
        <f>IF(B134="","","DS-"&amp;TEXT(ROW()-1,"0000"))</f>
        <v/>
      </c>
      <c r="B134" s="2" t="n"/>
      <c r="C134" s="2">
        <f>IFERROR(XLOOKUP(B134,'Opportunity Scoring'!$A:$A,'Opportunity Scoring'!$B:$B),"")</f>
        <v/>
      </c>
      <c r="D134" s="2" t="n"/>
      <c r="E134" s="2" t="n"/>
      <c r="F134" s="2">
        <f>IFERROR(XLOOKUP(B134,'Opportunity Scoring'!$A:$A,'Opportunity Scoring'!$D:$D),"")</f>
        <v/>
      </c>
      <c r="G134" s="2" t="n"/>
      <c r="H134" s="2" t="n"/>
      <c r="I134" s="2" t="n"/>
      <c r="J134" s="2" t="n"/>
      <c r="K134" s="2" t="n"/>
      <c r="L134" s="2" t="n"/>
      <c r="M134" s="2" t="n"/>
      <c r="N134" s="2" t="n"/>
      <c r="O134" s="2" t="n"/>
      <c r="P134" s="2" t="n"/>
      <c r="Q134" s="2" t="n"/>
      <c r="R134" s="2" t="n"/>
    </row>
    <row r="135" ht="25" customHeight="1">
      <c r="A135" s="3">
        <f>IF(B135="","","DS-"&amp;TEXT(ROW()-1,"0000"))</f>
        <v/>
      </c>
      <c r="B135" s="3" t="n"/>
      <c r="C135" s="3">
        <f>IFERROR(XLOOKUP(B135,'Opportunity Scoring'!$A:$A,'Opportunity Scoring'!$B:$B),"")</f>
        <v/>
      </c>
      <c r="D135" s="3" t="n"/>
      <c r="E135" s="3" t="n"/>
      <c r="F135" s="3">
        <f>IFERROR(XLOOKUP(B135,'Opportunity Scoring'!$A:$A,'Opportunity Scoring'!$D:$D),"")</f>
        <v/>
      </c>
      <c r="G135" s="3" t="n"/>
      <c r="H135" s="3" t="n"/>
      <c r="I135" s="3" t="n"/>
      <c r="J135" s="3" t="n"/>
      <c r="K135" s="3" t="n"/>
      <c r="L135" s="3" t="n"/>
      <c r="M135" s="3" t="n"/>
      <c r="N135" s="3" t="n"/>
      <c r="O135" s="3" t="n"/>
      <c r="P135" s="3" t="n"/>
      <c r="Q135" s="3" t="n"/>
      <c r="R135" s="3" t="n"/>
    </row>
    <row r="136" ht="25" customHeight="1">
      <c r="A136" s="2">
        <f>IF(B136="","","DS-"&amp;TEXT(ROW()-1,"0000"))</f>
        <v/>
      </c>
      <c r="B136" s="2" t="n"/>
      <c r="C136" s="2">
        <f>IFERROR(XLOOKUP(B136,'Opportunity Scoring'!$A:$A,'Opportunity Scoring'!$B:$B),"")</f>
        <v/>
      </c>
      <c r="D136" s="2" t="n"/>
      <c r="E136" s="2" t="n"/>
      <c r="F136" s="2">
        <f>IFERROR(XLOOKUP(B136,'Opportunity Scoring'!$A:$A,'Opportunity Scoring'!$D:$D),"")</f>
        <v/>
      </c>
      <c r="G136" s="2" t="n"/>
      <c r="H136" s="2" t="n"/>
      <c r="I136" s="2" t="n"/>
      <c r="J136" s="2" t="n"/>
      <c r="K136" s="2" t="n"/>
      <c r="L136" s="2" t="n"/>
      <c r="M136" s="2" t="n"/>
      <c r="N136" s="2" t="n"/>
      <c r="O136" s="2" t="n"/>
      <c r="P136" s="2" t="n"/>
      <c r="Q136" s="2" t="n"/>
      <c r="R136" s="2" t="n"/>
    </row>
    <row r="137" ht="25" customHeight="1">
      <c r="A137" s="3">
        <f>IF(B137="","","DS-"&amp;TEXT(ROW()-1,"0000"))</f>
        <v/>
      </c>
      <c r="B137" s="3" t="n"/>
      <c r="C137" s="3">
        <f>IFERROR(XLOOKUP(B137,'Opportunity Scoring'!$A:$A,'Opportunity Scoring'!$B:$B),"")</f>
        <v/>
      </c>
      <c r="D137" s="3" t="n"/>
      <c r="E137" s="3" t="n"/>
      <c r="F137" s="3">
        <f>IFERROR(XLOOKUP(B137,'Opportunity Scoring'!$A:$A,'Opportunity Scoring'!$D:$D),"")</f>
        <v/>
      </c>
      <c r="G137" s="3" t="n"/>
      <c r="H137" s="3" t="n"/>
      <c r="I137" s="3" t="n"/>
      <c r="J137" s="3" t="n"/>
      <c r="K137" s="3" t="n"/>
      <c r="L137" s="3" t="n"/>
      <c r="M137" s="3" t="n"/>
      <c r="N137" s="3" t="n"/>
      <c r="O137" s="3" t="n"/>
      <c r="P137" s="3" t="n"/>
      <c r="Q137" s="3" t="n"/>
      <c r="R137" s="3" t="n"/>
    </row>
    <row r="138" ht="25" customHeight="1">
      <c r="A138" s="2">
        <f>IF(B138="","","DS-"&amp;TEXT(ROW()-1,"0000"))</f>
        <v/>
      </c>
      <c r="B138" s="2" t="n"/>
      <c r="C138" s="2">
        <f>IFERROR(XLOOKUP(B138,'Opportunity Scoring'!$A:$A,'Opportunity Scoring'!$B:$B),"")</f>
        <v/>
      </c>
      <c r="D138" s="2" t="n"/>
      <c r="E138" s="2" t="n"/>
      <c r="F138" s="2">
        <f>IFERROR(XLOOKUP(B138,'Opportunity Scoring'!$A:$A,'Opportunity Scoring'!$D:$D),"")</f>
        <v/>
      </c>
      <c r="G138" s="2" t="n"/>
      <c r="H138" s="2" t="n"/>
      <c r="I138" s="2" t="n"/>
      <c r="J138" s="2" t="n"/>
      <c r="K138" s="2" t="n"/>
      <c r="L138" s="2" t="n"/>
      <c r="M138" s="2" t="n"/>
      <c r="N138" s="2" t="n"/>
      <c r="O138" s="2" t="n"/>
      <c r="P138" s="2" t="n"/>
      <c r="Q138" s="2" t="n"/>
      <c r="R138" s="2" t="n"/>
    </row>
    <row r="139" ht="25" customHeight="1">
      <c r="A139" s="3">
        <f>IF(B139="","","DS-"&amp;TEXT(ROW()-1,"0000"))</f>
        <v/>
      </c>
      <c r="B139" s="3" t="n"/>
      <c r="C139" s="3">
        <f>IFERROR(XLOOKUP(B139,'Opportunity Scoring'!$A:$A,'Opportunity Scoring'!$B:$B),"")</f>
        <v/>
      </c>
      <c r="D139" s="3" t="n"/>
      <c r="E139" s="3" t="n"/>
      <c r="F139" s="3">
        <f>IFERROR(XLOOKUP(B139,'Opportunity Scoring'!$A:$A,'Opportunity Scoring'!$D:$D),"")</f>
        <v/>
      </c>
      <c r="G139" s="3" t="n"/>
      <c r="H139" s="3" t="n"/>
      <c r="I139" s="3" t="n"/>
      <c r="J139" s="3" t="n"/>
      <c r="K139" s="3" t="n"/>
      <c r="L139" s="3" t="n"/>
      <c r="M139" s="3" t="n"/>
      <c r="N139" s="3" t="n"/>
      <c r="O139" s="3" t="n"/>
      <c r="P139" s="3" t="n"/>
      <c r="Q139" s="3" t="n"/>
      <c r="R139" s="3" t="n"/>
    </row>
    <row r="140" ht="25" customHeight="1">
      <c r="A140" s="2">
        <f>IF(B140="","","DS-"&amp;TEXT(ROW()-1,"0000"))</f>
        <v/>
      </c>
      <c r="B140" s="2" t="n"/>
      <c r="C140" s="2">
        <f>IFERROR(XLOOKUP(B140,'Opportunity Scoring'!$A:$A,'Opportunity Scoring'!$B:$B),"")</f>
        <v/>
      </c>
      <c r="D140" s="2" t="n"/>
      <c r="E140" s="2" t="n"/>
      <c r="F140" s="2">
        <f>IFERROR(XLOOKUP(B140,'Opportunity Scoring'!$A:$A,'Opportunity Scoring'!$D:$D),"")</f>
        <v/>
      </c>
      <c r="G140" s="2" t="n"/>
      <c r="H140" s="2" t="n"/>
      <c r="I140" s="2" t="n"/>
      <c r="J140" s="2" t="n"/>
      <c r="K140" s="2" t="n"/>
      <c r="L140" s="2" t="n"/>
      <c r="M140" s="2" t="n"/>
      <c r="N140" s="2" t="n"/>
      <c r="O140" s="2" t="n"/>
      <c r="P140" s="2" t="n"/>
      <c r="Q140" s="2" t="n"/>
      <c r="R140" s="2" t="n"/>
    </row>
    <row r="141" ht="25" customHeight="1">
      <c r="A141" s="3">
        <f>IF(B141="","","DS-"&amp;TEXT(ROW()-1,"0000"))</f>
        <v/>
      </c>
      <c r="B141" s="3" t="n"/>
      <c r="C141" s="3">
        <f>IFERROR(XLOOKUP(B141,'Opportunity Scoring'!$A:$A,'Opportunity Scoring'!$B:$B),"")</f>
        <v/>
      </c>
      <c r="D141" s="3" t="n"/>
      <c r="E141" s="3" t="n"/>
      <c r="F141" s="3">
        <f>IFERROR(XLOOKUP(B141,'Opportunity Scoring'!$A:$A,'Opportunity Scoring'!$D:$D),"")</f>
        <v/>
      </c>
      <c r="G141" s="3" t="n"/>
      <c r="H141" s="3" t="n"/>
      <c r="I141" s="3" t="n"/>
      <c r="J141" s="3" t="n"/>
      <c r="K141" s="3" t="n"/>
      <c r="L141" s="3" t="n"/>
      <c r="M141" s="3" t="n"/>
      <c r="N141" s="3" t="n"/>
      <c r="O141" s="3" t="n"/>
      <c r="P141" s="3" t="n"/>
      <c r="Q141" s="3" t="n"/>
      <c r="R141" s="3" t="n"/>
    </row>
    <row r="142" ht="25" customHeight="1">
      <c r="A142" s="2">
        <f>IF(B142="","","DS-"&amp;TEXT(ROW()-1,"0000"))</f>
        <v/>
      </c>
      <c r="B142" s="2" t="n"/>
      <c r="C142" s="2">
        <f>IFERROR(XLOOKUP(B142,'Opportunity Scoring'!$A:$A,'Opportunity Scoring'!$B:$B),"")</f>
        <v/>
      </c>
      <c r="D142" s="2" t="n"/>
      <c r="E142" s="2" t="n"/>
      <c r="F142" s="2">
        <f>IFERROR(XLOOKUP(B142,'Opportunity Scoring'!$A:$A,'Opportunity Scoring'!$D:$D),"")</f>
        <v/>
      </c>
      <c r="G142" s="2" t="n"/>
      <c r="H142" s="2" t="n"/>
      <c r="I142" s="2" t="n"/>
      <c r="J142" s="2" t="n"/>
      <c r="K142" s="2" t="n"/>
      <c r="L142" s="2" t="n"/>
      <c r="M142" s="2" t="n"/>
      <c r="N142" s="2" t="n"/>
      <c r="O142" s="2" t="n"/>
      <c r="P142" s="2" t="n"/>
      <c r="Q142" s="2" t="n"/>
      <c r="R142" s="2" t="n"/>
    </row>
    <row r="143" ht="25" customHeight="1">
      <c r="A143" s="3">
        <f>IF(B143="","","DS-"&amp;TEXT(ROW()-1,"0000"))</f>
        <v/>
      </c>
      <c r="B143" s="3" t="n"/>
      <c r="C143" s="3">
        <f>IFERROR(XLOOKUP(B143,'Opportunity Scoring'!$A:$A,'Opportunity Scoring'!$B:$B),"")</f>
        <v/>
      </c>
      <c r="D143" s="3" t="n"/>
      <c r="E143" s="3" t="n"/>
      <c r="F143" s="3">
        <f>IFERROR(XLOOKUP(B143,'Opportunity Scoring'!$A:$A,'Opportunity Scoring'!$D:$D),"")</f>
        <v/>
      </c>
      <c r="G143" s="3" t="n"/>
      <c r="H143" s="3" t="n"/>
      <c r="I143" s="3" t="n"/>
      <c r="J143" s="3" t="n"/>
      <c r="K143" s="3" t="n"/>
      <c r="L143" s="3" t="n"/>
      <c r="M143" s="3" t="n"/>
      <c r="N143" s="3" t="n"/>
      <c r="O143" s="3" t="n"/>
      <c r="P143" s="3" t="n"/>
      <c r="Q143" s="3" t="n"/>
      <c r="R143" s="3" t="n"/>
    </row>
    <row r="144" ht="25" customHeight="1">
      <c r="A144" s="2">
        <f>IF(B144="","","DS-"&amp;TEXT(ROW()-1,"0000"))</f>
        <v/>
      </c>
      <c r="B144" s="2" t="n"/>
      <c r="C144" s="2">
        <f>IFERROR(XLOOKUP(B144,'Opportunity Scoring'!$A:$A,'Opportunity Scoring'!$B:$B),"")</f>
        <v/>
      </c>
      <c r="D144" s="2" t="n"/>
      <c r="E144" s="2" t="n"/>
      <c r="F144" s="2">
        <f>IFERROR(XLOOKUP(B144,'Opportunity Scoring'!$A:$A,'Opportunity Scoring'!$D:$D),"")</f>
        <v/>
      </c>
      <c r="G144" s="2" t="n"/>
      <c r="H144" s="2" t="n"/>
      <c r="I144" s="2" t="n"/>
      <c r="J144" s="2" t="n"/>
      <c r="K144" s="2" t="n"/>
      <c r="L144" s="2" t="n"/>
      <c r="M144" s="2" t="n"/>
      <c r="N144" s="2" t="n"/>
      <c r="O144" s="2" t="n"/>
      <c r="P144" s="2" t="n"/>
      <c r="Q144" s="2" t="n"/>
      <c r="R144" s="2" t="n"/>
    </row>
    <row r="145" ht="25" customHeight="1">
      <c r="A145" s="3">
        <f>IF(B145="","","DS-"&amp;TEXT(ROW()-1,"0000"))</f>
        <v/>
      </c>
      <c r="B145" s="3" t="n"/>
      <c r="C145" s="3">
        <f>IFERROR(XLOOKUP(B145,'Opportunity Scoring'!$A:$A,'Opportunity Scoring'!$B:$B),"")</f>
        <v/>
      </c>
      <c r="D145" s="3" t="n"/>
      <c r="E145" s="3" t="n"/>
      <c r="F145" s="3">
        <f>IFERROR(XLOOKUP(B145,'Opportunity Scoring'!$A:$A,'Opportunity Scoring'!$D:$D),"")</f>
        <v/>
      </c>
      <c r="G145" s="3" t="n"/>
      <c r="H145" s="3" t="n"/>
      <c r="I145" s="3" t="n"/>
      <c r="J145" s="3" t="n"/>
      <c r="K145" s="3" t="n"/>
      <c r="L145" s="3" t="n"/>
      <c r="M145" s="3" t="n"/>
      <c r="N145" s="3" t="n"/>
      <c r="O145" s="3" t="n"/>
      <c r="P145" s="3" t="n"/>
      <c r="Q145" s="3" t="n"/>
      <c r="R145" s="3" t="n"/>
    </row>
    <row r="146" ht="25" customHeight="1">
      <c r="A146" s="2">
        <f>IF(B146="","","DS-"&amp;TEXT(ROW()-1,"0000"))</f>
        <v/>
      </c>
      <c r="B146" s="2" t="n"/>
      <c r="C146" s="2">
        <f>IFERROR(XLOOKUP(B146,'Opportunity Scoring'!$A:$A,'Opportunity Scoring'!$B:$B),"")</f>
        <v/>
      </c>
      <c r="D146" s="2" t="n"/>
      <c r="E146" s="2" t="n"/>
      <c r="F146" s="2">
        <f>IFERROR(XLOOKUP(B146,'Opportunity Scoring'!$A:$A,'Opportunity Scoring'!$D:$D),"")</f>
        <v/>
      </c>
      <c r="G146" s="2" t="n"/>
      <c r="H146" s="2" t="n"/>
      <c r="I146" s="2" t="n"/>
      <c r="J146" s="2" t="n"/>
      <c r="K146" s="2" t="n"/>
      <c r="L146" s="2" t="n"/>
      <c r="M146" s="2" t="n"/>
      <c r="N146" s="2" t="n"/>
      <c r="O146" s="2" t="n"/>
      <c r="P146" s="2" t="n"/>
      <c r="Q146" s="2" t="n"/>
      <c r="R146" s="2" t="n"/>
    </row>
    <row r="147" ht="25" customHeight="1">
      <c r="A147" s="3">
        <f>IF(B147="","","DS-"&amp;TEXT(ROW()-1,"0000"))</f>
        <v/>
      </c>
      <c r="B147" s="3" t="n"/>
      <c r="C147" s="3">
        <f>IFERROR(XLOOKUP(B147,'Opportunity Scoring'!$A:$A,'Opportunity Scoring'!$B:$B),"")</f>
        <v/>
      </c>
      <c r="D147" s="3" t="n"/>
      <c r="E147" s="3" t="n"/>
      <c r="F147" s="3">
        <f>IFERROR(XLOOKUP(B147,'Opportunity Scoring'!$A:$A,'Opportunity Scoring'!$D:$D),"")</f>
        <v/>
      </c>
      <c r="G147" s="3" t="n"/>
      <c r="H147" s="3" t="n"/>
      <c r="I147" s="3" t="n"/>
      <c r="J147" s="3" t="n"/>
      <c r="K147" s="3" t="n"/>
      <c r="L147" s="3" t="n"/>
      <c r="M147" s="3" t="n"/>
      <c r="N147" s="3" t="n"/>
      <c r="O147" s="3" t="n"/>
      <c r="P147" s="3" t="n"/>
      <c r="Q147" s="3" t="n"/>
      <c r="R147" s="3" t="n"/>
    </row>
    <row r="148" ht="25" customHeight="1">
      <c r="A148" s="2">
        <f>IF(B148="","","DS-"&amp;TEXT(ROW()-1,"0000"))</f>
        <v/>
      </c>
      <c r="B148" s="2" t="n"/>
      <c r="C148" s="2">
        <f>IFERROR(XLOOKUP(B148,'Opportunity Scoring'!$A:$A,'Opportunity Scoring'!$B:$B),"")</f>
        <v/>
      </c>
      <c r="D148" s="2" t="n"/>
      <c r="E148" s="2" t="n"/>
      <c r="F148" s="2">
        <f>IFERROR(XLOOKUP(B148,'Opportunity Scoring'!$A:$A,'Opportunity Scoring'!$D:$D),"")</f>
        <v/>
      </c>
      <c r="G148" s="2" t="n"/>
      <c r="H148" s="2" t="n"/>
      <c r="I148" s="2" t="n"/>
      <c r="J148" s="2" t="n"/>
      <c r="K148" s="2" t="n"/>
      <c r="L148" s="2" t="n"/>
      <c r="M148" s="2" t="n"/>
      <c r="N148" s="2" t="n"/>
      <c r="O148" s="2" t="n"/>
      <c r="P148" s="2" t="n"/>
      <c r="Q148" s="2" t="n"/>
      <c r="R148" s="2" t="n"/>
    </row>
    <row r="149" ht="25" customHeight="1">
      <c r="A149" s="3">
        <f>IF(B149="","","DS-"&amp;TEXT(ROW()-1,"0000"))</f>
        <v/>
      </c>
      <c r="B149" s="3" t="n"/>
      <c r="C149" s="3">
        <f>IFERROR(XLOOKUP(B149,'Opportunity Scoring'!$A:$A,'Opportunity Scoring'!$B:$B),"")</f>
        <v/>
      </c>
      <c r="D149" s="3" t="n"/>
      <c r="E149" s="3" t="n"/>
      <c r="F149" s="3">
        <f>IFERROR(XLOOKUP(B149,'Opportunity Scoring'!$A:$A,'Opportunity Scoring'!$D:$D),"")</f>
        <v/>
      </c>
      <c r="G149" s="3" t="n"/>
      <c r="H149" s="3" t="n"/>
      <c r="I149" s="3" t="n"/>
      <c r="J149" s="3" t="n"/>
      <c r="K149" s="3" t="n"/>
      <c r="L149" s="3" t="n"/>
      <c r="M149" s="3" t="n"/>
      <c r="N149" s="3" t="n"/>
      <c r="O149" s="3" t="n"/>
      <c r="P149" s="3" t="n"/>
      <c r="Q149" s="3" t="n"/>
      <c r="R149" s="3" t="n"/>
    </row>
    <row r="150" ht="25" customHeight="1">
      <c r="A150" s="2">
        <f>IF(B150="","","DS-"&amp;TEXT(ROW()-1,"0000"))</f>
        <v/>
      </c>
      <c r="B150" s="2" t="n"/>
      <c r="C150" s="2">
        <f>IFERROR(XLOOKUP(B150,'Opportunity Scoring'!$A:$A,'Opportunity Scoring'!$B:$B),"")</f>
        <v/>
      </c>
      <c r="D150" s="2" t="n"/>
      <c r="E150" s="2" t="n"/>
      <c r="F150" s="2">
        <f>IFERROR(XLOOKUP(B150,'Opportunity Scoring'!$A:$A,'Opportunity Scoring'!$D:$D),"")</f>
        <v/>
      </c>
      <c r="G150" s="2" t="n"/>
      <c r="H150" s="2" t="n"/>
      <c r="I150" s="2" t="n"/>
      <c r="J150" s="2" t="n"/>
      <c r="K150" s="2" t="n"/>
      <c r="L150" s="2" t="n"/>
      <c r="M150" s="2" t="n"/>
      <c r="N150" s="2" t="n"/>
      <c r="O150" s="2" t="n"/>
      <c r="P150" s="2" t="n"/>
      <c r="Q150" s="2" t="n"/>
      <c r="R150" s="2" t="n"/>
    </row>
    <row r="151" ht="25" customHeight="1">
      <c r="A151" s="3">
        <f>IF(B151="","","DS-"&amp;TEXT(ROW()-1,"0000"))</f>
        <v/>
      </c>
      <c r="B151" s="3" t="n"/>
      <c r="C151" s="3">
        <f>IFERROR(XLOOKUP(B151,'Opportunity Scoring'!$A:$A,'Opportunity Scoring'!$B:$B),"")</f>
        <v/>
      </c>
      <c r="D151" s="3" t="n"/>
      <c r="E151" s="3" t="n"/>
      <c r="F151" s="3">
        <f>IFERROR(XLOOKUP(B151,'Opportunity Scoring'!$A:$A,'Opportunity Scoring'!$D:$D),"")</f>
        <v/>
      </c>
      <c r="G151" s="3" t="n"/>
      <c r="H151" s="3" t="n"/>
      <c r="I151" s="3" t="n"/>
      <c r="J151" s="3" t="n"/>
      <c r="K151" s="3" t="n"/>
      <c r="L151" s="3" t="n"/>
      <c r="M151" s="3" t="n"/>
      <c r="N151" s="3" t="n"/>
      <c r="O151" s="3" t="n"/>
      <c r="P151" s="3" t="n"/>
      <c r="Q151" s="3" t="n"/>
      <c r="R151" s="3" t="n"/>
    </row>
    <row r="152" ht="25" customHeight="1">
      <c r="A152" s="2">
        <f>IF(B152="","","DS-"&amp;TEXT(ROW()-1,"0000"))</f>
        <v/>
      </c>
      <c r="B152" s="2" t="n"/>
      <c r="C152" s="2">
        <f>IFERROR(XLOOKUP(B152,'Opportunity Scoring'!$A:$A,'Opportunity Scoring'!$B:$B),"")</f>
        <v/>
      </c>
      <c r="D152" s="2" t="n"/>
      <c r="E152" s="2" t="n"/>
      <c r="F152" s="2">
        <f>IFERROR(XLOOKUP(B152,'Opportunity Scoring'!$A:$A,'Opportunity Scoring'!$D:$D),"")</f>
        <v/>
      </c>
      <c r="G152" s="2" t="n"/>
      <c r="H152" s="2" t="n"/>
      <c r="I152" s="2" t="n"/>
      <c r="J152" s="2" t="n"/>
      <c r="K152" s="2" t="n"/>
      <c r="L152" s="2" t="n"/>
      <c r="M152" s="2" t="n"/>
      <c r="N152" s="2" t="n"/>
      <c r="O152" s="2" t="n"/>
      <c r="P152" s="2" t="n"/>
      <c r="Q152" s="2" t="n"/>
      <c r="R152" s="2" t="n"/>
    </row>
    <row r="153" ht="25" customHeight="1">
      <c r="A153" s="3">
        <f>IF(B153="","","DS-"&amp;TEXT(ROW()-1,"0000"))</f>
        <v/>
      </c>
      <c r="B153" s="3" t="n"/>
      <c r="C153" s="3">
        <f>IFERROR(XLOOKUP(B153,'Opportunity Scoring'!$A:$A,'Opportunity Scoring'!$B:$B),"")</f>
        <v/>
      </c>
      <c r="D153" s="3" t="n"/>
      <c r="E153" s="3" t="n"/>
      <c r="F153" s="3">
        <f>IFERROR(XLOOKUP(B153,'Opportunity Scoring'!$A:$A,'Opportunity Scoring'!$D:$D),"")</f>
        <v/>
      </c>
      <c r="G153" s="3" t="n"/>
      <c r="H153" s="3" t="n"/>
      <c r="I153" s="3" t="n"/>
      <c r="J153" s="3" t="n"/>
      <c r="K153" s="3" t="n"/>
      <c r="L153" s="3" t="n"/>
      <c r="M153" s="3" t="n"/>
      <c r="N153" s="3" t="n"/>
      <c r="O153" s="3" t="n"/>
      <c r="P153" s="3" t="n"/>
      <c r="Q153" s="3" t="n"/>
      <c r="R153" s="3" t="n"/>
    </row>
    <row r="154" ht="25" customHeight="1">
      <c r="A154" s="2">
        <f>IF(B154="","","DS-"&amp;TEXT(ROW()-1,"0000"))</f>
        <v/>
      </c>
      <c r="B154" s="2" t="n"/>
      <c r="C154" s="2">
        <f>IFERROR(XLOOKUP(B154,'Opportunity Scoring'!$A:$A,'Opportunity Scoring'!$B:$B),"")</f>
        <v/>
      </c>
      <c r="D154" s="2" t="n"/>
      <c r="E154" s="2" t="n"/>
      <c r="F154" s="2">
        <f>IFERROR(XLOOKUP(B154,'Opportunity Scoring'!$A:$A,'Opportunity Scoring'!$D:$D),"")</f>
        <v/>
      </c>
      <c r="G154" s="2" t="n"/>
      <c r="H154" s="2" t="n"/>
      <c r="I154" s="2" t="n"/>
      <c r="J154" s="2" t="n"/>
      <c r="K154" s="2" t="n"/>
      <c r="L154" s="2" t="n"/>
      <c r="M154" s="2" t="n"/>
      <c r="N154" s="2" t="n"/>
      <c r="O154" s="2" t="n"/>
      <c r="P154" s="2" t="n"/>
      <c r="Q154" s="2" t="n"/>
      <c r="R154" s="2" t="n"/>
    </row>
    <row r="155" ht="25" customHeight="1">
      <c r="A155" s="3">
        <f>IF(B155="","","DS-"&amp;TEXT(ROW()-1,"0000"))</f>
        <v/>
      </c>
      <c r="B155" s="3" t="n"/>
      <c r="C155" s="3">
        <f>IFERROR(XLOOKUP(B155,'Opportunity Scoring'!$A:$A,'Opportunity Scoring'!$B:$B),"")</f>
        <v/>
      </c>
      <c r="D155" s="3" t="n"/>
      <c r="E155" s="3" t="n"/>
      <c r="F155" s="3">
        <f>IFERROR(XLOOKUP(B155,'Opportunity Scoring'!$A:$A,'Opportunity Scoring'!$D:$D),"")</f>
        <v/>
      </c>
      <c r="G155" s="3" t="n"/>
      <c r="H155" s="3" t="n"/>
      <c r="I155" s="3" t="n"/>
      <c r="J155" s="3" t="n"/>
      <c r="K155" s="3" t="n"/>
      <c r="L155" s="3" t="n"/>
      <c r="M155" s="3" t="n"/>
      <c r="N155" s="3" t="n"/>
      <c r="O155" s="3" t="n"/>
      <c r="P155" s="3" t="n"/>
      <c r="Q155" s="3" t="n"/>
      <c r="R155" s="3" t="n"/>
    </row>
    <row r="156" ht="25" customHeight="1">
      <c r="A156" s="2">
        <f>IF(B156="","","DS-"&amp;TEXT(ROW()-1,"0000"))</f>
        <v/>
      </c>
      <c r="B156" s="2" t="n"/>
      <c r="C156" s="2">
        <f>IFERROR(XLOOKUP(B156,'Opportunity Scoring'!$A:$A,'Opportunity Scoring'!$B:$B),"")</f>
        <v/>
      </c>
      <c r="D156" s="2" t="n"/>
      <c r="E156" s="2" t="n"/>
      <c r="F156" s="2">
        <f>IFERROR(XLOOKUP(B156,'Opportunity Scoring'!$A:$A,'Opportunity Scoring'!$D:$D),"")</f>
        <v/>
      </c>
      <c r="G156" s="2" t="n"/>
      <c r="H156" s="2" t="n"/>
      <c r="I156" s="2" t="n"/>
      <c r="J156" s="2" t="n"/>
      <c r="K156" s="2" t="n"/>
      <c r="L156" s="2" t="n"/>
      <c r="M156" s="2" t="n"/>
      <c r="N156" s="2" t="n"/>
      <c r="O156" s="2" t="n"/>
      <c r="P156" s="2" t="n"/>
      <c r="Q156" s="2" t="n"/>
      <c r="R156" s="2" t="n"/>
    </row>
    <row r="157" ht="25" customHeight="1">
      <c r="A157" s="3">
        <f>IF(B157="","","DS-"&amp;TEXT(ROW()-1,"0000"))</f>
        <v/>
      </c>
      <c r="B157" s="3" t="n"/>
      <c r="C157" s="3">
        <f>IFERROR(XLOOKUP(B157,'Opportunity Scoring'!$A:$A,'Opportunity Scoring'!$B:$B),"")</f>
        <v/>
      </c>
      <c r="D157" s="3" t="n"/>
      <c r="E157" s="3" t="n"/>
      <c r="F157" s="3">
        <f>IFERROR(XLOOKUP(B157,'Opportunity Scoring'!$A:$A,'Opportunity Scoring'!$D:$D),"")</f>
        <v/>
      </c>
      <c r="G157" s="3" t="n"/>
      <c r="H157" s="3" t="n"/>
      <c r="I157" s="3" t="n"/>
      <c r="J157" s="3" t="n"/>
      <c r="K157" s="3" t="n"/>
      <c r="L157" s="3" t="n"/>
      <c r="M157" s="3" t="n"/>
      <c r="N157" s="3" t="n"/>
      <c r="O157" s="3" t="n"/>
      <c r="P157" s="3" t="n"/>
      <c r="Q157" s="3" t="n"/>
      <c r="R157" s="3" t="n"/>
    </row>
    <row r="158" ht="25" customHeight="1">
      <c r="A158" s="2">
        <f>IF(B158="","","DS-"&amp;TEXT(ROW()-1,"0000"))</f>
        <v/>
      </c>
      <c r="B158" s="2" t="n"/>
      <c r="C158" s="2">
        <f>IFERROR(XLOOKUP(B158,'Opportunity Scoring'!$A:$A,'Opportunity Scoring'!$B:$B),"")</f>
        <v/>
      </c>
      <c r="D158" s="2" t="n"/>
      <c r="E158" s="2" t="n"/>
      <c r="F158" s="2">
        <f>IFERROR(XLOOKUP(B158,'Opportunity Scoring'!$A:$A,'Opportunity Scoring'!$D:$D),"")</f>
        <v/>
      </c>
      <c r="G158" s="2" t="n"/>
      <c r="H158" s="2" t="n"/>
      <c r="I158" s="2" t="n"/>
      <c r="J158" s="2" t="n"/>
      <c r="K158" s="2" t="n"/>
      <c r="L158" s="2" t="n"/>
      <c r="M158" s="2" t="n"/>
      <c r="N158" s="2" t="n"/>
      <c r="O158" s="2" t="n"/>
      <c r="P158" s="2" t="n"/>
      <c r="Q158" s="2" t="n"/>
      <c r="R158" s="2" t="n"/>
    </row>
    <row r="159" ht="25" customHeight="1">
      <c r="A159" s="3">
        <f>IF(B159="","","DS-"&amp;TEXT(ROW()-1,"0000"))</f>
        <v/>
      </c>
      <c r="B159" s="3" t="n"/>
      <c r="C159" s="3">
        <f>IFERROR(XLOOKUP(B159,'Opportunity Scoring'!$A:$A,'Opportunity Scoring'!$B:$B),"")</f>
        <v/>
      </c>
      <c r="D159" s="3" t="n"/>
      <c r="E159" s="3" t="n"/>
      <c r="F159" s="3">
        <f>IFERROR(XLOOKUP(B159,'Opportunity Scoring'!$A:$A,'Opportunity Scoring'!$D:$D),"")</f>
        <v/>
      </c>
      <c r="G159" s="3" t="n"/>
      <c r="H159" s="3" t="n"/>
      <c r="I159" s="3" t="n"/>
      <c r="J159" s="3" t="n"/>
      <c r="K159" s="3" t="n"/>
      <c r="L159" s="3" t="n"/>
      <c r="M159" s="3" t="n"/>
      <c r="N159" s="3" t="n"/>
      <c r="O159" s="3" t="n"/>
      <c r="P159" s="3" t="n"/>
      <c r="Q159" s="3" t="n"/>
      <c r="R159" s="3" t="n"/>
    </row>
    <row r="160" ht="25" customHeight="1">
      <c r="A160" s="2">
        <f>IF(B160="","","DS-"&amp;TEXT(ROW()-1,"0000"))</f>
        <v/>
      </c>
      <c r="B160" s="2" t="n"/>
      <c r="C160" s="2">
        <f>IFERROR(XLOOKUP(B160,'Opportunity Scoring'!$A:$A,'Opportunity Scoring'!$B:$B),"")</f>
        <v/>
      </c>
      <c r="D160" s="2" t="n"/>
      <c r="E160" s="2" t="n"/>
      <c r="F160" s="2">
        <f>IFERROR(XLOOKUP(B160,'Opportunity Scoring'!$A:$A,'Opportunity Scoring'!$D:$D),"")</f>
        <v/>
      </c>
      <c r="G160" s="2" t="n"/>
      <c r="H160" s="2" t="n"/>
      <c r="I160" s="2" t="n"/>
      <c r="J160" s="2" t="n"/>
      <c r="K160" s="2" t="n"/>
      <c r="L160" s="2" t="n"/>
      <c r="M160" s="2" t="n"/>
      <c r="N160" s="2" t="n"/>
      <c r="O160" s="2" t="n"/>
      <c r="P160" s="2" t="n"/>
      <c r="Q160" s="2" t="n"/>
      <c r="R160" s="2" t="n"/>
    </row>
    <row r="161" ht="25" customHeight="1">
      <c r="A161" s="3">
        <f>IF(B161="","","DS-"&amp;TEXT(ROW()-1,"0000"))</f>
        <v/>
      </c>
      <c r="B161" s="3" t="n"/>
      <c r="C161" s="3">
        <f>IFERROR(XLOOKUP(B161,'Opportunity Scoring'!$A:$A,'Opportunity Scoring'!$B:$B),"")</f>
        <v/>
      </c>
      <c r="D161" s="3" t="n"/>
      <c r="E161" s="3" t="n"/>
      <c r="F161" s="3">
        <f>IFERROR(XLOOKUP(B161,'Opportunity Scoring'!$A:$A,'Opportunity Scoring'!$D:$D),"")</f>
        <v/>
      </c>
      <c r="G161" s="3" t="n"/>
      <c r="H161" s="3" t="n"/>
      <c r="I161" s="3" t="n"/>
      <c r="J161" s="3" t="n"/>
      <c r="K161" s="3" t="n"/>
      <c r="L161" s="3" t="n"/>
      <c r="M161" s="3" t="n"/>
      <c r="N161" s="3" t="n"/>
      <c r="O161" s="3" t="n"/>
      <c r="P161" s="3" t="n"/>
      <c r="Q161" s="3" t="n"/>
      <c r="R161" s="3" t="n"/>
    </row>
    <row r="162" ht="25" customHeight="1">
      <c r="A162" s="2">
        <f>IF(B162="","","DS-"&amp;TEXT(ROW()-1,"0000"))</f>
        <v/>
      </c>
      <c r="B162" s="2" t="n"/>
      <c r="C162" s="2">
        <f>IFERROR(XLOOKUP(B162,'Opportunity Scoring'!$A:$A,'Opportunity Scoring'!$B:$B),"")</f>
        <v/>
      </c>
      <c r="D162" s="2" t="n"/>
      <c r="E162" s="2" t="n"/>
      <c r="F162" s="2">
        <f>IFERROR(XLOOKUP(B162,'Opportunity Scoring'!$A:$A,'Opportunity Scoring'!$D:$D),"")</f>
        <v/>
      </c>
      <c r="G162" s="2" t="n"/>
      <c r="H162" s="2" t="n"/>
      <c r="I162" s="2" t="n"/>
      <c r="J162" s="2" t="n"/>
      <c r="K162" s="2" t="n"/>
      <c r="L162" s="2" t="n"/>
      <c r="M162" s="2" t="n"/>
      <c r="N162" s="2" t="n"/>
      <c r="O162" s="2" t="n"/>
      <c r="P162" s="2" t="n"/>
      <c r="Q162" s="2" t="n"/>
      <c r="R162" s="2" t="n"/>
    </row>
    <row r="163" ht="25" customHeight="1">
      <c r="A163" s="3">
        <f>IF(B163="","","DS-"&amp;TEXT(ROW()-1,"0000"))</f>
        <v/>
      </c>
      <c r="B163" s="3" t="n"/>
      <c r="C163" s="3">
        <f>IFERROR(XLOOKUP(B163,'Opportunity Scoring'!$A:$A,'Opportunity Scoring'!$B:$B),"")</f>
        <v/>
      </c>
      <c r="D163" s="3" t="n"/>
      <c r="E163" s="3" t="n"/>
      <c r="F163" s="3">
        <f>IFERROR(XLOOKUP(B163,'Opportunity Scoring'!$A:$A,'Opportunity Scoring'!$D:$D),"")</f>
        <v/>
      </c>
      <c r="G163" s="3" t="n"/>
      <c r="H163" s="3" t="n"/>
      <c r="I163" s="3" t="n"/>
      <c r="J163" s="3" t="n"/>
      <c r="K163" s="3" t="n"/>
      <c r="L163" s="3" t="n"/>
      <c r="M163" s="3" t="n"/>
      <c r="N163" s="3" t="n"/>
      <c r="O163" s="3" t="n"/>
      <c r="P163" s="3" t="n"/>
      <c r="Q163" s="3" t="n"/>
      <c r="R163" s="3" t="n"/>
    </row>
    <row r="164" ht="25" customHeight="1">
      <c r="A164" s="2">
        <f>IF(B164="","","DS-"&amp;TEXT(ROW()-1,"0000"))</f>
        <v/>
      </c>
      <c r="B164" s="2" t="n"/>
      <c r="C164" s="2">
        <f>IFERROR(XLOOKUP(B164,'Opportunity Scoring'!$A:$A,'Opportunity Scoring'!$B:$B),"")</f>
        <v/>
      </c>
      <c r="D164" s="2" t="n"/>
      <c r="E164" s="2" t="n"/>
      <c r="F164" s="2">
        <f>IFERROR(XLOOKUP(B164,'Opportunity Scoring'!$A:$A,'Opportunity Scoring'!$D:$D),"")</f>
        <v/>
      </c>
      <c r="G164" s="2" t="n"/>
      <c r="H164" s="2" t="n"/>
      <c r="I164" s="2" t="n"/>
      <c r="J164" s="2" t="n"/>
      <c r="K164" s="2" t="n"/>
      <c r="L164" s="2" t="n"/>
      <c r="M164" s="2" t="n"/>
      <c r="N164" s="2" t="n"/>
      <c r="O164" s="2" t="n"/>
      <c r="P164" s="2" t="n"/>
      <c r="Q164" s="2" t="n"/>
      <c r="R164" s="2" t="n"/>
    </row>
    <row r="165" ht="25" customHeight="1">
      <c r="A165" s="3">
        <f>IF(B165="","","DS-"&amp;TEXT(ROW()-1,"0000"))</f>
        <v/>
      </c>
      <c r="B165" s="3" t="n"/>
      <c r="C165" s="3">
        <f>IFERROR(XLOOKUP(B165,'Opportunity Scoring'!$A:$A,'Opportunity Scoring'!$B:$B),"")</f>
        <v/>
      </c>
      <c r="D165" s="3" t="n"/>
      <c r="E165" s="3" t="n"/>
      <c r="F165" s="3">
        <f>IFERROR(XLOOKUP(B165,'Opportunity Scoring'!$A:$A,'Opportunity Scoring'!$D:$D),"")</f>
        <v/>
      </c>
      <c r="G165" s="3" t="n"/>
      <c r="H165" s="3" t="n"/>
      <c r="I165" s="3" t="n"/>
      <c r="J165" s="3" t="n"/>
      <c r="K165" s="3" t="n"/>
      <c r="L165" s="3" t="n"/>
      <c r="M165" s="3" t="n"/>
      <c r="N165" s="3" t="n"/>
      <c r="O165" s="3" t="n"/>
      <c r="P165" s="3" t="n"/>
      <c r="Q165" s="3" t="n"/>
      <c r="R165" s="3" t="n"/>
    </row>
    <row r="166" ht="25" customHeight="1">
      <c r="A166" s="2">
        <f>IF(B166="","","DS-"&amp;TEXT(ROW()-1,"0000"))</f>
        <v/>
      </c>
      <c r="B166" s="2" t="n"/>
      <c r="C166" s="2">
        <f>IFERROR(XLOOKUP(B166,'Opportunity Scoring'!$A:$A,'Opportunity Scoring'!$B:$B),"")</f>
        <v/>
      </c>
      <c r="D166" s="2" t="n"/>
      <c r="E166" s="2" t="n"/>
      <c r="F166" s="2">
        <f>IFERROR(XLOOKUP(B166,'Opportunity Scoring'!$A:$A,'Opportunity Scoring'!$D:$D),"")</f>
        <v/>
      </c>
      <c r="G166" s="2" t="n"/>
      <c r="H166" s="2" t="n"/>
      <c r="I166" s="2" t="n"/>
      <c r="J166" s="2" t="n"/>
      <c r="K166" s="2" t="n"/>
      <c r="L166" s="2" t="n"/>
      <c r="M166" s="2" t="n"/>
      <c r="N166" s="2" t="n"/>
      <c r="O166" s="2" t="n"/>
      <c r="P166" s="2" t="n"/>
      <c r="Q166" s="2" t="n"/>
      <c r="R166" s="2" t="n"/>
    </row>
    <row r="167" ht="25" customHeight="1">
      <c r="A167" s="3">
        <f>IF(B167="","","DS-"&amp;TEXT(ROW()-1,"0000"))</f>
        <v/>
      </c>
      <c r="B167" s="3" t="n"/>
      <c r="C167" s="3">
        <f>IFERROR(XLOOKUP(B167,'Opportunity Scoring'!$A:$A,'Opportunity Scoring'!$B:$B),"")</f>
        <v/>
      </c>
      <c r="D167" s="3" t="n"/>
      <c r="E167" s="3" t="n"/>
      <c r="F167" s="3">
        <f>IFERROR(XLOOKUP(B167,'Opportunity Scoring'!$A:$A,'Opportunity Scoring'!$D:$D),"")</f>
        <v/>
      </c>
      <c r="G167" s="3" t="n"/>
      <c r="H167" s="3" t="n"/>
      <c r="I167" s="3" t="n"/>
      <c r="J167" s="3" t="n"/>
      <c r="K167" s="3" t="n"/>
      <c r="L167" s="3" t="n"/>
      <c r="M167" s="3" t="n"/>
      <c r="N167" s="3" t="n"/>
      <c r="O167" s="3" t="n"/>
      <c r="P167" s="3" t="n"/>
      <c r="Q167" s="3" t="n"/>
      <c r="R167" s="3" t="n"/>
    </row>
    <row r="168" ht="25" customHeight="1">
      <c r="A168" s="2">
        <f>IF(B168="","","DS-"&amp;TEXT(ROW()-1,"0000"))</f>
        <v/>
      </c>
      <c r="B168" s="2" t="n"/>
      <c r="C168" s="2">
        <f>IFERROR(XLOOKUP(B168,'Opportunity Scoring'!$A:$A,'Opportunity Scoring'!$B:$B),"")</f>
        <v/>
      </c>
      <c r="D168" s="2" t="n"/>
      <c r="E168" s="2" t="n"/>
      <c r="F168" s="2">
        <f>IFERROR(XLOOKUP(B168,'Opportunity Scoring'!$A:$A,'Opportunity Scoring'!$D:$D),"")</f>
        <v/>
      </c>
      <c r="G168" s="2" t="n"/>
      <c r="H168" s="2" t="n"/>
      <c r="I168" s="2" t="n"/>
      <c r="J168" s="2" t="n"/>
      <c r="K168" s="2" t="n"/>
      <c r="L168" s="2" t="n"/>
      <c r="M168" s="2" t="n"/>
      <c r="N168" s="2" t="n"/>
      <c r="O168" s="2" t="n"/>
      <c r="P168" s="2" t="n"/>
      <c r="Q168" s="2" t="n"/>
      <c r="R168" s="2" t="n"/>
    </row>
    <row r="169" ht="25" customHeight="1">
      <c r="A169" s="3">
        <f>IF(B169="","","DS-"&amp;TEXT(ROW()-1,"0000"))</f>
        <v/>
      </c>
      <c r="B169" s="3" t="n"/>
      <c r="C169" s="3">
        <f>IFERROR(XLOOKUP(B169,'Opportunity Scoring'!$A:$A,'Opportunity Scoring'!$B:$B),"")</f>
        <v/>
      </c>
      <c r="D169" s="3" t="n"/>
      <c r="E169" s="3" t="n"/>
      <c r="F169" s="3">
        <f>IFERROR(XLOOKUP(B169,'Opportunity Scoring'!$A:$A,'Opportunity Scoring'!$D:$D),"")</f>
        <v/>
      </c>
      <c r="G169" s="3" t="n"/>
      <c r="H169" s="3" t="n"/>
      <c r="I169" s="3" t="n"/>
      <c r="J169" s="3" t="n"/>
      <c r="K169" s="3" t="n"/>
      <c r="L169" s="3" t="n"/>
      <c r="M169" s="3" t="n"/>
      <c r="N169" s="3" t="n"/>
      <c r="O169" s="3" t="n"/>
      <c r="P169" s="3" t="n"/>
      <c r="Q169" s="3" t="n"/>
      <c r="R169" s="3" t="n"/>
    </row>
    <row r="170" ht="25" customHeight="1">
      <c r="A170" s="2">
        <f>IF(B170="","","DS-"&amp;TEXT(ROW()-1,"0000"))</f>
        <v/>
      </c>
      <c r="B170" s="2" t="n"/>
      <c r="C170" s="2">
        <f>IFERROR(XLOOKUP(B170,'Opportunity Scoring'!$A:$A,'Opportunity Scoring'!$B:$B),"")</f>
        <v/>
      </c>
      <c r="D170" s="2" t="n"/>
      <c r="E170" s="2" t="n"/>
      <c r="F170" s="2">
        <f>IFERROR(XLOOKUP(B170,'Opportunity Scoring'!$A:$A,'Opportunity Scoring'!$D:$D),"")</f>
        <v/>
      </c>
      <c r="G170" s="2" t="n"/>
      <c r="H170" s="2" t="n"/>
      <c r="I170" s="2" t="n"/>
      <c r="J170" s="2" t="n"/>
      <c r="K170" s="2" t="n"/>
      <c r="L170" s="2" t="n"/>
      <c r="M170" s="2" t="n"/>
      <c r="N170" s="2" t="n"/>
      <c r="O170" s="2" t="n"/>
      <c r="P170" s="2" t="n"/>
      <c r="Q170" s="2" t="n"/>
      <c r="R170" s="2" t="n"/>
    </row>
    <row r="171" ht="25" customHeight="1">
      <c r="A171" s="3">
        <f>IF(B171="","","DS-"&amp;TEXT(ROW()-1,"0000"))</f>
        <v/>
      </c>
      <c r="B171" s="3" t="n"/>
      <c r="C171" s="3">
        <f>IFERROR(XLOOKUP(B171,'Opportunity Scoring'!$A:$A,'Opportunity Scoring'!$B:$B),"")</f>
        <v/>
      </c>
      <c r="D171" s="3" t="n"/>
      <c r="E171" s="3" t="n"/>
      <c r="F171" s="3">
        <f>IFERROR(XLOOKUP(B171,'Opportunity Scoring'!$A:$A,'Opportunity Scoring'!$D:$D),"")</f>
        <v/>
      </c>
      <c r="G171" s="3" t="n"/>
      <c r="H171" s="3" t="n"/>
      <c r="I171" s="3" t="n"/>
      <c r="J171" s="3" t="n"/>
      <c r="K171" s="3" t="n"/>
      <c r="L171" s="3" t="n"/>
      <c r="M171" s="3" t="n"/>
      <c r="N171" s="3" t="n"/>
      <c r="O171" s="3" t="n"/>
      <c r="P171" s="3" t="n"/>
      <c r="Q171" s="3" t="n"/>
      <c r="R171" s="3" t="n"/>
    </row>
    <row r="172" ht="25" customHeight="1">
      <c r="A172" s="2">
        <f>IF(B172="","","DS-"&amp;TEXT(ROW()-1,"0000"))</f>
        <v/>
      </c>
      <c r="B172" s="2" t="n"/>
      <c r="C172" s="2">
        <f>IFERROR(XLOOKUP(B172,'Opportunity Scoring'!$A:$A,'Opportunity Scoring'!$B:$B),"")</f>
        <v/>
      </c>
      <c r="D172" s="2" t="n"/>
      <c r="E172" s="2" t="n"/>
      <c r="F172" s="2">
        <f>IFERROR(XLOOKUP(B172,'Opportunity Scoring'!$A:$A,'Opportunity Scoring'!$D:$D),"")</f>
        <v/>
      </c>
      <c r="G172" s="2" t="n"/>
      <c r="H172" s="2" t="n"/>
      <c r="I172" s="2" t="n"/>
      <c r="J172" s="2" t="n"/>
      <c r="K172" s="2" t="n"/>
      <c r="L172" s="2" t="n"/>
      <c r="M172" s="2" t="n"/>
      <c r="N172" s="2" t="n"/>
      <c r="O172" s="2" t="n"/>
      <c r="P172" s="2" t="n"/>
      <c r="Q172" s="2" t="n"/>
      <c r="R172" s="2" t="n"/>
    </row>
    <row r="173" ht="25" customHeight="1">
      <c r="A173" s="3">
        <f>IF(B173="","","DS-"&amp;TEXT(ROW()-1,"0000"))</f>
        <v/>
      </c>
      <c r="B173" s="3" t="n"/>
      <c r="C173" s="3">
        <f>IFERROR(XLOOKUP(B173,'Opportunity Scoring'!$A:$A,'Opportunity Scoring'!$B:$B),"")</f>
        <v/>
      </c>
      <c r="D173" s="3" t="n"/>
      <c r="E173" s="3" t="n"/>
      <c r="F173" s="3">
        <f>IFERROR(XLOOKUP(B173,'Opportunity Scoring'!$A:$A,'Opportunity Scoring'!$D:$D),"")</f>
        <v/>
      </c>
      <c r="G173" s="3" t="n"/>
      <c r="H173" s="3" t="n"/>
      <c r="I173" s="3" t="n"/>
      <c r="J173" s="3" t="n"/>
      <c r="K173" s="3" t="n"/>
      <c r="L173" s="3" t="n"/>
      <c r="M173" s="3" t="n"/>
      <c r="N173" s="3" t="n"/>
      <c r="O173" s="3" t="n"/>
      <c r="P173" s="3" t="n"/>
      <c r="Q173" s="3" t="n"/>
      <c r="R173" s="3" t="n"/>
    </row>
    <row r="174" ht="25" customHeight="1">
      <c r="A174" s="2">
        <f>IF(B174="","","DS-"&amp;TEXT(ROW()-1,"0000"))</f>
        <v/>
      </c>
      <c r="B174" s="2" t="n"/>
      <c r="C174" s="2">
        <f>IFERROR(XLOOKUP(B174,'Opportunity Scoring'!$A:$A,'Opportunity Scoring'!$B:$B),"")</f>
        <v/>
      </c>
      <c r="D174" s="2" t="n"/>
      <c r="E174" s="2" t="n"/>
      <c r="F174" s="2">
        <f>IFERROR(XLOOKUP(B174,'Opportunity Scoring'!$A:$A,'Opportunity Scoring'!$D:$D),"")</f>
        <v/>
      </c>
      <c r="G174" s="2" t="n"/>
      <c r="H174" s="2" t="n"/>
      <c r="I174" s="2" t="n"/>
      <c r="J174" s="2" t="n"/>
      <c r="K174" s="2" t="n"/>
      <c r="L174" s="2" t="n"/>
      <c r="M174" s="2" t="n"/>
      <c r="N174" s="2" t="n"/>
      <c r="O174" s="2" t="n"/>
      <c r="P174" s="2" t="n"/>
      <c r="Q174" s="2" t="n"/>
      <c r="R174" s="2" t="n"/>
    </row>
    <row r="175" ht="25" customHeight="1">
      <c r="A175" s="3">
        <f>IF(B175="","","DS-"&amp;TEXT(ROW()-1,"0000"))</f>
        <v/>
      </c>
      <c r="B175" s="3" t="n"/>
      <c r="C175" s="3">
        <f>IFERROR(XLOOKUP(B175,'Opportunity Scoring'!$A:$A,'Opportunity Scoring'!$B:$B),"")</f>
        <v/>
      </c>
      <c r="D175" s="3" t="n"/>
      <c r="E175" s="3" t="n"/>
      <c r="F175" s="3">
        <f>IFERROR(XLOOKUP(B175,'Opportunity Scoring'!$A:$A,'Opportunity Scoring'!$D:$D),"")</f>
        <v/>
      </c>
      <c r="G175" s="3" t="n"/>
      <c r="H175" s="3" t="n"/>
      <c r="I175" s="3" t="n"/>
      <c r="J175" s="3" t="n"/>
      <c r="K175" s="3" t="n"/>
      <c r="L175" s="3" t="n"/>
      <c r="M175" s="3" t="n"/>
      <c r="N175" s="3" t="n"/>
      <c r="O175" s="3" t="n"/>
      <c r="P175" s="3" t="n"/>
      <c r="Q175" s="3" t="n"/>
      <c r="R175" s="3" t="n"/>
    </row>
    <row r="176" ht="25" customHeight="1">
      <c r="A176" s="2">
        <f>IF(B176="","","DS-"&amp;TEXT(ROW()-1,"0000"))</f>
        <v/>
      </c>
      <c r="B176" s="2" t="n"/>
      <c r="C176" s="2">
        <f>IFERROR(XLOOKUP(B176,'Opportunity Scoring'!$A:$A,'Opportunity Scoring'!$B:$B),"")</f>
        <v/>
      </c>
      <c r="D176" s="2" t="n"/>
      <c r="E176" s="2" t="n"/>
      <c r="F176" s="2">
        <f>IFERROR(XLOOKUP(B176,'Opportunity Scoring'!$A:$A,'Opportunity Scoring'!$D:$D),"")</f>
        <v/>
      </c>
      <c r="G176" s="2" t="n"/>
      <c r="H176" s="2" t="n"/>
      <c r="I176" s="2" t="n"/>
      <c r="J176" s="2" t="n"/>
      <c r="K176" s="2" t="n"/>
      <c r="L176" s="2" t="n"/>
      <c r="M176" s="2" t="n"/>
      <c r="N176" s="2" t="n"/>
      <c r="O176" s="2" t="n"/>
      <c r="P176" s="2" t="n"/>
      <c r="Q176" s="2" t="n"/>
      <c r="R176" s="2" t="n"/>
    </row>
    <row r="177" ht="25" customHeight="1">
      <c r="A177" s="3">
        <f>IF(B177="","","DS-"&amp;TEXT(ROW()-1,"0000"))</f>
        <v/>
      </c>
      <c r="B177" s="3" t="n"/>
      <c r="C177" s="3">
        <f>IFERROR(XLOOKUP(B177,'Opportunity Scoring'!$A:$A,'Opportunity Scoring'!$B:$B),"")</f>
        <v/>
      </c>
      <c r="D177" s="3" t="n"/>
      <c r="E177" s="3" t="n"/>
      <c r="F177" s="3">
        <f>IFERROR(XLOOKUP(B177,'Opportunity Scoring'!$A:$A,'Opportunity Scoring'!$D:$D),"")</f>
        <v/>
      </c>
      <c r="G177" s="3" t="n"/>
      <c r="H177" s="3" t="n"/>
      <c r="I177" s="3" t="n"/>
      <c r="J177" s="3" t="n"/>
      <c r="K177" s="3" t="n"/>
      <c r="L177" s="3" t="n"/>
      <c r="M177" s="3" t="n"/>
      <c r="N177" s="3" t="n"/>
      <c r="O177" s="3" t="n"/>
      <c r="P177" s="3" t="n"/>
      <c r="Q177" s="3" t="n"/>
      <c r="R177" s="3" t="n"/>
    </row>
    <row r="178" ht="25" customHeight="1">
      <c r="A178" s="2">
        <f>IF(B178="","","DS-"&amp;TEXT(ROW()-1,"0000"))</f>
        <v/>
      </c>
      <c r="B178" s="2" t="n"/>
      <c r="C178" s="2">
        <f>IFERROR(XLOOKUP(B178,'Opportunity Scoring'!$A:$A,'Opportunity Scoring'!$B:$B),"")</f>
        <v/>
      </c>
      <c r="D178" s="2" t="n"/>
      <c r="E178" s="2" t="n"/>
      <c r="F178" s="2">
        <f>IFERROR(XLOOKUP(B178,'Opportunity Scoring'!$A:$A,'Opportunity Scoring'!$D:$D),"")</f>
        <v/>
      </c>
      <c r="G178" s="2" t="n"/>
      <c r="H178" s="2" t="n"/>
      <c r="I178" s="2" t="n"/>
      <c r="J178" s="2" t="n"/>
      <c r="K178" s="2" t="n"/>
      <c r="L178" s="2" t="n"/>
      <c r="M178" s="2" t="n"/>
      <c r="N178" s="2" t="n"/>
      <c r="O178" s="2" t="n"/>
      <c r="P178" s="2" t="n"/>
      <c r="Q178" s="2" t="n"/>
      <c r="R178" s="2" t="n"/>
    </row>
    <row r="179" ht="25" customHeight="1">
      <c r="A179" s="3">
        <f>IF(B179="","","DS-"&amp;TEXT(ROW()-1,"0000"))</f>
        <v/>
      </c>
      <c r="B179" s="3" t="n"/>
      <c r="C179" s="3">
        <f>IFERROR(XLOOKUP(B179,'Opportunity Scoring'!$A:$A,'Opportunity Scoring'!$B:$B),"")</f>
        <v/>
      </c>
      <c r="D179" s="3" t="n"/>
      <c r="E179" s="3" t="n"/>
      <c r="F179" s="3">
        <f>IFERROR(XLOOKUP(B179,'Opportunity Scoring'!$A:$A,'Opportunity Scoring'!$D:$D),"")</f>
        <v/>
      </c>
      <c r="G179" s="3" t="n"/>
      <c r="H179" s="3" t="n"/>
      <c r="I179" s="3" t="n"/>
      <c r="J179" s="3" t="n"/>
      <c r="K179" s="3" t="n"/>
      <c r="L179" s="3" t="n"/>
      <c r="M179" s="3" t="n"/>
      <c r="N179" s="3" t="n"/>
      <c r="O179" s="3" t="n"/>
      <c r="P179" s="3" t="n"/>
      <c r="Q179" s="3" t="n"/>
      <c r="R179" s="3" t="n"/>
    </row>
    <row r="180" ht="25" customHeight="1">
      <c r="A180" s="2">
        <f>IF(B180="","","DS-"&amp;TEXT(ROW()-1,"0000"))</f>
        <v/>
      </c>
      <c r="B180" s="2" t="n"/>
      <c r="C180" s="2">
        <f>IFERROR(XLOOKUP(B180,'Opportunity Scoring'!$A:$A,'Opportunity Scoring'!$B:$B),"")</f>
        <v/>
      </c>
      <c r="D180" s="2" t="n"/>
      <c r="E180" s="2" t="n"/>
      <c r="F180" s="2">
        <f>IFERROR(XLOOKUP(B180,'Opportunity Scoring'!$A:$A,'Opportunity Scoring'!$D:$D),"")</f>
        <v/>
      </c>
      <c r="G180" s="2" t="n"/>
      <c r="H180" s="2" t="n"/>
      <c r="I180" s="2" t="n"/>
      <c r="J180" s="2" t="n"/>
      <c r="K180" s="2" t="n"/>
      <c r="L180" s="2" t="n"/>
      <c r="M180" s="2" t="n"/>
      <c r="N180" s="2" t="n"/>
      <c r="O180" s="2" t="n"/>
      <c r="P180" s="2" t="n"/>
      <c r="Q180" s="2" t="n"/>
      <c r="R180" s="2" t="n"/>
    </row>
    <row r="181" ht="25" customHeight="1">
      <c r="A181" s="3">
        <f>IF(B181="","","DS-"&amp;TEXT(ROW()-1,"0000"))</f>
        <v/>
      </c>
      <c r="B181" s="3" t="n"/>
      <c r="C181" s="3">
        <f>IFERROR(XLOOKUP(B181,'Opportunity Scoring'!$A:$A,'Opportunity Scoring'!$B:$B),"")</f>
        <v/>
      </c>
      <c r="D181" s="3" t="n"/>
      <c r="E181" s="3" t="n"/>
      <c r="F181" s="3">
        <f>IFERROR(XLOOKUP(B181,'Opportunity Scoring'!$A:$A,'Opportunity Scoring'!$D:$D),"")</f>
        <v/>
      </c>
      <c r="G181" s="3" t="n"/>
      <c r="H181" s="3" t="n"/>
      <c r="I181" s="3" t="n"/>
      <c r="J181" s="3" t="n"/>
      <c r="K181" s="3" t="n"/>
      <c r="L181" s="3" t="n"/>
      <c r="M181" s="3" t="n"/>
      <c r="N181" s="3" t="n"/>
      <c r="O181" s="3" t="n"/>
      <c r="P181" s="3" t="n"/>
      <c r="Q181" s="3" t="n"/>
      <c r="R181" s="3" t="n"/>
    </row>
    <row r="182" ht="25" customHeight="1">
      <c r="A182" s="2">
        <f>IF(B182="","","DS-"&amp;TEXT(ROW()-1,"0000"))</f>
        <v/>
      </c>
      <c r="B182" s="2" t="n"/>
      <c r="C182" s="2">
        <f>IFERROR(XLOOKUP(B182,'Opportunity Scoring'!$A:$A,'Opportunity Scoring'!$B:$B),"")</f>
        <v/>
      </c>
      <c r="D182" s="2" t="n"/>
      <c r="E182" s="2" t="n"/>
      <c r="F182" s="2">
        <f>IFERROR(XLOOKUP(B182,'Opportunity Scoring'!$A:$A,'Opportunity Scoring'!$D:$D),"")</f>
        <v/>
      </c>
      <c r="G182" s="2" t="n"/>
      <c r="H182" s="2" t="n"/>
      <c r="I182" s="2" t="n"/>
      <c r="J182" s="2" t="n"/>
      <c r="K182" s="2" t="n"/>
      <c r="L182" s="2" t="n"/>
      <c r="M182" s="2" t="n"/>
      <c r="N182" s="2" t="n"/>
      <c r="O182" s="2" t="n"/>
      <c r="P182" s="2" t="n"/>
      <c r="Q182" s="2" t="n"/>
      <c r="R182" s="2" t="n"/>
    </row>
    <row r="183" ht="25" customHeight="1">
      <c r="A183" s="3">
        <f>IF(B183="","","DS-"&amp;TEXT(ROW()-1,"0000"))</f>
        <v/>
      </c>
      <c r="B183" s="3" t="n"/>
      <c r="C183" s="3">
        <f>IFERROR(XLOOKUP(B183,'Opportunity Scoring'!$A:$A,'Opportunity Scoring'!$B:$B),"")</f>
        <v/>
      </c>
      <c r="D183" s="3" t="n"/>
      <c r="E183" s="3" t="n"/>
      <c r="F183" s="3">
        <f>IFERROR(XLOOKUP(B183,'Opportunity Scoring'!$A:$A,'Opportunity Scoring'!$D:$D),"")</f>
        <v/>
      </c>
      <c r="G183" s="3" t="n"/>
      <c r="H183" s="3" t="n"/>
      <c r="I183" s="3" t="n"/>
      <c r="J183" s="3" t="n"/>
      <c r="K183" s="3" t="n"/>
      <c r="L183" s="3" t="n"/>
      <c r="M183" s="3" t="n"/>
      <c r="N183" s="3" t="n"/>
      <c r="O183" s="3" t="n"/>
      <c r="P183" s="3" t="n"/>
      <c r="Q183" s="3" t="n"/>
      <c r="R183" s="3" t="n"/>
    </row>
    <row r="184" ht="25" customHeight="1">
      <c r="A184" s="2">
        <f>IF(B184="","","DS-"&amp;TEXT(ROW()-1,"0000"))</f>
        <v/>
      </c>
      <c r="B184" s="2" t="n"/>
      <c r="C184" s="2">
        <f>IFERROR(XLOOKUP(B184,'Opportunity Scoring'!$A:$A,'Opportunity Scoring'!$B:$B),"")</f>
        <v/>
      </c>
      <c r="D184" s="2" t="n"/>
      <c r="E184" s="2" t="n"/>
      <c r="F184" s="2">
        <f>IFERROR(XLOOKUP(B184,'Opportunity Scoring'!$A:$A,'Opportunity Scoring'!$D:$D),"")</f>
        <v/>
      </c>
      <c r="G184" s="2" t="n"/>
      <c r="H184" s="2" t="n"/>
      <c r="I184" s="2" t="n"/>
      <c r="J184" s="2" t="n"/>
      <c r="K184" s="2" t="n"/>
      <c r="L184" s="2" t="n"/>
      <c r="M184" s="2" t="n"/>
      <c r="N184" s="2" t="n"/>
      <c r="O184" s="2" t="n"/>
      <c r="P184" s="2" t="n"/>
      <c r="Q184" s="2" t="n"/>
      <c r="R184" s="2" t="n"/>
    </row>
    <row r="185" ht="25" customHeight="1">
      <c r="A185" s="3">
        <f>IF(B185="","","DS-"&amp;TEXT(ROW()-1,"0000"))</f>
        <v/>
      </c>
      <c r="B185" s="3" t="n"/>
      <c r="C185" s="3">
        <f>IFERROR(XLOOKUP(B185,'Opportunity Scoring'!$A:$A,'Opportunity Scoring'!$B:$B),"")</f>
        <v/>
      </c>
      <c r="D185" s="3" t="n"/>
      <c r="E185" s="3" t="n"/>
      <c r="F185" s="3">
        <f>IFERROR(XLOOKUP(B185,'Opportunity Scoring'!$A:$A,'Opportunity Scoring'!$D:$D),"")</f>
        <v/>
      </c>
      <c r="G185" s="3" t="n"/>
      <c r="H185" s="3" t="n"/>
      <c r="I185" s="3" t="n"/>
      <c r="J185" s="3" t="n"/>
      <c r="K185" s="3" t="n"/>
      <c r="L185" s="3" t="n"/>
      <c r="M185" s="3" t="n"/>
      <c r="N185" s="3" t="n"/>
      <c r="O185" s="3" t="n"/>
      <c r="P185" s="3" t="n"/>
      <c r="Q185" s="3" t="n"/>
      <c r="R185" s="3" t="n"/>
    </row>
    <row r="186" ht="25" customHeight="1">
      <c r="A186" s="2">
        <f>IF(B186="","","DS-"&amp;TEXT(ROW()-1,"0000"))</f>
        <v/>
      </c>
      <c r="B186" s="2" t="n"/>
      <c r="C186" s="2">
        <f>IFERROR(XLOOKUP(B186,'Opportunity Scoring'!$A:$A,'Opportunity Scoring'!$B:$B),"")</f>
        <v/>
      </c>
      <c r="D186" s="2" t="n"/>
      <c r="E186" s="2" t="n"/>
      <c r="F186" s="2">
        <f>IFERROR(XLOOKUP(B186,'Opportunity Scoring'!$A:$A,'Opportunity Scoring'!$D:$D),"")</f>
        <v/>
      </c>
      <c r="G186" s="2" t="n"/>
      <c r="H186" s="2" t="n"/>
      <c r="I186" s="2" t="n"/>
      <c r="J186" s="2" t="n"/>
      <c r="K186" s="2" t="n"/>
      <c r="L186" s="2" t="n"/>
      <c r="M186" s="2" t="n"/>
      <c r="N186" s="2" t="n"/>
      <c r="O186" s="2" t="n"/>
      <c r="P186" s="2" t="n"/>
      <c r="Q186" s="2" t="n"/>
      <c r="R186" s="2" t="n"/>
    </row>
    <row r="187" ht="25" customHeight="1">
      <c r="A187" s="3">
        <f>IF(B187="","","DS-"&amp;TEXT(ROW()-1,"0000"))</f>
        <v/>
      </c>
      <c r="B187" s="3" t="n"/>
      <c r="C187" s="3">
        <f>IFERROR(XLOOKUP(B187,'Opportunity Scoring'!$A:$A,'Opportunity Scoring'!$B:$B),"")</f>
        <v/>
      </c>
      <c r="D187" s="3" t="n"/>
      <c r="E187" s="3" t="n"/>
      <c r="F187" s="3">
        <f>IFERROR(XLOOKUP(B187,'Opportunity Scoring'!$A:$A,'Opportunity Scoring'!$D:$D),"")</f>
        <v/>
      </c>
      <c r="G187" s="3" t="n"/>
      <c r="H187" s="3" t="n"/>
      <c r="I187" s="3" t="n"/>
      <c r="J187" s="3" t="n"/>
      <c r="K187" s="3" t="n"/>
      <c r="L187" s="3" t="n"/>
      <c r="M187" s="3" t="n"/>
      <c r="N187" s="3" t="n"/>
      <c r="O187" s="3" t="n"/>
      <c r="P187" s="3" t="n"/>
      <c r="Q187" s="3" t="n"/>
      <c r="R187" s="3" t="n"/>
    </row>
    <row r="188" ht="25" customHeight="1">
      <c r="A188" s="2">
        <f>IF(B188="","","DS-"&amp;TEXT(ROW()-1,"0000"))</f>
        <v/>
      </c>
      <c r="B188" s="2" t="n"/>
      <c r="C188" s="2">
        <f>IFERROR(XLOOKUP(B188,'Opportunity Scoring'!$A:$A,'Opportunity Scoring'!$B:$B),"")</f>
        <v/>
      </c>
      <c r="D188" s="2" t="n"/>
      <c r="E188" s="2" t="n"/>
      <c r="F188" s="2">
        <f>IFERROR(XLOOKUP(B188,'Opportunity Scoring'!$A:$A,'Opportunity Scoring'!$D:$D),"")</f>
        <v/>
      </c>
      <c r="G188" s="2" t="n"/>
      <c r="H188" s="2" t="n"/>
      <c r="I188" s="2" t="n"/>
      <c r="J188" s="2" t="n"/>
      <c r="K188" s="2" t="n"/>
      <c r="L188" s="2" t="n"/>
      <c r="M188" s="2" t="n"/>
      <c r="N188" s="2" t="n"/>
      <c r="O188" s="2" t="n"/>
      <c r="P188" s="2" t="n"/>
      <c r="Q188" s="2" t="n"/>
      <c r="R188" s="2" t="n"/>
    </row>
    <row r="189" ht="25" customHeight="1">
      <c r="A189" s="3">
        <f>IF(B189="","","DS-"&amp;TEXT(ROW()-1,"0000"))</f>
        <v/>
      </c>
      <c r="B189" s="3" t="n"/>
      <c r="C189" s="3">
        <f>IFERROR(XLOOKUP(B189,'Opportunity Scoring'!$A:$A,'Opportunity Scoring'!$B:$B),"")</f>
        <v/>
      </c>
      <c r="D189" s="3" t="n"/>
      <c r="E189" s="3" t="n"/>
      <c r="F189" s="3">
        <f>IFERROR(XLOOKUP(B189,'Opportunity Scoring'!$A:$A,'Opportunity Scoring'!$D:$D),"")</f>
        <v/>
      </c>
      <c r="G189" s="3" t="n"/>
      <c r="H189" s="3" t="n"/>
      <c r="I189" s="3" t="n"/>
      <c r="J189" s="3" t="n"/>
      <c r="K189" s="3" t="n"/>
      <c r="L189" s="3" t="n"/>
      <c r="M189" s="3" t="n"/>
      <c r="N189" s="3" t="n"/>
      <c r="O189" s="3" t="n"/>
      <c r="P189" s="3" t="n"/>
      <c r="Q189" s="3" t="n"/>
      <c r="R189" s="3" t="n"/>
    </row>
    <row r="190" ht="25" customHeight="1">
      <c r="A190" s="2">
        <f>IF(B190="","","DS-"&amp;TEXT(ROW()-1,"0000"))</f>
        <v/>
      </c>
      <c r="B190" s="2" t="n"/>
      <c r="C190" s="2">
        <f>IFERROR(XLOOKUP(B190,'Opportunity Scoring'!$A:$A,'Opportunity Scoring'!$B:$B),"")</f>
        <v/>
      </c>
      <c r="D190" s="2" t="n"/>
      <c r="E190" s="2" t="n"/>
      <c r="F190" s="2">
        <f>IFERROR(XLOOKUP(B190,'Opportunity Scoring'!$A:$A,'Opportunity Scoring'!$D:$D),"")</f>
        <v/>
      </c>
      <c r="G190" s="2" t="n"/>
      <c r="H190" s="2" t="n"/>
      <c r="I190" s="2" t="n"/>
      <c r="J190" s="2" t="n"/>
      <c r="K190" s="2" t="n"/>
      <c r="L190" s="2" t="n"/>
      <c r="M190" s="2" t="n"/>
      <c r="N190" s="2" t="n"/>
      <c r="O190" s="2" t="n"/>
      <c r="P190" s="2" t="n"/>
      <c r="Q190" s="2" t="n"/>
      <c r="R190" s="2" t="n"/>
    </row>
    <row r="191" ht="25" customHeight="1">
      <c r="A191" s="3">
        <f>IF(B191="","","DS-"&amp;TEXT(ROW()-1,"0000"))</f>
        <v/>
      </c>
      <c r="B191" s="3" t="n"/>
      <c r="C191" s="3">
        <f>IFERROR(XLOOKUP(B191,'Opportunity Scoring'!$A:$A,'Opportunity Scoring'!$B:$B),"")</f>
        <v/>
      </c>
      <c r="D191" s="3" t="n"/>
      <c r="E191" s="3" t="n"/>
      <c r="F191" s="3">
        <f>IFERROR(XLOOKUP(B191,'Opportunity Scoring'!$A:$A,'Opportunity Scoring'!$D:$D),"")</f>
        <v/>
      </c>
      <c r="G191" s="3" t="n"/>
      <c r="H191" s="3" t="n"/>
      <c r="I191" s="3" t="n"/>
      <c r="J191" s="3" t="n"/>
      <c r="K191" s="3" t="n"/>
      <c r="L191" s="3" t="n"/>
      <c r="M191" s="3" t="n"/>
      <c r="N191" s="3" t="n"/>
      <c r="O191" s="3" t="n"/>
      <c r="P191" s="3" t="n"/>
      <c r="Q191" s="3" t="n"/>
      <c r="R191" s="3" t="n"/>
    </row>
    <row r="192" ht="25" customHeight="1">
      <c r="A192" s="2">
        <f>IF(B192="","","DS-"&amp;TEXT(ROW()-1,"0000"))</f>
        <v/>
      </c>
      <c r="B192" s="2" t="n"/>
      <c r="C192" s="2">
        <f>IFERROR(XLOOKUP(B192,'Opportunity Scoring'!$A:$A,'Opportunity Scoring'!$B:$B),"")</f>
        <v/>
      </c>
      <c r="D192" s="2" t="n"/>
      <c r="E192" s="2" t="n"/>
      <c r="F192" s="2">
        <f>IFERROR(XLOOKUP(B192,'Opportunity Scoring'!$A:$A,'Opportunity Scoring'!$D:$D),"")</f>
        <v/>
      </c>
      <c r="G192" s="2" t="n"/>
      <c r="H192" s="2" t="n"/>
      <c r="I192" s="2" t="n"/>
      <c r="J192" s="2" t="n"/>
      <c r="K192" s="2" t="n"/>
      <c r="L192" s="2" t="n"/>
      <c r="M192" s="2" t="n"/>
      <c r="N192" s="2" t="n"/>
      <c r="O192" s="2" t="n"/>
      <c r="P192" s="2" t="n"/>
      <c r="Q192" s="2" t="n"/>
      <c r="R192" s="2" t="n"/>
    </row>
    <row r="193" ht="25" customHeight="1">
      <c r="A193" s="3">
        <f>IF(B193="","","DS-"&amp;TEXT(ROW()-1,"0000"))</f>
        <v/>
      </c>
      <c r="B193" s="3" t="n"/>
      <c r="C193" s="3">
        <f>IFERROR(XLOOKUP(B193,'Opportunity Scoring'!$A:$A,'Opportunity Scoring'!$B:$B),"")</f>
        <v/>
      </c>
      <c r="D193" s="3" t="n"/>
      <c r="E193" s="3" t="n"/>
      <c r="F193" s="3">
        <f>IFERROR(XLOOKUP(B193,'Opportunity Scoring'!$A:$A,'Opportunity Scoring'!$D:$D),"")</f>
        <v/>
      </c>
      <c r="G193" s="3" t="n"/>
      <c r="H193" s="3" t="n"/>
      <c r="I193" s="3" t="n"/>
      <c r="J193" s="3" t="n"/>
      <c r="K193" s="3" t="n"/>
      <c r="L193" s="3" t="n"/>
      <c r="M193" s="3" t="n"/>
      <c r="N193" s="3" t="n"/>
      <c r="O193" s="3" t="n"/>
      <c r="P193" s="3" t="n"/>
      <c r="Q193" s="3" t="n"/>
      <c r="R193" s="3" t="n"/>
    </row>
    <row r="194" ht="25" customHeight="1">
      <c r="A194" s="2">
        <f>IF(B194="","","DS-"&amp;TEXT(ROW()-1,"0000"))</f>
        <v/>
      </c>
      <c r="B194" s="2" t="n"/>
      <c r="C194" s="2">
        <f>IFERROR(XLOOKUP(B194,'Opportunity Scoring'!$A:$A,'Opportunity Scoring'!$B:$B),"")</f>
        <v/>
      </c>
      <c r="D194" s="2" t="n"/>
      <c r="E194" s="2" t="n"/>
      <c r="F194" s="2">
        <f>IFERROR(XLOOKUP(B194,'Opportunity Scoring'!$A:$A,'Opportunity Scoring'!$D:$D),"")</f>
        <v/>
      </c>
      <c r="G194" s="2" t="n"/>
      <c r="H194" s="2" t="n"/>
      <c r="I194" s="2" t="n"/>
      <c r="J194" s="2" t="n"/>
      <c r="K194" s="2" t="n"/>
      <c r="L194" s="2" t="n"/>
      <c r="M194" s="2" t="n"/>
      <c r="N194" s="2" t="n"/>
      <c r="O194" s="2" t="n"/>
      <c r="P194" s="2" t="n"/>
      <c r="Q194" s="2" t="n"/>
      <c r="R194" s="2" t="n"/>
    </row>
    <row r="195" ht="25" customHeight="1">
      <c r="A195" s="3">
        <f>IF(B195="","","DS-"&amp;TEXT(ROW()-1,"0000"))</f>
        <v/>
      </c>
      <c r="B195" s="3" t="n"/>
      <c r="C195" s="3">
        <f>IFERROR(XLOOKUP(B195,'Opportunity Scoring'!$A:$A,'Opportunity Scoring'!$B:$B),"")</f>
        <v/>
      </c>
      <c r="D195" s="3" t="n"/>
      <c r="E195" s="3" t="n"/>
      <c r="F195" s="3">
        <f>IFERROR(XLOOKUP(B195,'Opportunity Scoring'!$A:$A,'Opportunity Scoring'!$D:$D),"")</f>
        <v/>
      </c>
      <c r="G195" s="3" t="n"/>
      <c r="H195" s="3" t="n"/>
      <c r="I195" s="3" t="n"/>
      <c r="J195" s="3" t="n"/>
      <c r="K195" s="3" t="n"/>
      <c r="L195" s="3" t="n"/>
      <c r="M195" s="3" t="n"/>
      <c r="N195" s="3" t="n"/>
      <c r="O195" s="3" t="n"/>
      <c r="P195" s="3" t="n"/>
      <c r="Q195" s="3" t="n"/>
      <c r="R195" s="3" t="n"/>
    </row>
    <row r="196" ht="25" customHeight="1">
      <c r="A196" s="2">
        <f>IF(B196="","","DS-"&amp;TEXT(ROW()-1,"0000"))</f>
        <v/>
      </c>
      <c r="B196" s="2" t="n"/>
      <c r="C196" s="2">
        <f>IFERROR(XLOOKUP(B196,'Opportunity Scoring'!$A:$A,'Opportunity Scoring'!$B:$B),"")</f>
        <v/>
      </c>
      <c r="D196" s="2" t="n"/>
      <c r="E196" s="2" t="n"/>
      <c r="F196" s="2">
        <f>IFERROR(XLOOKUP(B196,'Opportunity Scoring'!$A:$A,'Opportunity Scoring'!$D:$D),"")</f>
        <v/>
      </c>
      <c r="G196" s="2" t="n"/>
      <c r="H196" s="2" t="n"/>
      <c r="I196" s="2" t="n"/>
      <c r="J196" s="2" t="n"/>
      <c r="K196" s="2" t="n"/>
      <c r="L196" s="2" t="n"/>
      <c r="M196" s="2" t="n"/>
      <c r="N196" s="2" t="n"/>
      <c r="O196" s="2" t="n"/>
      <c r="P196" s="2" t="n"/>
      <c r="Q196" s="2" t="n"/>
      <c r="R196" s="2" t="n"/>
    </row>
    <row r="197" ht="25" customHeight="1">
      <c r="A197" s="3">
        <f>IF(B197="","","DS-"&amp;TEXT(ROW()-1,"0000"))</f>
        <v/>
      </c>
      <c r="B197" s="3" t="n"/>
      <c r="C197" s="3">
        <f>IFERROR(XLOOKUP(B197,'Opportunity Scoring'!$A:$A,'Opportunity Scoring'!$B:$B),"")</f>
        <v/>
      </c>
      <c r="D197" s="3" t="n"/>
      <c r="E197" s="3" t="n"/>
      <c r="F197" s="3">
        <f>IFERROR(XLOOKUP(B197,'Opportunity Scoring'!$A:$A,'Opportunity Scoring'!$D:$D),"")</f>
        <v/>
      </c>
      <c r="G197" s="3" t="n"/>
      <c r="H197" s="3" t="n"/>
      <c r="I197" s="3" t="n"/>
      <c r="J197" s="3" t="n"/>
      <c r="K197" s="3" t="n"/>
      <c r="L197" s="3" t="n"/>
      <c r="M197" s="3" t="n"/>
      <c r="N197" s="3" t="n"/>
      <c r="O197" s="3" t="n"/>
      <c r="P197" s="3" t="n"/>
      <c r="Q197" s="3" t="n"/>
      <c r="R197" s="3" t="n"/>
    </row>
    <row r="198" ht="25" customHeight="1">
      <c r="A198" s="2">
        <f>IF(B198="","","DS-"&amp;TEXT(ROW()-1,"0000"))</f>
        <v/>
      </c>
      <c r="B198" s="2" t="n"/>
      <c r="C198" s="2">
        <f>IFERROR(XLOOKUP(B198,'Opportunity Scoring'!$A:$A,'Opportunity Scoring'!$B:$B),"")</f>
        <v/>
      </c>
      <c r="D198" s="2" t="n"/>
      <c r="E198" s="2" t="n"/>
      <c r="F198" s="2">
        <f>IFERROR(XLOOKUP(B198,'Opportunity Scoring'!$A:$A,'Opportunity Scoring'!$D:$D),"")</f>
        <v/>
      </c>
      <c r="G198" s="2" t="n"/>
      <c r="H198" s="2" t="n"/>
      <c r="I198" s="2" t="n"/>
      <c r="J198" s="2" t="n"/>
      <c r="K198" s="2" t="n"/>
      <c r="L198" s="2" t="n"/>
      <c r="M198" s="2" t="n"/>
      <c r="N198" s="2" t="n"/>
      <c r="O198" s="2" t="n"/>
      <c r="P198" s="2" t="n"/>
      <c r="Q198" s="2" t="n"/>
      <c r="R198" s="2" t="n"/>
    </row>
    <row r="199" ht="25" customHeight="1">
      <c r="A199" s="3">
        <f>IF(B199="","","DS-"&amp;TEXT(ROW()-1,"0000"))</f>
        <v/>
      </c>
      <c r="B199" s="3" t="n"/>
      <c r="C199" s="3">
        <f>IFERROR(XLOOKUP(B199,'Opportunity Scoring'!$A:$A,'Opportunity Scoring'!$B:$B),"")</f>
        <v/>
      </c>
      <c r="D199" s="3" t="n"/>
      <c r="E199" s="3" t="n"/>
      <c r="F199" s="3">
        <f>IFERROR(XLOOKUP(B199,'Opportunity Scoring'!$A:$A,'Opportunity Scoring'!$D:$D),"")</f>
        <v/>
      </c>
      <c r="G199" s="3" t="n"/>
      <c r="H199" s="3" t="n"/>
      <c r="I199" s="3" t="n"/>
      <c r="J199" s="3" t="n"/>
      <c r="K199" s="3" t="n"/>
      <c r="L199" s="3" t="n"/>
      <c r="M199" s="3" t="n"/>
      <c r="N199" s="3" t="n"/>
      <c r="O199" s="3" t="n"/>
      <c r="P199" s="3" t="n"/>
      <c r="Q199" s="3" t="n"/>
      <c r="R199" s="3" t="n"/>
    </row>
    <row r="200" ht="25" customHeight="1">
      <c r="A200" s="2">
        <f>IF(B200="","","DS-"&amp;TEXT(ROW()-1,"0000"))</f>
        <v/>
      </c>
      <c r="B200" s="2" t="n"/>
      <c r="C200" s="2">
        <f>IFERROR(XLOOKUP(B200,'Opportunity Scoring'!$A:$A,'Opportunity Scoring'!$B:$B),"")</f>
        <v/>
      </c>
      <c r="D200" s="2" t="n"/>
      <c r="E200" s="2" t="n"/>
      <c r="F200" s="2">
        <f>IFERROR(XLOOKUP(B200,'Opportunity Scoring'!$A:$A,'Opportunity Scoring'!$D:$D),"")</f>
        <v/>
      </c>
      <c r="G200" s="2" t="n"/>
      <c r="H200" s="2" t="n"/>
      <c r="I200" s="2" t="n"/>
      <c r="J200" s="2" t="n"/>
      <c r="K200" s="2" t="n"/>
      <c r="L200" s="2" t="n"/>
      <c r="M200" s="2" t="n"/>
      <c r="N200" s="2" t="n"/>
      <c r="O200" s="2" t="n"/>
      <c r="P200" s="2" t="n"/>
      <c r="Q200" s="2" t="n"/>
      <c r="R200" s="2" t="n"/>
    </row>
    <row r="201" ht="25" customHeight="1">
      <c r="A201" s="3">
        <f>IF(B201="","","DS-"&amp;TEXT(ROW()-1,"0000"))</f>
        <v/>
      </c>
      <c r="B201" s="3" t="n"/>
      <c r="C201" s="3">
        <f>IFERROR(XLOOKUP(B201,'Opportunity Scoring'!$A:$A,'Opportunity Scoring'!$B:$B),"")</f>
        <v/>
      </c>
      <c r="D201" s="3" t="n"/>
      <c r="E201" s="3" t="n"/>
      <c r="F201" s="3">
        <f>IFERROR(XLOOKUP(B201,'Opportunity Scoring'!$A:$A,'Opportunity Scoring'!$D:$D),"")</f>
        <v/>
      </c>
      <c r="G201" s="3" t="n"/>
      <c r="H201" s="3" t="n"/>
      <c r="I201" s="3" t="n"/>
      <c r="J201" s="3" t="n"/>
      <c r="K201" s="3" t="n"/>
      <c r="L201" s="3" t="n"/>
      <c r="M201" s="3" t="n"/>
      <c r="N201" s="3" t="n"/>
      <c r="O201" s="3" t="n"/>
      <c r="P201" s="3" t="n"/>
      <c r="Q201" s="3" t="n"/>
      <c r="R201" s="3" t="n"/>
    </row>
    <row r="202" ht="25" customHeight="1">
      <c r="A202" s="2">
        <f>IF(B202="","","DS-"&amp;TEXT(ROW()-1,"0000"))</f>
        <v/>
      </c>
      <c r="B202" s="2" t="n"/>
      <c r="C202" s="2">
        <f>IFERROR(XLOOKUP(B202,'Opportunity Scoring'!$A:$A,'Opportunity Scoring'!$B:$B),"")</f>
        <v/>
      </c>
      <c r="D202" s="2" t="n"/>
      <c r="E202" s="2" t="n"/>
      <c r="F202" s="2">
        <f>IFERROR(XLOOKUP(B202,'Opportunity Scoring'!$A:$A,'Opportunity Scoring'!$D:$D),"")</f>
        <v/>
      </c>
      <c r="G202" s="2" t="n"/>
      <c r="H202" s="2" t="n"/>
      <c r="I202" s="2" t="n"/>
      <c r="J202" s="2" t="n"/>
      <c r="K202" s="2" t="n"/>
      <c r="L202" s="2" t="n"/>
      <c r="M202" s="2" t="n"/>
      <c r="N202" s="2" t="n"/>
      <c r="O202" s="2" t="n"/>
      <c r="P202" s="2" t="n"/>
      <c r="Q202" s="2" t="n"/>
      <c r="R202" s="2" t="n"/>
    </row>
    <row r="203" ht="25" customHeight="1">
      <c r="A203" s="3">
        <f>IF(B203="","","DS-"&amp;TEXT(ROW()-1,"0000"))</f>
        <v/>
      </c>
      <c r="B203" s="3" t="n"/>
      <c r="C203" s="3">
        <f>IFERROR(XLOOKUP(B203,'Opportunity Scoring'!$A:$A,'Opportunity Scoring'!$B:$B),"")</f>
        <v/>
      </c>
      <c r="D203" s="3" t="n"/>
      <c r="E203" s="3" t="n"/>
      <c r="F203" s="3">
        <f>IFERROR(XLOOKUP(B203,'Opportunity Scoring'!$A:$A,'Opportunity Scoring'!$D:$D),"")</f>
        <v/>
      </c>
      <c r="G203" s="3" t="n"/>
      <c r="H203" s="3" t="n"/>
      <c r="I203" s="3" t="n"/>
      <c r="J203" s="3" t="n"/>
      <c r="K203" s="3" t="n"/>
      <c r="L203" s="3" t="n"/>
      <c r="M203" s="3" t="n"/>
      <c r="N203" s="3" t="n"/>
      <c r="O203" s="3" t="n"/>
      <c r="P203" s="3" t="n"/>
      <c r="Q203" s="3" t="n"/>
      <c r="R203" s="3" t="n"/>
    </row>
    <row r="204" ht="25" customHeight="1">
      <c r="A204" s="2">
        <f>IF(B204="","","DS-"&amp;TEXT(ROW()-1,"0000"))</f>
        <v/>
      </c>
      <c r="B204" s="2" t="n"/>
      <c r="C204" s="2">
        <f>IFERROR(XLOOKUP(B204,'Opportunity Scoring'!$A:$A,'Opportunity Scoring'!$B:$B),"")</f>
        <v/>
      </c>
      <c r="D204" s="2" t="n"/>
      <c r="E204" s="2" t="n"/>
      <c r="F204" s="2">
        <f>IFERROR(XLOOKUP(B204,'Opportunity Scoring'!$A:$A,'Opportunity Scoring'!$D:$D),"")</f>
        <v/>
      </c>
      <c r="G204" s="2" t="n"/>
      <c r="H204" s="2" t="n"/>
      <c r="I204" s="2" t="n"/>
      <c r="J204" s="2" t="n"/>
      <c r="K204" s="2" t="n"/>
      <c r="L204" s="2" t="n"/>
      <c r="M204" s="2" t="n"/>
      <c r="N204" s="2" t="n"/>
      <c r="O204" s="2" t="n"/>
      <c r="P204" s="2" t="n"/>
      <c r="Q204" s="2" t="n"/>
      <c r="R204" s="2" t="n"/>
    </row>
    <row r="205" ht="25" customHeight="1">
      <c r="A205" s="3">
        <f>IF(B205="","","DS-"&amp;TEXT(ROW()-1,"0000"))</f>
        <v/>
      </c>
      <c r="B205" s="3" t="n"/>
      <c r="C205" s="3">
        <f>IFERROR(XLOOKUP(B205,'Opportunity Scoring'!$A:$A,'Opportunity Scoring'!$B:$B),"")</f>
        <v/>
      </c>
      <c r="D205" s="3" t="n"/>
      <c r="E205" s="3" t="n"/>
      <c r="F205" s="3">
        <f>IFERROR(XLOOKUP(B205,'Opportunity Scoring'!$A:$A,'Opportunity Scoring'!$D:$D),"")</f>
        <v/>
      </c>
      <c r="G205" s="3" t="n"/>
      <c r="H205" s="3" t="n"/>
      <c r="I205" s="3" t="n"/>
      <c r="J205" s="3" t="n"/>
      <c r="K205" s="3" t="n"/>
      <c r="L205" s="3" t="n"/>
      <c r="M205" s="3" t="n"/>
      <c r="N205" s="3" t="n"/>
      <c r="O205" s="3" t="n"/>
      <c r="P205" s="3" t="n"/>
      <c r="Q205" s="3" t="n"/>
      <c r="R205" s="3" t="n"/>
    </row>
    <row r="206" ht="25" customHeight="1">
      <c r="A206" s="2">
        <f>IF(B206="","","DS-"&amp;TEXT(ROW()-1,"0000"))</f>
        <v/>
      </c>
      <c r="B206" s="2" t="n"/>
      <c r="C206" s="2">
        <f>IFERROR(XLOOKUP(B206,'Opportunity Scoring'!$A:$A,'Opportunity Scoring'!$B:$B),"")</f>
        <v/>
      </c>
      <c r="D206" s="2" t="n"/>
      <c r="E206" s="2" t="n"/>
      <c r="F206" s="2">
        <f>IFERROR(XLOOKUP(B206,'Opportunity Scoring'!$A:$A,'Opportunity Scoring'!$D:$D),"")</f>
        <v/>
      </c>
      <c r="G206" s="2" t="n"/>
      <c r="H206" s="2" t="n"/>
      <c r="I206" s="2" t="n"/>
      <c r="J206" s="2" t="n"/>
      <c r="K206" s="2" t="n"/>
      <c r="L206" s="2" t="n"/>
      <c r="M206" s="2" t="n"/>
      <c r="N206" s="2" t="n"/>
      <c r="O206" s="2" t="n"/>
      <c r="P206" s="2" t="n"/>
      <c r="Q206" s="2" t="n"/>
      <c r="R206" s="2" t="n"/>
    </row>
    <row r="207" ht="25" customHeight="1">
      <c r="A207" s="3">
        <f>IF(B207="","","DS-"&amp;TEXT(ROW()-1,"0000"))</f>
        <v/>
      </c>
      <c r="B207" s="3" t="n"/>
      <c r="C207" s="3">
        <f>IFERROR(XLOOKUP(B207,'Opportunity Scoring'!$A:$A,'Opportunity Scoring'!$B:$B),"")</f>
        <v/>
      </c>
      <c r="D207" s="3" t="n"/>
      <c r="E207" s="3" t="n"/>
      <c r="F207" s="3">
        <f>IFERROR(XLOOKUP(B207,'Opportunity Scoring'!$A:$A,'Opportunity Scoring'!$D:$D),"")</f>
        <v/>
      </c>
      <c r="G207" s="3" t="n"/>
      <c r="H207" s="3" t="n"/>
      <c r="I207" s="3" t="n"/>
      <c r="J207" s="3" t="n"/>
      <c r="K207" s="3" t="n"/>
      <c r="L207" s="3" t="n"/>
      <c r="M207" s="3" t="n"/>
      <c r="N207" s="3" t="n"/>
      <c r="O207" s="3" t="n"/>
      <c r="P207" s="3" t="n"/>
      <c r="Q207" s="3" t="n"/>
      <c r="R207" s="3" t="n"/>
    </row>
    <row r="208" ht="25" customHeight="1">
      <c r="A208" s="2">
        <f>IF(B208="","","DS-"&amp;TEXT(ROW()-1,"0000"))</f>
        <v/>
      </c>
      <c r="B208" s="2" t="n"/>
      <c r="C208" s="2">
        <f>IFERROR(XLOOKUP(B208,'Opportunity Scoring'!$A:$A,'Opportunity Scoring'!$B:$B),"")</f>
        <v/>
      </c>
      <c r="D208" s="2" t="n"/>
      <c r="E208" s="2" t="n"/>
      <c r="F208" s="2">
        <f>IFERROR(XLOOKUP(B208,'Opportunity Scoring'!$A:$A,'Opportunity Scoring'!$D:$D),"")</f>
        <v/>
      </c>
      <c r="G208" s="2" t="n"/>
      <c r="H208" s="2" t="n"/>
      <c r="I208" s="2" t="n"/>
      <c r="J208" s="2" t="n"/>
      <c r="K208" s="2" t="n"/>
      <c r="L208" s="2" t="n"/>
      <c r="M208" s="2" t="n"/>
      <c r="N208" s="2" t="n"/>
      <c r="O208" s="2" t="n"/>
      <c r="P208" s="2" t="n"/>
      <c r="Q208" s="2" t="n"/>
      <c r="R208" s="2" t="n"/>
    </row>
    <row r="209" ht="25" customHeight="1">
      <c r="A209" s="3">
        <f>IF(B209="","","DS-"&amp;TEXT(ROW()-1,"0000"))</f>
        <v/>
      </c>
      <c r="B209" s="3" t="n"/>
      <c r="C209" s="3">
        <f>IFERROR(XLOOKUP(B209,'Opportunity Scoring'!$A:$A,'Opportunity Scoring'!$B:$B),"")</f>
        <v/>
      </c>
      <c r="D209" s="3" t="n"/>
      <c r="E209" s="3" t="n"/>
      <c r="F209" s="3">
        <f>IFERROR(XLOOKUP(B209,'Opportunity Scoring'!$A:$A,'Opportunity Scoring'!$D:$D),"")</f>
        <v/>
      </c>
      <c r="G209" s="3" t="n"/>
      <c r="H209" s="3" t="n"/>
      <c r="I209" s="3" t="n"/>
      <c r="J209" s="3" t="n"/>
      <c r="K209" s="3" t="n"/>
      <c r="L209" s="3" t="n"/>
      <c r="M209" s="3" t="n"/>
      <c r="N209" s="3" t="n"/>
      <c r="O209" s="3" t="n"/>
      <c r="P209" s="3" t="n"/>
      <c r="Q209" s="3" t="n"/>
      <c r="R209" s="3" t="n"/>
    </row>
    <row r="210" ht="25" customHeight="1">
      <c r="A210" s="2">
        <f>IF(B210="","","DS-"&amp;TEXT(ROW()-1,"0000"))</f>
        <v/>
      </c>
      <c r="B210" s="2" t="n"/>
      <c r="C210" s="2">
        <f>IFERROR(XLOOKUP(B210,'Opportunity Scoring'!$A:$A,'Opportunity Scoring'!$B:$B),"")</f>
        <v/>
      </c>
      <c r="D210" s="2" t="n"/>
      <c r="E210" s="2" t="n"/>
      <c r="F210" s="2">
        <f>IFERROR(XLOOKUP(B210,'Opportunity Scoring'!$A:$A,'Opportunity Scoring'!$D:$D),"")</f>
        <v/>
      </c>
      <c r="G210" s="2" t="n"/>
      <c r="H210" s="2" t="n"/>
      <c r="I210" s="2" t="n"/>
      <c r="J210" s="2" t="n"/>
      <c r="K210" s="2" t="n"/>
      <c r="L210" s="2" t="n"/>
      <c r="M210" s="2" t="n"/>
      <c r="N210" s="2" t="n"/>
      <c r="O210" s="2" t="n"/>
      <c r="P210" s="2" t="n"/>
      <c r="Q210" s="2" t="n"/>
      <c r="R210" s="2" t="n"/>
    </row>
    <row r="211" ht="25" customHeight="1">
      <c r="A211" s="3">
        <f>IF(B211="","","DS-"&amp;TEXT(ROW()-1,"0000"))</f>
        <v/>
      </c>
      <c r="B211" s="3" t="n"/>
      <c r="C211" s="3">
        <f>IFERROR(XLOOKUP(B211,'Opportunity Scoring'!$A:$A,'Opportunity Scoring'!$B:$B),"")</f>
        <v/>
      </c>
      <c r="D211" s="3" t="n"/>
      <c r="E211" s="3" t="n"/>
      <c r="F211" s="3">
        <f>IFERROR(XLOOKUP(B211,'Opportunity Scoring'!$A:$A,'Opportunity Scoring'!$D:$D),"")</f>
        <v/>
      </c>
      <c r="G211" s="3" t="n"/>
      <c r="H211" s="3" t="n"/>
      <c r="I211" s="3" t="n"/>
      <c r="J211" s="3" t="n"/>
      <c r="K211" s="3" t="n"/>
      <c r="L211" s="3" t="n"/>
      <c r="M211" s="3" t="n"/>
      <c r="N211" s="3" t="n"/>
      <c r="O211" s="3" t="n"/>
      <c r="P211" s="3" t="n"/>
      <c r="Q211" s="3" t="n"/>
      <c r="R211" s="3" t="n"/>
    </row>
    <row r="212" ht="25" customHeight="1">
      <c r="A212" s="2">
        <f>IF(B212="","","DS-"&amp;TEXT(ROW()-1,"0000"))</f>
        <v/>
      </c>
      <c r="B212" s="2" t="n"/>
      <c r="C212" s="2">
        <f>IFERROR(XLOOKUP(B212,'Opportunity Scoring'!$A:$A,'Opportunity Scoring'!$B:$B),"")</f>
        <v/>
      </c>
      <c r="D212" s="2" t="n"/>
      <c r="E212" s="2" t="n"/>
      <c r="F212" s="2">
        <f>IFERROR(XLOOKUP(B212,'Opportunity Scoring'!$A:$A,'Opportunity Scoring'!$D:$D),"")</f>
        <v/>
      </c>
      <c r="G212" s="2" t="n"/>
      <c r="H212" s="2" t="n"/>
      <c r="I212" s="2" t="n"/>
      <c r="J212" s="2" t="n"/>
      <c r="K212" s="2" t="n"/>
      <c r="L212" s="2" t="n"/>
      <c r="M212" s="2" t="n"/>
      <c r="N212" s="2" t="n"/>
      <c r="O212" s="2" t="n"/>
      <c r="P212" s="2" t="n"/>
      <c r="Q212" s="2" t="n"/>
      <c r="R212" s="2" t="n"/>
    </row>
    <row r="213" ht="25" customHeight="1">
      <c r="A213" s="3">
        <f>IF(B213="","","DS-"&amp;TEXT(ROW()-1,"0000"))</f>
        <v/>
      </c>
      <c r="B213" s="3" t="n"/>
      <c r="C213" s="3">
        <f>IFERROR(XLOOKUP(B213,'Opportunity Scoring'!$A:$A,'Opportunity Scoring'!$B:$B),"")</f>
        <v/>
      </c>
      <c r="D213" s="3" t="n"/>
      <c r="E213" s="3" t="n"/>
      <c r="F213" s="3">
        <f>IFERROR(XLOOKUP(B213,'Opportunity Scoring'!$A:$A,'Opportunity Scoring'!$D:$D),"")</f>
        <v/>
      </c>
      <c r="G213" s="3" t="n"/>
      <c r="H213" s="3" t="n"/>
      <c r="I213" s="3" t="n"/>
      <c r="J213" s="3" t="n"/>
      <c r="K213" s="3" t="n"/>
      <c r="L213" s="3" t="n"/>
      <c r="M213" s="3" t="n"/>
      <c r="N213" s="3" t="n"/>
      <c r="O213" s="3" t="n"/>
      <c r="P213" s="3" t="n"/>
      <c r="Q213" s="3" t="n"/>
      <c r="R213" s="3" t="n"/>
    </row>
    <row r="214" ht="25" customHeight="1">
      <c r="A214" s="2">
        <f>IF(B214="","","DS-"&amp;TEXT(ROW()-1,"0000"))</f>
        <v/>
      </c>
      <c r="B214" s="2" t="n"/>
      <c r="C214" s="2">
        <f>IFERROR(XLOOKUP(B214,'Opportunity Scoring'!$A:$A,'Opportunity Scoring'!$B:$B),"")</f>
        <v/>
      </c>
      <c r="D214" s="2" t="n"/>
      <c r="E214" s="2" t="n"/>
      <c r="F214" s="2">
        <f>IFERROR(XLOOKUP(B214,'Opportunity Scoring'!$A:$A,'Opportunity Scoring'!$D:$D),"")</f>
        <v/>
      </c>
      <c r="G214" s="2" t="n"/>
      <c r="H214" s="2" t="n"/>
      <c r="I214" s="2" t="n"/>
      <c r="J214" s="2" t="n"/>
      <c r="K214" s="2" t="n"/>
      <c r="L214" s="2" t="n"/>
      <c r="M214" s="2" t="n"/>
      <c r="N214" s="2" t="n"/>
      <c r="O214" s="2" t="n"/>
      <c r="P214" s="2" t="n"/>
      <c r="Q214" s="2" t="n"/>
      <c r="R214" s="2" t="n"/>
    </row>
    <row r="215" ht="25" customHeight="1">
      <c r="A215" s="3">
        <f>IF(B215="","","DS-"&amp;TEXT(ROW()-1,"0000"))</f>
        <v/>
      </c>
      <c r="B215" s="3" t="n"/>
      <c r="C215" s="3">
        <f>IFERROR(XLOOKUP(B215,'Opportunity Scoring'!$A:$A,'Opportunity Scoring'!$B:$B),"")</f>
        <v/>
      </c>
      <c r="D215" s="3" t="n"/>
      <c r="E215" s="3" t="n"/>
      <c r="F215" s="3">
        <f>IFERROR(XLOOKUP(B215,'Opportunity Scoring'!$A:$A,'Opportunity Scoring'!$D:$D),"")</f>
        <v/>
      </c>
      <c r="G215" s="3" t="n"/>
      <c r="H215" s="3" t="n"/>
      <c r="I215" s="3" t="n"/>
      <c r="J215" s="3" t="n"/>
      <c r="K215" s="3" t="n"/>
      <c r="L215" s="3" t="n"/>
      <c r="M215" s="3" t="n"/>
      <c r="N215" s="3" t="n"/>
      <c r="O215" s="3" t="n"/>
      <c r="P215" s="3" t="n"/>
      <c r="Q215" s="3" t="n"/>
      <c r="R215" s="3" t="n"/>
    </row>
    <row r="216" ht="25" customHeight="1">
      <c r="A216" s="2">
        <f>IF(B216="","","DS-"&amp;TEXT(ROW()-1,"0000"))</f>
        <v/>
      </c>
      <c r="B216" s="2" t="n"/>
      <c r="C216" s="2">
        <f>IFERROR(XLOOKUP(B216,'Opportunity Scoring'!$A:$A,'Opportunity Scoring'!$B:$B),"")</f>
        <v/>
      </c>
      <c r="D216" s="2" t="n"/>
      <c r="E216" s="2" t="n"/>
      <c r="F216" s="2">
        <f>IFERROR(XLOOKUP(B216,'Opportunity Scoring'!$A:$A,'Opportunity Scoring'!$D:$D),"")</f>
        <v/>
      </c>
      <c r="G216" s="2" t="n"/>
      <c r="H216" s="2" t="n"/>
      <c r="I216" s="2" t="n"/>
      <c r="J216" s="2" t="n"/>
      <c r="K216" s="2" t="n"/>
      <c r="L216" s="2" t="n"/>
      <c r="M216" s="2" t="n"/>
      <c r="N216" s="2" t="n"/>
      <c r="O216" s="2" t="n"/>
      <c r="P216" s="2" t="n"/>
      <c r="Q216" s="2" t="n"/>
      <c r="R216" s="2" t="n"/>
    </row>
    <row r="217" ht="25" customHeight="1">
      <c r="A217" s="3">
        <f>IF(B217="","","DS-"&amp;TEXT(ROW()-1,"0000"))</f>
        <v/>
      </c>
      <c r="B217" s="3" t="n"/>
      <c r="C217" s="3">
        <f>IFERROR(XLOOKUP(B217,'Opportunity Scoring'!$A:$A,'Opportunity Scoring'!$B:$B),"")</f>
        <v/>
      </c>
      <c r="D217" s="3" t="n"/>
      <c r="E217" s="3" t="n"/>
      <c r="F217" s="3">
        <f>IFERROR(XLOOKUP(B217,'Opportunity Scoring'!$A:$A,'Opportunity Scoring'!$D:$D),"")</f>
        <v/>
      </c>
      <c r="G217" s="3" t="n"/>
      <c r="H217" s="3" t="n"/>
      <c r="I217" s="3" t="n"/>
      <c r="J217" s="3" t="n"/>
      <c r="K217" s="3" t="n"/>
      <c r="L217" s="3" t="n"/>
      <c r="M217" s="3" t="n"/>
      <c r="N217" s="3" t="n"/>
      <c r="O217" s="3" t="n"/>
      <c r="P217" s="3" t="n"/>
      <c r="Q217" s="3" t="n"/>
      <c r="R217" s="3" t="n"/>
    </row>
    <row r="218" ht="25" customHeight="1">
      <c r="A218" s="2">
        <f>IF(B218="","","DS-"&amp;TEXT(ROW()-1,"0000"))</f>
        <v/>
      </c>
      <c r="B218" s="2" t="n"/>
      <c r="C218" s="2">
        <f>IFERROR(XLOOKUP(B218,'Opportunity Scoring'!$A:$A,'Opportunity Scoring'!$B:$B),"")</f>
        <v/>
      </c>
      <c r="D218" s="2" t="n"/>
      <c r="E218" s="2" t="n"/>
      <c r="F218" s="2">
        <f>IFERROR(XLOOKUP(B218,'Opportunity Scoring'!$A:$A,'Opportunity Scoring'!$D:$D),"")</f>
        <v/>
      </c>
      <c r="G218" s="2" t="n"/>
      <c r="H218" s="2" t="n"/>
      <c r="I218" s="2" t="n"/>
      <c r="J218" s="2" t="n"/>
      <c r="K218" s="2" t="n"/>
      <c r="L218" s="2" t="n"/>
      <c r="M218" s="2" t="n"/>
      <c r="N218" s="2" t="n"/>
      <c r="O218" s="2" t="n"/>
      <c r="P218" s="2" t="n"/>
      <c r="Q218" s="2" t="n"/>
      <c r="R218" s="2" t="n"/>
    </row>
    <row r="219" ht="25" customHeight="1">
      <c r="A219" s="3">
        <f>IF(B219="","","DS-"&amp;TEXT(ROW()-1,"0000"))</f>
        <v/>
      </c>
      <c r="B219" s="3" t="n"/>
      <c r="C219" s="3">
        <f>IFERROR(XLOOKUP(B219,'Opportunity Scoring'!$A:$A,'Opportunity Scoring'!$B:$B),"")</f>
        <v/>
      </c>
      <c r="D219" s="3" t="n"/>
      <c r="E219" s="3" t="n"/>
      <c r="F219" s="3">
        <f>IFERROR(XLOOKUP(B219,'Opportunity Scoring'!$A:$A,'Opportunity Scoring'!$D:$D),"")</f>
        <v/>
      </c>
      <c r="G219" s="3" t="n"/>
      <c r="H219" s="3" t="n"/>
      <c r="I219" s="3" t="n"/>
      <c r="J219" s="3" t="n"/>
      <c r="K219" s="3" t="n"/>
      <c r="L219" s="3" t="n"/>
      <c r="M219" s="3" t="n"/>
      <c r="N219" s="3" t="n"/>
      <c r="O219" s="3" t="n"/>
      <c r="P219" s="3" t="n"/>
      <c r="Q219" s="3" t="n"/>
      <c r="R219" s="3" t="n"/>
    </row>
    <row r="220" ht="25" customHeight="1">
      <c r="A220" s="2">
        <f>IF(B220="","","DS-"&amp;TEXT(ROW()-1,"0000"))</f>
        <v/>
      </c>
      <c r="B220" s="2" t="n"/>
      <c r="C220" s="2">
        <f>IFERROR(XLOOKUP(B220,'Opportunity Scoring'!$A:$A,'Opportunity Scoring'!$B:$B),"")</f>
        <v/>
      </c>
      <c r="D220" s="2" t="n"/>
      <c r="E220" s="2" t="n"/>
      <c r="F220" s="2">
        <f>IFERROR(XLOOKUP(B220,'Opportunity Scoring'!$A:$A,'Opportunity Scoring'!$D:$D),"")</f>
        <v/>
      </c>
      <c r="G220" s="2" t="n"/>
      <c r="H220" s="2" t="n"/>
      <c r="I220" s="2" t="n"/>
      <c r="J220" s="2" t="n"/>
      <c r="K220" s="2" t="n"/>
      <c r="L220" s="2" t="n"/>
      <c r="M220" s="2" t="n"/>
      <c r="N220" s="2" t="n"/>
      <c r="O220" s="2" t="n"/>
      <c r="P220" s="2" t="n"/>
      <c r="Q220" s="2" t="n"/>
      <c r="R220" s="2" t="n"/>
    </row>
    <row r="221" ht="25" customHeight="1">
      <c r="A221" s="3">
        <f>IF(B221="","","DS-"&amp;TEXT(ROW()-1,"0000"))</f>
        <v/>
      </c>
      <c r="B221" s="3" t="n"/>
      <c r="C221" s="3">
        <f>IFERROR(XLOOKUP(B221,'Opportunity Scoring'!$A:$A,'Opportunity Scoring'!$B:$B),"")</f>
        <v/>
      </c>
      <c r="D221" s="3" t="n"/>
      <c r="E221" s="3" t="n"/>
      <c r="F221" s="3">
        <f>IFERROR(XLOOKUP(B221,'Opportunity Scoring'!$A:$A,'Opportunity Scoring'!$D:$D),"")</f>
        <v/>
      </c>
      <c r="G221" s="3" t="n"/>
      <c r="H221" s="3" t="n"/>
      <c r="I221" s="3" t="n"/>
      <c r="J221" s="3" t="n"/>
      <c r="K221" s="3" t="n"/>
      <c r="L221" s="3" t="n"/>
      <c r="M221" s="3" t="n"/>
      <c r="N221" s="3" t="n"/>
      <c r="O221" s="3" t="n"/>
      <c r="P221" s="3" t="n"/>
      <c r="Q221" s="3" t="n"/>
      <c r="R221" s="3" t="n"/>
    </row>
    <row r="222" ht="25" customHeight="1">
      <c r="A222" s="2">
        <f>IF(B222="","","DS-"&amp;TEXT(ROW()-1,"0000"))</f>
        <v/>
      </c>
      <c r="B222" s="2" t="n"/>
      <c r="C222" s="2">
        <f>IFERROR(XLOOKUP(B222,'Opportunity Scoring'!$A:$A,'Opportunity Scoring'!$B:$B),"")</f>
        <v/>
      </c>
      <c r="D222" s="2" t="n"/>
      <c r="E222" s="2" t="n"/>
      <c r="F222" s="2">
        <f>IFERROR(XLOOKUP(B222,'Opportunity Scoring'!$A:$A,'Opportunity Scoring'!$D:$D),"")</f>
        <v/>
      </c>
      <c r="G222" s="2" t="n"/>
      <c r="H222" s="2" t="n"/>
      <c r="I222" s="2" t="n"/>
      <c r="J222" s="2" t="n"/>
      <c r="K222" s="2" t="n"/>
      <c r="L222" s="2" t="n"/>
      <c r="M222" s="2" t="n"/>
      <c r="N222" s="2" t="n"/>
      <c r="O222" s="2" t="n"/>
      <c r="P222" s="2" t="n"/>
      <c r="Q222" s="2" t="n"/>
      <c r="R222" s="2" t="n"/>
    </row>
    <row r="223" ht="25" customHeight="1">
      <c r="A223" s="3">
        <f>IF(B223="","","DS-"&amp;TEXT(ROW()-1,"0000"))</f>
        <v/>
      </c>
      <c r="B223" s="3" t="n"/>
      <c r="C223" s="3">
        <f>IFERROR(XLOOKUP(B223,'Opportunity Scoring'!$A:$A,'Opportunity Scoring'!$B:$B),"")</f>
        <v/>
      </c>
      <c r="D223" s="3" t="n"/>
      <c r="E223" s="3" t="n"/>
      <c r="F223" s="3">
        <f>IFERROR(XLOOKUP(B223,'Opportunity Scoring'!$A:$A,'Opportunity Scoring'!$D:$D),"")</f>
        <v/>
      </c>
      <c r="G223" s="3" t="n"/>
      <c r="H223" s="3" t="n"/>
      <c r="I223" s="3" t="n"/>
      <c r="J223" s="3" t="n"/>
      <c r="K223" s="3" t="n"/>
      <c r="L223" s="3" t="n"/>
      <c r="M223" s="3" t="n"/>
      <c r="N223" s="3" t="n"/>
      <c r="O223" s="3" t="n"/>
      <c r="P223" s="3" t="n"/>
      <c r="Q223" s="3" t="n"/>
      <c r="R223" s="3" t="n"/>
    </row>
    <row r="224" ht="25" customHeight="1">
      <c r="A224" s="2">
        <f>IF(B224="","","DS-"&amp;TEXT(ROW()-1,"0000"))</f>
        <v/>
      </c>
      <c r="B224" s="2" t="n"/>
      <c r="C224" s="2">
        <f>IFERROR(XLOOKUP(B224,'Opportunity Scoring'!$A:$A,'Opportunity Scoring'!$B:$B),"")</f>
        <v/>
      </c>
      <c r="D224" s="2" t="n"/>
      <c r="E224" s="2" t="n"/>
      <c r="F224" s="2">
        <f>IFERROR(XLOOKUP(B224,'Opportunity Scoring'!$A:$A,'Opportunity Scoring'!$D:$D),"")</f>
        <v/>
      </c>
      <c r="G224" s="2" t="n"/>
      <c r="H224" s="2" t="n"/>
      <c r="I224" s="2" t="n"/>
      <c r="J224" s="2" t="n"/>
      <c r="K224" s="2" t="n"/>
      <c r="L224" s="2" t="n"/>
      <c r="M224" s="2" t="n"/>
      <c r="N224" s="2" t="n"/>
      <c r="O224" s="2" t="n"/>
      <c r="P224" s="2" t="n"/>
      <c r="Q224" s="2" t="n"/>
      <c r="R224" s="2" t="n"/>
    </row>
    <row r="225" ht="25" customHeight="1">
      <c r="A225" s="3">
        <f>IF(B225="","","DS-"&amp;TEXT(ROW()-1,"0000"))</f>
        <v/>
      </c>
      <c r="B225" s="3" t="n"/>
      <c r="C225" s="3">
        <f>IFERROR(XLOOKUP(B225,'Opportunity Scoring'!$A:$A,'Opportunity Scoring'!$B:$B),"")</f>
        <v/>
      </c>
      <c r="D225" s="3" t="n"/>
      <c r="E225" s="3" t="n"/>
      <c r="F225" s="3">
        <f>IFERROR(XLOOKUP(B225,'Opportunity Scoring'!$A:$A,'Opportunity Scoring'!$D:$D),"")</f>
        <v/>
      </c>
      <c r="G225" s="3" t="n"/>
      <c r="H225" s="3" t="n"/>
      <c r="I225" s="3" t="n"/>
      <c r="J225" s="3" t="n"/>
      <c r="K225" s="3" t="n"/>
      <c r="L225" s="3" t="n"/>
      <c r="M225" s="3" t="n"/>
      <c r="N225" s="3" t="n"/>
      <c r="O225" s="3" t="n"/>
      <c r="P225" s="3" t="n"/>
      <c r="Q225" s="3" t="n"/>
      <c r="R225" s="3" t="n"/>
    </row>
    <row r="226" ht="25" customHeight="1">
      <c r="A226" s="2">
        <f>IF(B226="","","DS-"&amp;TEXT(ROW()-1,"0000"))</f>
        <v/>
      </c>
      <c r="B226" s="2" t="n"/>
      <c r="C226" s="2">
        <f>IFERROR(XLOOKUP(B226,'Opportunity Scoring'!$A:$A,'Opportunity Scoring'!$B:$B),"")</f>
        <v/>
      </c>
      <c r="D226" s="2" t="n"/>
      <c r="E226" s="2" t="n"/>
      <c r="F226" s="2">
        <f>IFERROR(XLOOKUP(B226,'Opportunity Scoring'!$A:$A,'Opportunity Scoring'!$D:$D),"")</f>
        <v/>
      </c>
      <c r="G226" s="2" t="n"/>
      <c r="H226" s="2" t="n"/>
      <c r="I226" s="2" t="n"/>
      <c r="J226" s="2" t="n"/>
      <c r="K226" s="2" t="n"/>
      <c r="L226" s="2" t="n"/>
      <c r="M226" s="2" t="n"/>
      <c r="N226" s="2" t="n"/>
      <c r="O226" s="2" t="n"/>
      <c r="P226" s="2" t="n"/>
      <c r="Q226" s="2" t="n"/>
      <c r="R226" s="2" t="n"/>
    </row>
    <row r="227" ht="25" customHeight="1">
      <c r="A227" s="3">
        <f>IF(B227="","","DS-"&amp;TEXT(ROW()-1,"0000"))</f>
        <v/>
      </c>
      <c r="B227" s="3" t="n"/>
      <c r="C227" s="3">
        <f>IFERROR(XLOOKUP(B227,'Opportunity Scoring'!$A:$A,'Opportunity Scoring'!$B:$B),"")</f>
        <v/>
      </c>
      <c r="D227" s="3" t="n"/>
      <c r="E227" s="3" t="n"/>
      <c r="F227" s="3">
        <f>IFERROR(XLOOKUP(B227,'Opportunity Scoring'!$A:$A,'Opportunity Scoring'!$D:$D),"")</f>
        <v/>
      </c>
      <c r="G227" s="3" t="n"/>
      <c r="H227" s="3" t="n"/>
      <c r="I227" s="3" t="n"/>
      <c r="J227" s="3" t="n"/>
      <c r="K227" s="3" t="n"/>
      <c r="L227" s="3" t="n"/>
      <c r="M227" s="3" t="n"/>
      <c r="N227" s="3" t="n"/>
      <c r="O227" s="3" t="n"/>
      <c r="P227" s="3" t="n"/>
      <c r="Q227" s="3" t="n"/>
      <c r="R227" s="3" t="n"/>
    </row>
    <row r="228" ht="25" customHeight="1">
      <c r="A228" s="2">
        <f>IF(B228="","","DS-"&amp;TEXT(ROW()-1,"0000"))</f>
        <v/>
      </c>
      <c r="B228" s="2" t="n"/>
      <c r="C228" s="2">
        <f>IFERROR(XLOOKUP(B228,'Opportunity Scoring'!$A:$A,'Opportunity Scoring'!$B:$B),"")</f>
        <v/>
      </c>
      <c r="D228" s="2" t="n"/>
      <c r="E228" s="2" t="n"/>
      <c r="F228" s="2">
        <f>IFERROR(XLOOKUP(B228,'Opportunity Scoring'!$A:$A,'Opportunity Scoring'!$D:$D),"")</f>
        <v/>
      </c>
      <c r="G228" s="2" t="n"/>
      <c r="H228" s="2" t="n"/>
      <c r="I228" s="2" t="n"/>
      <c r="J228" s="2" t="n"/>
      <c r="K228" s="2" t="n"/>
      <c r="L228" s="2" t="n"/>
      <c r="M228" s="2" t="n"/>
      <c r="N228" s="2" t="n"/>
      <c r="O228" s="2" t="n"/>
      <c r="P228" s="2" t="n"/>
      <c r="Q228" s="2" t="n"/>
      <c r="R228" s="2" t="n"/>
    </row>
    <row r="229" ht="25" customHeight="1">
      <c r="A229" s="3">
        <f>IF(B229="","","DS-"&amp;TEXT(ROW()-1,"0000"))</f>
        <v/>
      </c>
      <c r="B229" s="3" t="n"/>
      <c r="C229" s="3">
        <f>IFERROR(XLOOKUP(B229,'Opportunity Scoring'!$A:$A,'Opportunity Scoring'!$B:$B),"")</f>
        <v/>
      </c>
      <c r="D229" s="3" t="n"/>
      <c r="E229" s="3" t="n"/>
      <c r="F229" s="3">
        <f>IFERROR(XLOOKUP(B229,'Opportunity Scoring'!$A:$A,'Opportunity Scoring'!$D:$D),"")</f>
        <v/>
      </c>
      <c r="G229" s="3" t="n"/>
      <c r="H229" s="3" t="n"/>
      <c r="I229" s="3" t="n"/>
      <c r="J229" s="3" t="n"/>
      <c r="K229" s="3" t="n"/>
      <c r="L229" s="3" t="n"/>
      <c r="M229" s="3" t="n"/>
      <c r="N229" s="3" t="n"/>
      <c r="O229" s="3" t="n"/>
      <c r="P229" s="3" t="n"/>
      <c r="Q229" s="3" t="n"/>
      <c r="R229" s="3" t="n"/>
    </row>
    <row r="230" ht="25" customHeight="1">
      <c r="A230" s="2">
        <f>IF(B230="","","DS-"&amp;TEXT(ROW()-1,"0000"))</f>
        <v/>
      </c>
      <c r="B230" s="2" t="n"/>
      <c r="C230" s="2">
        <f>IFERROR(XLOOKUP(B230,'Opportunity Scoring'!$A:$A,'Opportunity Scoring'!$B:$B),"")</f>
        <v/>
      </c>
      <c r="D230" s="2" t="n"/>
      <c r="E230" s="2" t="n"/>
      <c r="F230" s="2">
        <f>IFERROR(XLOOKUP(B230,'Opportunity Scoring'!$A:$A,'Opportunity Scoring'!$D:$D),"")</f>
        <v/>
      </c>
      <c r="G230" s="2" t="n"/>
      <c r="H230" s="2" t="n"/>
      <c r="I230" s="2" t="n"/>
      <c r="J230" s="2" t="n"/>
      <c r="K230" s="2" t="n"/>
      <c r="L230" s="2" t="n"/>
      <c r="M230" s="2" t="n"/>
      <c r="N230" s="2" t="n"/>
      <c r="O230" s="2" t="n"/>
      <c r="P230" s="2" t="n"/>
      <c r="Q230" s="2" t="n"/>
      <c r="R230" s="2" t="n"/>
    </row>
    <row r="231" ht="25" customHeight="1">
      <c r="A231" s="3">
        <f>IF(B231="","","DS-"&amp;TEXT(ROW()-1,"0000"))</f>
        <v/>
      </c>
      <c r="B231" s="3" t="n"/>
      <c r="C231" s="3">
        <f>IFERROR(XLOOKUP(B231,'Opportunity Scoring'!$A:$A,'Opportunity Scoring'!$B:$B),"")</f>
        <v/>
      </c>
      <c r="D231" s="3" t="n"/>
      <c r="E231" s="3" t="n"/>
      <c r="F231" s="3">
        <f>IFERROR(XLOOKUP(B231,'Opportunity Scoring'!$A:$A,'Opportunity Scoring'!$D:$D),"")</f>
        <v/>
      </c>
      <c r="G231" s="3" t="n"/>
      <c r="H231" s="3" t="n"/>
      <c r="I231" s="3" t="n"/>
      <c r="J231" s="3" t="n"/>
      <c r="K231" s="3" t="n"/>
      <c r="L231" s="3" t="n"/>
      <c r="M231" s="3" t="n"/>
      <c r="N231" s="3" t="n"/>
      <c r="O231" s="3" t="n"/>
      <c r="P231" s="3" t="n"/>
      <c r="Q231" s="3" t="n"/>
      <c r="R231" s="3" t="n"/>
    </row>
    <row r="232" ht="25" customHeight="1">
      <c r="A232" s="2">
        <f>IF(B232="","","DS-"&amp;TEXT(ROW()-1,"0000"))</f>
        <v/>
      </c>
      <c r="B232" s="2" t="n"/>
      <c r="C232" s="2">
        <f>IFERROR(XLOOKUP(B232,'Opportunity Scoring'!$A:$A,'Opportunity Scoring'!$B:$B),"")</f>
        <v/>
      </c>
      <c r="D232" s="2" t="n"/>
      <c r="E232" s="2" t="n"/>
      <c r="F232" s="2">
        <f>IFERROR(XLOOKUP(B232,'Opportunity Scoring'!$A:$A,'Opportunity Scoring'!$D:$D),"")</f>
        <v/>
      </c>
      <c r="G232" s="2" t="n"/>
      <c r="H232" s="2" t="n"/>
      <c r="I232" s="2" t="n"/>
      <c r="J232" s="2" t="n"/>
      <c r="K232" s="2" t="n"/>
      <c r="L232" s="2" t="n"/>
      <c r="M232" s="2" t="n"/>
      <c r="N232" s="2" t="n"/>
      <c r="O232" s="2" t="n"/>
      <c r="P232" s="2" t="n"/>
      <c r="Q232" s="2" t="n"/>
      <c r="R232" s="2" t="n"/>
    </row>
    <row r="233" ht="25" customHeight="1">
      <c r="A233" s="3">
        <f>IF(B233="","","DS-"&amp;TEXT(ROW()-1,"0000"))</f>
        <v/>
      </c>
      <c r="B233" s="3" t="n"/>
      <c r="C233" s="3">
        <f>IFERROR(XLOOKUP(B233,'Opportunity Scoring'!$A:$A,'Opportunity Scoring'!$B:$B),"")</f>
        <v/>
      </c>
      <c r="D233" s="3" t="n"/>
      <c r="E233" s="3" t="n"/>
      <c r="F233" s="3">
        <f>IFERROR(XLOOKUP(B233,'Opportunity Scoring'!$A:$A,'Opportunity Scoring'!$D:$D),"")</f>
        <v/>
      </c>
      <c r="G233" s="3" t="n"/>
      <c r="H233" s="3" t="n"/>
      <c r="I233" s="3" t="n"/>
      <c r="J233" s="3" t="n"/>
      <c r="K233" s="3" t="n"/>
      <c r="L233" s="3" t="n"/>
      <c r="M233" s="3" t="n"/>
      <c r="N233" s="3" t="n"/>
      <c r="O233" s="3" t="n"/>
      <c r="P233" s="3" t="n"/>
      <c r="Q233" s="3" t="n"/>
      <c r="R233" s="3" t="n"/>
    </row>
    <row r="234" ht="25" customHeight="1">
      <c r="A234" s="2">
        <f>IF(B234="","","DS-"&amp;TEXT(ROW()-1,"0000"))</f>
        <v/>
      </c>
      <c r="B234" s="2" t="n"/>
      <c r="C234" s="2">
        <f>IFERROR(XLOOKUP(B234,'Opportunity Scoring'!$A:$A,'Opportunity Scoring'!$B:$B),"")</f>
        <v/>
      </c>
      <c r="D234" s="2" t="n"/>
      <c r="E234" s="2" t="n"/>
      <c r="F234" s="2">
        <f>IFERROR(XLOOKUP(B234,'Opportunity Scoring'!$A:$A,'Opportunity Scoring'!$D:$D),"")</f>
        <v/>
      </c>
      <c r="G234" s="2" t="n"/>
      <c r="H234" s="2" t="n"/>
      <c r="I234" s="2" t="n"/>
      <c r="J234" s="2" t="n"/>
      <c r="K234" s="2" t="n"/>
      <c r="L234" s="2" t="n"/>
      <c r="M234" s="2" t="n"/>
      <c r="N234" s="2" t="n"/>
      <c r="O234" s="2" t="n"/>
      <c r="P234" s="2" t="n"/>
      <c r="Q234" s="2" t="n"/>
      <c r="R234" s="2" t="n"/>
    </row>
    <row r="235" ht="25" customHeight="1">
      <c r="A235" s="3">
        <f>IF(B235="","","DS-"&amp;TEXT(ROW()-1,"0000"))</f>
        <v/>
      </c>
      <c r="B235" s="3" t="n"/>
      <c r="C235" s="3">
        <f>IFERROR(XLOOKUP(B235,'Opportunity Scoring'!$A:$A,'Opportunity Scoring'!$B:$B),"")</f>
        <v/>
      </c>
      <c r="D235" s="3" t="n"/>
      <c r="E235" s="3" t="n"/>
      <c r="F235" s="3">
        <f>IFERROR(XLOOKUP(B235,'Opportunity Scoring'!$A:$A,'Opportunity Scoring'!$D:$D),"")</f>
        <v/>
      </c>
      <c r="G235" s="3" t="n"/>
      <c r="H235" s="3" t="n"/>
      <c r="I235" s="3" t="n"/>
      <c r="J235" s="3" t="n"/>
      <c r="K235" s="3" t="n"/>
      <c r="L235" s="3" t="n"/>
      <c r="M235" s="3" t="n"/>
      <c r="N235" s="3" t="n"/>
      <c r="O235" s="3" t="n"/>
      <c r="P235" s="3" t="n"/>
      <c r="Q235" s="3" t="n"/>
      <c r="R235" s="3" t="n"/>
    </row>
    <row r="236" ht="25" customHeight="1">
      <c r="A236" s="2">
        <f>IF(B236="","","DS-"&amp;TEXT(ROW()-1,"0000"))</f>
        <v/>
      </c>
      <c r="B236" s="2" t="n"/>
      <c r="C236" s="2">
        <f>IFERROR(XLOOKUP(B236,'Opportunity Scoring'!$A:$A,'Opportunity Scoring'!$B:$B),"")</f>
        <v/>
      </c>
      <c r="D236" s="2" t="n"/>
      <c r="E236" s="2" t="n"/>
      <c r="F236" s="2">
        <f>IFERROR(XLOOKUP(B236,'Opportunity Scoring'!$A:$A,'Opportunity Scoring'!$D:$D),"")</f>
        <v/>
      </c>
      <c r="G236" s="2" t="n"/>
      <c r="H236" s="2" t="n"/>
      <c r="I236" s="2" t="n"/>
      <c r="J236" s="2" t="n"/>
      <c r="K236" s="2" t="n"/>
      <c r="L236" s="2" t="n"/>
      <c r="M236" s="2" t="n"/>
      <c r="N236" s="2" t="n"/>
      <c r="O236" s="2" t="n"/>
      <c r="P236" s="2" t="n"/>
      <c r="Q236" s="2" t="n"/>
      <c r="R236" s="2" t="n"/>
    </row>
    <row r="237" ht="25" customHeight="1">
      <c r="A237" s="3">
        <f>IF(B237="","","DS-"&amp;TEXT(ROW()-1,"0000"))</f>
        <v/>
      </c>
      <c r="B237" s="3" t="n"/>
      <c r="C237" s="3">
        <f>IFERROR(XLOOKUP(B237,'Opportunity Scoring'!$A:$A,'Opportunity Scoring'!$B:$B),"")</f>
        <v/>
      </c>
      <c r="D237" s="3" t="n"/>
      <c r="E237" s="3" t="n"/>
      <c r="F237" s="3">
        <f>IFERROR(XLOOKUP(B237,'Opportunity Scoring'!$A:$A,'Opportunity Scoring'!$D:$D),"")</f>
        <v/>
      </c>
      <c r="G237" s="3" t="n"/>
      <c r="H237" s="3" t="n"/>
      <c r="I237" s="3" t="n"/>
      <c r="J237" s="3" t="n"/>
      <c r="K237" s="3" t="n"/>
      <c r="L237" s="3" t="n"/>
      <c r="M237" s="3" t="n"/>
      <c r="N237" s="3" t="n"/>
      <c r="O237" s="3" t="n"/>
      <c r="P237" s="3" t="n"/>
      <c r="Q237" s="3" t="n"/>
      <c r="R237" s="3" t="n"/>
    </row>
    <row r="238" ht="25" customHeight="1">
      <c r="A238" s="2">
        <f>IF(B238="","","DS-"&amp;TEXT(ROW()-1,"0000"))</f>
        <v/>
      </c>
      <c r="B238" s="2" t="n"/>
      <c r="C238" s="2">
        <f>IFERROR(XLOOKUP(B238,'Opportunity Scoring'!$A:$A,'Opportunity Scoring'!$B:$B),"")</f>
        <v/>
      </c>
      <c r="D238" s="2" t="n"/>
      <c r="E238" s="2" t="n"/>
      <c r="F238" s="2">
        <f>IFERROR(XLOOKUP(B238,'Opportunity Scoring'!$A:$A,'Opportunity Scoring'!$D:$D),"")</f>
        <v/>
      </c>
      <c r="G238" s="2" t="n"/>
      <c r="H238" s="2" t="n"/>
      <c r="I238" s="2" t="n"/>
      <c r="J238" s="2" t="n"/>
      <c r="K238" s="2" t="n"/>
      <c r="L238" s="2" t="n"/>
      <c r="M238" s="2" t="n"/>
      <c r="N238" s="2" t="n"/>
      <c r="O238" s="2" t="n"/>
      <c r="P238" s="2" t="n"/>
      <c r="Q238" s="2" t="n"/>
      <c r="R238" s="2" t="n"/>
    </row>
    <row r="239" ht="25" customHeight="1">
      <c r="A239" s="3">
        <f>IF(B239="","","DS-"&amp;TEXT(ROW()-1,"0000"))</f>
        <v/>
      </c>
      <c r="B239" s="3" t="n"/>
      <c r="C239" s="3">
        <f>IFERROR(XLOOKUP(B239,'Opportunity Scoring'!$A:$A,'Opportunity Scoring'!$B:$B),"")</f>
        <v/>
      </c>
      <c r="D239" s="3" t="n"/>
      <c r="E239" s="3" t="n"/>
      <c r="F239" s="3">
        <f>IFERROR(XLOOKUP(B239,'Opportunity Scoring'!$A:$A,'Opportunity Scoring'!$D:$D),"")</f>
        <v/>
      </c>
      <c r="G239" s="3" t="n"/>
      <c r="H239" s="3" t="n"/>
      <c r="I239" s="3" t="n"/>
      <c r="J239" s="3" t="n"/>
      <c r="K239" s="3" t="n"/>
      <c r="L239" s="3" t="n"/>
      <c r="M239" s="3" t="n"/>
      <c r="N239" s="3" t="n"/>
      <c r="O239" s="3" t="n"/>
      <c r="P239" s="3" t="n"/>
      <c r="Q239" s="3" t="n"/>
      <c r="R239" s="3" t="n"/>
    </row>
    <row r="240" ht="25" customHeight="1">
      <c r="A240" s="2">
        <f>IF(B240="","","DS-"&amp;TEXT(ROW()-1,"0000"))</f>
        <v/>
      </c>
      <c r="B240" s="2" t="n"/>
      <c r="C240" s="2">
        <f>IFERROR(XLOOKUP(B240,'Opportunity Scoring'!$A:$A,'Opportunity Scoring'!$B:$B),"")</f>
        <v/>
      </c>
      <c r="D240" s="2" t="n"/>
      <c r="E240" s="2" t="n"/>
      <c r="F240" s="2">
        <f>IFERROR(XLOOKUP(B240,'Opportunity Scoring'!$A:$A,'Opportunity Scoring'!$D:$D),"")</f>
        <v/>
      </c>
      <c r="G240" s="2" t="n"/>
      <c r="H240" s="2" t="n"/>
      <c r="I240" s="2" t="n"/>
      <c r="J240" s="2" t="n"/>
      <c r="K240" s="2" t="n"/>
      <c r="L240" s="2" t="n"/>
      <c r="M240" s="2" t="n"/>
      <c r="N240" s="2" t="n"/>
      <c r="O240" s="2" t="n"/>
      <c r="P240" s="2" t="n"/>
      <c r="Q240" s="2" t="n"/>
      <c r="R240" s="2" t="n"/>
    </row>
    <row r="241" ht="25" customHeight="1">
      <c r="A241" s="3">
        <f>IF(B241="","","DS-"&amp;TEXT(ROW()-1,"0000"))</f>
        <v/>
      </c>
      <c r="B241" s="3" t="n"/>
      <c r="C241" s="3">
        <f>IFERROR(XLOOKUP(B241,'Opportunity Scoring'!$A:$A,'Opportunity Scoring'!$B:$B),"")</f>
        <v/>
      </c>
      <c r="D241" s="3" t="n"/>
      <c r="E241" s="3" t="n"/>
      <c r="F241" s="3">
        <f>IFERROR(XLOOKUP(B241,'Opportunity Scoring'!$A:$A,'Opportunity Scoring'!$D:$D),"")</f>
        <v/>
      </c>
      <c r="G241" s="3" t="n"/>
      <c r="H241" s="3" t="n"/>
      <c r="I241" s="3" t="n"/>
      <c r="J241" s="3" t="n"/>
      <c r="K241" s="3" t="n"/>
      <c r="L241" s="3" t="n"/>
      <c r="M241" s="3" t="n"/>
      <c r="N241" s="3" t="n"/>
      <c r="O241" s="3" t="n"/>
      <c r="P241" s="3" t="n"/>
      <c r="Q241" s="3" t="n"/>
      <c r="R241" s="3" t="n"/>
    </row>
    <row r="242" ht="25" customHeight="1">
      <c r="A242" s="2">
        <f>IF(B242="","","DS-"&amp;TEXT(ROW()-1,"0000"))</f>
        <v/>
      </c>
      <c r="B242" s="2" t="n"/>
      <c r="C242" s="2">
        <f>IFERROR(XLOOKUP(B242,'Opportunity Scoring'!$A:$A,'Opportunity Scoring'!$B:$B),"")</f>
        <v/>
      </c>
      <c r="D242" s="2" t="n"/>
      <c r="E242" s="2" t="n"/>
      <c r="F242" s="2">
        <f>IFERROR(XLOOKUP(B242,'Opportunity Scoring'!$A:$A,'Opportunity Scoring'!$D:$D),"")</f>
        <v/>
      </c>
      <c r="G242" s="2" t="n"/>
      <c r="H242" s="2" t="n"/>
      <c r="I242" s="2" t="n"/>
      <c r="J242" s="2" t="n"/>
      <c r="K242" s="2" t="n"/>
      <c r="L242" s="2" t="n"/>
      <c r="M242" s="2" t="n"/>
      <c r="N242" s="2" t="n"/>
      <c r="O242" s="2" t="n"/>
      <c r="P242" s="2" t="n"/>
      <c r="Q242" s="2" t="n"/>
      <c r="R242" s="2" t="n"/>
    </row>
    <row r="243" ht="25" customHeight="1">
      <c r="A243" s="3">
        <f>IF(B243="","","DS-"&amp;TEXT(ROW()-1,"0000"))</f>
        <v/>
      </c>
      <c r="B243" s="3" t="n"/>
      <c r="C243" s="3">
        <f>IFERROR(XLOOKUP(B243,'Opportunity Scoring'!$A:$A,'Opportunity Scoring'!$B:$B),"")</f>
        <v/>
      </c>
      <c r="D243" s="3" t="n"/>
      <c r="E243" s="3" t="n"/>
      <c r="F243" s="3">
        <f>IFERROR(XLOOKUP(B243,'Opportunity Scoring'!$A:$A,'Opportunity Scoring'!$D:$D),"")</f>
        <v/>
      </c>
      <c r="G243" s="3" t="n"/>
      <c r="H243" s="3" t="n"/>
      <c r="I243" s="3" t="n"/>
      <c r="J243" s="3" t="n"/>
      <c r="K243" s="3" t="n"/>
      <c r="L243" s="3" t="n"/>
      <c r="M243" s="3" t="n"/>
      <c r="N243" s="3" t="n"/>
      <c r="O243" s="3" t="n"/>
      <c r="P243" s="3" t="n"/>
      <c r="Q243" s="3" t="n"/>
      <c r="R243" s="3" t="n"/>
    </row>
    <row r="244" ht="25" customHeight="1">
      <c r="A244" s="2">
        <f>IF(B244="","","DS-"&amp;TEXT(ROW()-1,"0000"))</f>
        <v/>
      </c>
      <c r="B244" s="2" t="n"/>
      <c r="C244" s="2">
        <f>IFERROR(XLOOKUP(B244,'Opportunity Scoring'!$A:$A,'Opportunity Scoring'!$B:$B),"")</f>
        <v/>
      </c>
      <c r="D244" s="2" t="n"/>
      <c r="E244" s="2" t="n"/>
      <c r="F244" s="2">
        <f>IFERROR(XLOOKUP(B244,'Opportunity Scoring'!$A:$A,'Opportunity Scoring'!$D:$D),"")</f>
        <v/>
      </c>
      <c r="G244" s="2" t="n"/>
      <c r="H244" s="2" t="n"/>
      <c r="I244" s="2" t="n"/>
      <c r="J244" s="2" t="n"/>
      <c r="K244" s="2" t="n"/>
      <c r="L244" s="2" t="n"/>
      <c r="M244" s="2" t="n"/>
      <c r="N244" s="2" t="n"/>
      <c r="O244" s="2" t="n"/>
      <c r="P244" s="2" t="n"/>
      <c r="Q244" s="2" t="n"/>
      <c r="R244" s="2" t="n"/>
    </row>
    <row r="245" ht="25" customHeight="1">
      <c r="A245" s="3">
        <f>IF(B245="","","DS-"&amp;TEXT(ROW()-1,"0000"))</f>
        <v/>
      </c>
      <c r="B245" s="3" t="n"/>
      <c r="C245" s="3">
        <f>IFERROR(XLOOKUP(B245,'Opportunity Scoring'!$A:$A,'Opportunity Scoring'!$B:$B),"")</f>
        <v/>
      </c>
      <c r="D245" s="3" t="n"/>
      <c r="E245" s="3" t="n"/>
      <c r="F245" s="3">
        <f>IFERROR(XLOOKUP(B245,'Opportunity Scoring'!$A:$A,'Opportunity Scoring'!$D:$D),"")</f>
        <v/>
      </c>
      <c r="G245" s="3" t="n"/>
      <c r="H245" s="3" t="n"/>
      <c r="I245" s="3" t="n"/>
      <c r="J245" s="3" t="n"/>
      <c r="K245" s="3" t="n"/>
      <c r="L245" s="3" t="n"/>
      <c r="M245" s="3" t="n"/>
      <c r="N245" s="3" t="n"/>
      <c r="O245" s="3" t="n"/>
      <c r="P245" s="3" t="n"/>
      <c r="Q245" s="3" t="n"/>
      <c r="R245" s="3" t="n"/>
    </row>
    <row r="246" ht="25" customHeight="1">
      <c r="A246" s="2">
        <f>IF(B246="","","DS-"&amp;TEXT(ROW()-1,"0000"))</f>
        <v/>
      </c>
      <c r="B246" s="2" t="n"/>
      <c r="C246" s="2">
        <f>IFERROR(XLOOKUP(B246,'Opportunity Scoring'!$A:$A,'Opportunity Scoring'!$B:$B),"")</f>
        <v/>
      </c>
      <c r="D246" s="2" t="n"/>
      <c r="E246" s="2" t="n"/>
      <c r="F246" s="2">
        <f>IFERROR(XLOOKUP(B246,'Opportunity Scoring'!$A:$A,'Opportunity Scoring'!$D:$D),"")</f>
        <v/>
      </c>
      <c r="G246" s="2" t="n"/>
      <c r="H246" s="2" t="n"/>
      <c r="I246" s="2" t="n"/>
      <c r="J246" s="2" t="n"/>
      <c r="K246" s="2" t="n"/>
      <c r="L246" s="2" t="n"/>
      <c r="M246" s="2" t="n"/>
      <c r="N246" s="2" t="n"/>
      <c r="O246" s="2" t="n"/>
      <c r="P246" s="2" t="n"/>
      <c r="Q246" s="2" t="n"/>
      <c r="R246" s="2" t="n"/>
    </row>
    <row r="247" ht="25" customHeight="1">
      <c r="A247" s="3">
        <f>IF(B247="","","DS-"&amp;TEXT(ROW()-1,"0000"))</f>
        <v/>
      </c>
      <c r="B247" s="3" t="n"/>
      <c r="C247" s="3">
        <f>IFERROR(XLOOKUP(B247,'Opportunity Scoring'!$A:$A,'Opportunity Scoring'!$B:$B),"")</f>
        <v/>
      </c>
      <c r="D247" s="3" t="n"/>
      <c r="E247" s="3" t="n"/>
      <c r="F247" s="3">
        <f>IFERROR(XLOOKUP(B247,'Opportunity Scoring'!$A:$A,'Opportunity Scoring'!$D:$D),"")</f>
        <v/>
      </c>
      <c r="G247" s="3" t="n"/>
      <c r="H247" s="3" t="n"/>
      <c r="I247" s="3" t="n"/>
      <c r="J247" s="3" t="n"/>
      <c r="K247" s="3" t="n"/>
      <c r="L247" s="3" t="n"/>
      <c r="M247" s="3" t="n"/>
      <c r="N247" s="3" t="n"/>
      <c r="O247" s="3" t="n"/>
      <c r="P247" s="3" t="n"/>
      <c r="Q247" s="3" t="n"/>
      <c r="R247" s="3" t="n"/>
    </row>
    <row r="248" ht="25" customHeight="1">
      <c r="A248" s="2">
        <f>IF(B248="","","DS-"&amp;TEXT(ROW()-1,"0000"))</f>
        <v/>
      </c>
      <c r="B248" s="2" t="n"/>
      <c r="C248" s="2">
        <f>IFERROR(XLOOKUP(B248,'Opportunity Scoring'!$A:$A,'Opportunity Scoring'!$B:$B),"")</f>
        <v/>
      </c>
      <c r="D248" s="2" t="n"/>
      <c r="E248" s="2" t="n"/>
      <c r="F248" s="2">
        <f>IFERROR(XLOOKUP(B248,'Opportunity Scoring'!$A:$A,'Opportunity Scoring'!$D:$D),"")</f>
        <v/>
      </c>
      <c r="G248" s="2" t="n"/>
      <c r="H248" s="2" t="n"/>
      <c r="I248" s="2" t="n"/>
      <c r="J248" s="2" t="n"/>
      <c r="K248" s="2" t="n"/>
      <c r="L248" s="2" t="n"/>
      <c r="M248" s="2" t="n"/>
      <c r="N248" s="2" t="n"/>
      <c r="O248" s="2" t="n"/>
      <c r="P248" s="2" t="n"/>
      <c r="Q248" s="2" t="n"/>
      <c r="R248" s="2" t="n"/>
    </row>
    <row r="249" ht="25" customHeight="1">
      <c r="A249" s="3">
        <f>IF(B249="","","DS-"&amp;TEXT(ROW()-1,"0000"))</f>
        <v/>
      </c>
      <c r="B249" s="3" t="n"/>
      <c r="C249" s="3">
        <f>IFERROR(XLOOKUP(B249,'Opportunity Scoring'!$A:$A,'Opportunity Scoring'!$B:$B),"")</f>
        <v/>
      </c>
      <c r="D249" s="3" t="n"/>
      <c r="E249" s="3" t="n"/>
      <c r="F249" s="3">
        <f>IFERROR(XLOOKUP(B249,'Opportunity Scoring'!$A:$A,'Opportunity Scoring'!$D:$D),"")</f>
        <v/>
      </c>
      <c r="G249" s="3" t="n"/>
      <c r="H249" s="3" t="n"/>
      <c r="I249" s="3" t="n"/>
      <c r="J249" s="3" t="n"/>
      <c r="K249" s="3" t="n"/>
      <c r="L249" s="3" t="n"/>
      <c r="M249" s="3" t="n"/>
      <c r="N249" s="3" t="n"/>
      <c r="O249" s="3" t="n"/>
      <c r="P249" s="3" t="n"/>
      <c r="Q249" s="3" t="n"/>
      <c r="R249" s="3" t="n"/>
    </row>
    <row r="250" ht="25" customHeight="1">
      <c r="A250" s="2">
        <f>IF(B250="","","DS-"&amp;TEXT(ROW()-1,"0000"))</f>
        <v/>
      </c>
      <c r="B250" s="2" t="n"/>
      <c r="C250" s="2">
        <f>IFERROR(XLOOKUP(B250,'Opportunity Scoring'!$A:$A,'Opportunity Scoring'!$B:$B),"")</f>
        <v/>
      </c>
      <c r="D250" s="2" t="n"/>
      <c r="E250" s="2" t="n"/>
      <c r="F250" s="2">
        <f>IFERROR(XLOOKUP(B250,'Opportunity Scoring'!$A:$A,'Opportunity Scoring'!$D:$D),"")</f>
        <v/>
      </c>
      <c r="G250" s="2" t="n"/>
      <c r="H250" s="2" t="n"/>
      <c r="I250" s="2" t="n"/>
      <c r="J250" s="2" t="n"/>
      <c r="K250" s="2" t="n"/>
      <c r="L250" s="2" t="n"/>
      <c r="M250" s="2" t="n"/>
      <c r="N250" s="2" t="n"/>
      <c r="O250" s="2" t="n"/>
      <c r="P250" s="2" t="n"/>
      <c r="Q250" s="2" t="n"/>
      <c r="R250" s="2" t="n"/>
    </row>
    <row r="251" ht="25" customHeight="1">
      <c r="A251" s="3">
        <f>IF(B251="","","DS-"&amp;TEXT(ROW()-1,"0000"))</f>
        <v/>
      </c>
      <c r="B251" s="3" t="n"/>
      <c r="C251" s="3">
        <f>IFERROR(XLOOKUP(B251,'Opportunity Scoring'!$A:$A,'Opportunity Scoring'!$B:$B),"")</f>
        <v/>
      </c>
      <c r="D251" s="3" t="n"/>
      <c r="E251" s="3" t="n"/>
      <c r="F251" s="3">
        <f>IFERROR(XLOOKUP(B251,'Opportunity Scoring'!$A:$A,'Opportunity Scoring'!$D:$D),"")</f>
        <v/>
      </c>
      <c r="G251" s="3" t="n"/>
      <c r="H251" s="3" t="n"/>
      <c r="I251" s="3" t="n"/>
      <c r="J251" s="3" t="n"/>
      <c r="K251" s="3" t="n"/>
      <c r="L251" s="3" t="n"/>
      <c r="M251" s="3" t="n"/>
      <c r="N251" s="3" t="n"/>
      <c r="O251" s="3" t="n"/>
      <c r="P251" s="3" t="n"/>
      <c r="Q251" s="3" t="n"/>
      <c r="R251" s="3" t="n"/>
    </row>
    <row r="252" ht="25" customHeight="1">
      <c r="A252" s="2">
        <f>IF(B252="","","DS-"&amp;TEXT(ROW()-1,"0000"))</f>
        <v/>
      </c>
      <c r="B252" s="2" t="n"/>
      <c r="C252" s="2">
        <f>IFERROR(XLOOKUP(B252,'Opportunity Scoring'!$A:$A,'Opportunity Scoring'!$B:$B),"")</f>
        <v/>
      </c>
      <c r="D252" s="2" t="n"/>
      <c r="E252" s="2" t="n"/>
      <c r="F252" s="2">
        <f>IFERROR(XLOOKUP(B252,'Opportunity Scoring'!$A:$A,'Opportunity Scoring'!$D:$D),"")</f>
        <v/>
      </c>
      <c r="G252" s="2" t="n"/>
      <c r="H252" s="2" t="n"/>
      <c r="I252" s="2" t="n"/>
      <c r="J252" s="2" t="n"/>
      <c r="K252" s="2" t="n"/>
      <c r="L252" s="2" t="n"/>
      <c r="M252" s="2" t="n"/>
      <c r="N252" s="2" t="n"/>
      <c r="O252" s="2" t="n"/>
      <c r="P252" s="2" t="n"/>
      <c r="Q252" s="2" t="n"/>
      <c r="R252" s="2" t="n"/>
    </row>
    <row r="253" ht="25" customHeight="1">
      <c r="A253" s="3">
        <f>IF(B253="","","DS-"&amp;TEXT(ROW()-1,"0000"))</f>
        <v/>
      </c>
      <c r="B253" s="3" t="n"/>
      <c r="C253" s="3">
        <f>IFERROR(XLOOKUP(B253,'Opportunity Scoring'!$A:$A,'Opportunity Scoring'!$B:$B),"")</f>
        <v/>
      </c>
      <c r="D253" s="3" t="n"/>
      <c r="E253" s="3" t="n"/>
      <c r="F253" s="3">
        <f>IFERROR(XLOOKUP(B253,'Opportunity Scoring'!$A:$A,'Opportunity Scoring'!$D:$D),"")</f>
        <v/>
      </c>
      <c r="G253" s="3" t="n"/>
      <c r="H253" s="3" t="n"/>
      <c r="I253" s="3" t="n"/>
      <c r="J253" s="3" t="n"/>
      <c r="K253" s="3" t="n"/>
      <c r="L253" s="3" t="n"/>
      <c r="M253" s="3" t="n"/>
      <c r="N253" s="3" t="n"/>
      <c r="O253" s="3" t="n"/>
      <c r="P253" s="3" t="n"/>
      <c r="Q253" s="3" t="n"/>
      <c r="R253" s="3" t="n"/>
    </row>
    <row r="254" ht="25" customHeight="1">
      <c r="A254" s="2">
        <f>IF(B254="","","DS-"&amp;TEXT(ROW()-1,"0000"))</f>
        <v/>
      </c>
      <c r="B254" s="2" t="n"/>
      <c r="C254" s="2">
        <f>IFERROR(XLOOKUP(B254,'Opportunity Scoring'!$A:$A,'Opportunity Scoring'!$B:$B),"")</f>
        <v/>
      </c>
      <c r="D254" s="2" t="n"/>
      <c r="E254" s="2" t="n"/>
      <c r="F254" s="2">
        <f>IFERROR(XLOOKUP(B254,'Opportunity Scoring'!$A:$A,'Opportunity Scoring'!$D:$D),"")</f>
        <v/>
      </c>
      <c r="G254" s="2" t="n"/>
      <c r="H254" s="2" t="n"/>
      <c r="I254" s="2" t="n"/>
      <c r="J254" s="2" t="n"/>
      <c r="K254" s="2" t="n"/>
      <c r="L254" s="2" t="n"/>
      <c r="M254" s="2" t="n"/>
      <c r="N254" s="2" t="n"/>
      <c r="O254" s="2" t="n"/>
      <c r="P254" s="2" t="n"/>
      <c r="Q254" s="2" t="n"/>
      <c r="R254" s="2" t="n"/>
    </row>
    <row r="255" ht="25" customHeight="1">
      <c r="A255" s="3">
        <f>IF(B255="","","DS-"&amp;TEXT(ROW()-1,"0000"))</f>
        <v/>
      </c>
      <c r="B255" s="3" t="n"/>
      <c r="C255" s="3">
        <f>IFERROR(XLOOKUP(B255,'Opportunity Scoring'!$A:$A,'Opportunity Scoring'!$B:$B),"")</f>
        <v/>
      </c>
      <c r="D255" s="3" t="n"/>
      <c r="E255" s="3" t="n"/>
      <c r="F255" s="3">
        <f>IFERROR(XLOOKUP(B255,'Opportunity Scoring'!$A:$A,'Opportunity Scoring'!$D:$D),"")</f>
        <v/>
      </c>
      <c r="G255" s="3" t="n"/>
      <c r="H255" s="3" t="n"/>
      <c r="I255" s="3" t="n"/>
      <c r="J255" s="3" t="n"/>
      <c r="K255" s="3" t="n"/>
      <c r="L255" s="3" t="n"/>
      <c r="M255" s="3" t="n"/>
      <c r="N255" s="3" t="n"/>
      <c r="O255" s="3" t="n"/>
      <c r="P255" s="3" t="n"/>
      <c r="Q255" s="3" t="n"/>
      <c r="R255" s="3" t="n"/>
    </row>
    <row r="256" ht="25" customHeight="1">
      <c r="A256" s="2">
        <f>IF(B256="","","DS-"&amp;TEXT(ROW()-1,"0000"))</f>
        <v/>
      </c>
      <c r="B256" s="2" t="n"/>
      <c r="C256" s="2">
        <f>IFERROR(XLOOKUP(B256,'Opportunity Scoring'!$A:$A,'Opportunity Scoring'!$B:$B),"")</f>
        <v/>
      </c>
      <c r="D256" s="2" t="n"/>
      <c r="E256" s="2" t="n"/>
      <c r="F256" s="2">
        <f>IFERROR(XLOOKUP(B256,'Opportunity Scoring'!$A:$A,'Opportunity Scoring'!$D:$D),"")</f>
        <v/>
      </c>
      <c r="G256" s="2" t="n"/>
      <c r="H256" s="2" t="n"/>
      <c r="I256" s="2" t="n"/>
      <c r="J256" s="2" t="n"/>
      <c r="K256" s="2" t="n"/>
      <c r="L256" s="2" t="n"/>
      <c r="M256" s="2" t="n"/>
      <c r="N256" s="2" t="n"/>
      <c r="O256" s="2" t="n"/>
      <c r="P256" s="2" t="n"/>
      <c r="Q256" s="2" t="n"/>
      <c r="R256" s="2" t="n"/>
    </row>
    <row r="257" ht="25" customHeight="1">
      <c r="A257" s="3">
        <f>IF(B257="","","DS-"&amp;TEXT(ROW()-1,"0000"))</f>
        <v/>
      </c>
      <c r="B257" s="3" t="n"/>
      <c r="C257" s="3">
        <f>IFERROR(XLOOKUP(B257,'Opportunity Scoring'!$A:$A,'Opportunity Scoring'!$B:$B),"")</f>
        <v/>
      </c>
      <c r="D257" s="3" t="n"/>
      <c r="E257" s="3" t="n"/>
      <c r="F257" s="3">
        <f>IFERROR(XLOOKUP(B257,'Opportunity Scoring'!$A:$A,'Opportunity Scoring'!$D:$D),"")</f>
        <v/>
      </c>
      <c r="G257" s="3" t="n"/>
      <c r="H257" s="3" t="n"/>
      <c r="I257" s="3" t="n"/>
      <c r="J257" s="3" t="n"/>
      <c r="K257" s="3" t="n"/>
      <c r="L257" s="3" t="n"/>
      <c r="M257" s="3" t="n"/>
      <c r="N257" s="3" t="n"/>
      <c r="O257" s="3" t="n"/>
      <c r="P257" s="3" t="n"/>
      <c r="Q257" s="3" t="n"/>
      <c r="R257" s="3" t="n"/>
    </row>
    <row r="258" ht="25" customHeight="1">
      <c r="A258" s="2">
        <f>IF(B258="","","DS-"&amp;TEXT(ROW()-1,"0000"))</f>
        <v/>
      </c>
      <c r="B258" s="2" t="n"/>
      <c r="C258" s="2">
        <f>IFERROR(XLOOKUP(B258,'Opportunity Scoring'!$A:$A,'Opportunity Scoring'!$B:$B),"")</f>
        <v/>
      </c>
      <c r="D258" s="2" t="n"/>
      <c r="E258" s="2" t="n"/>
      <c r="F258" s="2">
        <f>IFERROR(XLOOKUP(B258,'Opportunity Scoring'!$A:$A,'Opportunity Scoring'!$D:$D),"")</f>
        <v/>
      </c>
      <c r="G258" s="2" t="n"/>
      <c r="H258" s="2" t="n"/>
      <c r="I258" s="2" t="n"/>
      <c r="J258" s="2" t="n"/>
      <c r="K258" s="2" t="n"/>
      <c r="L258" s="2" t="n"/>
      <c r="M258" s="2" t="n"/>
      <c r="N258" s="2" t="n"/>
      <c r="O258" s="2" t="n"/>
      <c r="P258" s="2" t="n"/>
      <c r="Q258" s="2" t="n"/>
      <c r="R258" s="2" t="n"/>
    </row>
    <row r="259" ht="25" customHeight="1">
      <c r="A259" s="3">
        <f>IF(B259="","","DS-"&amp;TEXT(ROW()-1,"0000"))</f>
        <v/>
      </c>
      <c r="B259" s="3" t="n"/>
      <c r="C259" s="3">
        <f>IFERROR(XLOOKUP(B259,'Opportunity Scoring'!$A:$A,'Opportunity Scoring'!$B:$B),"")</f>
        <v/>
      </c>
      <c r="D259" s="3" t="n"/>
      <c r="E259" s="3" t="n"/>
      <c r="F259" s="3">
        <f>IFERROR(XLOOKUP(B259,'Opportunity Scoring'!$A:$A,'Opportunity Scoring'!$D:$D),"")</f>
        <v/>
      </c>
      <c r="G259" s="3" t="n"/>
      <c r="H259" s="3" t="n"/>
      <c r="I259" s="3" t="n"/>
      <c r="J259" s="3" t="n"/>
      <c r="K259" s="3" t="n"/>
      <c r="L259" s="3" t="n"/>
      <c r="M259" s="3" t="n"/>
      <c r="N259" s="3" t="n"/>
      <c r="O259" s="3" t="n"/>
      <c r="P259" s="3" t="n"/>
      <c r="Q259" s="3" t="n"/>
      <c r="R259" s="3" t="n"/>
    </row>
    <row r="260" ht="25" customHeight="1">
      <c r="A260" s="2">
        <f>IF(B260="","","DS-"&amp;TEXT(ROW()-1,"0000"))</f>
        <v/>
      </c>
      <c r="B260" s="2" t="n"/>
      <c r="C260" s="2">
        <f>IFERROR(XLOOKUP(B260,'Opportunity Scoring'!$A:$A,'Opportunity Scoring'!$B:$B),"")</f>
        <v/>
      </c>
      <c r="D260" s="2" t="n"/>
      <c r="E260" s="2" t="n"/>
      <c r="F260" s="2">
        <f>IFERROR(XLOOKUP(B260,'Opportunity Scoring'!$A:$A,'Opportunity Scoring'!$D:$D),"")</f>
        <v/>
      </c>
      <c r="G260" s="2" t="n"/>
      <c r="H260" s="2" t="n"/>
      <c r="I260" s="2" t="n"/>
      <c r="J260" s="2" t="n"/>
      <c r="K260" s="2" t="n"/>
      <c r="L260" s="2" t="n"/>
      <c r="M260" s="2" t="n"/>
      <c r="N260" s="2" t="n"/>
      <c r="O260" s="2" t="n"/>
      <c r="P260" s="2" t="n"/>
      <c r="Q260" s="2" t="n"/>
      <c r="R260" s="2" t="n"/>
    </row>
    <row r="261" ht="25" customHeight="1">
      <c r="A261" s="3">
        <f>IF(B261="","","DS-"&amp;TEXT(ROW()-1,"0000"))</f>
        <v/>
      </c>
      <c r="B261" s="3" t="n"/>
      <c r="C261" s="3">
        <f>IFERROR(XLOOKUP(B261,'Opportunity Scoring'!$A:$A,'Opportunity Scoring'!$B:$B),"")</f>
        <v/>
      </c>
      <c r="D261" s="3" t="n"/>
      <c r="E261" s="3" t="n"/>
      <c r="F261" s="3">
        <f>IFERROR(XLOOKUP(B261,'Opportunity Scoring'!$A:$A,'Opportunity Scoring'!$D:$D),"")</f>
        <v/>
      </c>
      <c r="G261" s="3" t="n"/>
      <c r="H261" s="3" t="n"/>
      <c r="I261" s="3" t="n"/>
      <c r="J261" s="3" t="n"/>
      <c r="K261" s="3" t="n"/>
      <c r="L261" s="3" t="n"/>
      <c r="M261" s="3" t="n"/>
      <c r="N261" s="3" t="n"/>
      <c r="O261" s="3" t="n"/>
      <c r="P261" s="3" t="n"/>
      <c r="Q261" s="3" t="n"/>
      <c r="R261" s="3" t="n"/>
    </row>
    <row r="262" ht="25" customHeight="1">
      <c r="A262" s="2">
        <f>IF(B262="","","DS-"&amp;TEXT(ROW()-1,"0000"))</f>
        <v/>
      </c>
      <c r="B262" s="2" t="n"/>
      <c r="C262" s="2">
        <f>IFERROR(XLOOKUP(B262,'Opportunity Scoring'!$A:$A,'Opportunity Scoring'!$B:$B),"")</f>
        <v/>
      </c>
      <c r="D262" s="2" t="n"/>
      <c r="E262" s="2" t="n"/>
      <c r="F262" s="2">
        <f>IFERROR(XLOOKUP(B262,'Opportunity Scoring'!$A:$A,'Opportunity Scoring'!$D:$D),"")</f>
        <v/>
      </c>
      <c r="G262" s="2" t="n"/>
      <c r="H262" s="2" t="n"/>
      <c r="I262" s="2" t="n"/>
      <c r="J262" s="2" t="n"/>
      <c r="K262" s="2" t="n"/>
      <c r="L262" s="2" t="n"/>
      <c r="M262" s="2" t="n"/>
      <c r="N262" s="2" t="n"/>
      <c r="O262" s="2" t="n"/>
      <c r="P262" s="2" t="n"/>
      <c r="Q262" s="2" t="n"/>
      <c r="R262" s="2" t="n"/>
    </row>
    <row r="263" ht="25" customHeight="1">
      <c r="A263" s="3">
        <f>IF(B263="","","DS-"&amp;TEXT(ROW()-1,"0000"))</f>
        <v/>
      </c>
      <c r="B263" s="3" t="n"/>
      <c r="C263" s="3">
        <f>IFERROR(XLOOKUP(B263,'Opportunity Scoring'!$A:$A,'Opportunity Scoring'!$B:$B),"")</f>
        <v/>
      </c>
      <c r="D263" s="3" t="n"/>
      <c r="E263" s="3" t="n"/>
      <c r="F263" s="3">
        <f>IFERROR(XLOOKUP(B263,'Opportunity Scoring'!$A:$A,'Opportunity Scoring'!$D:$D),"")</f>
        <v/>
      </c>
      <c r="G263" s="3" t="n"/>
      <c r="H263" s="3" t="n"/>
      <c r="I263" s="3" t="n"/>
      <c r="J263" s="3" t="n"/>
      <c r="K263" s="3" t="n"/>
      <c r="L263" s="3" t="n"/>
      <c r="M263" s="3" t="n"/>
      <c r="N263" s="3" t="n"/>
      <c r="O263" s="3" t="n"/>
      <c r="P263" s="3" t="n"/>
      <c r="Q263" s="3" t="n"/>
      <c r="R263" s="3" t="n"/>
    </row>
    <row r="264" ht="25" customHeight="1">
      <c r="A264" s="2">
        <f>IF(B264="","","DS-"&amp;TEXT(ROW()-1,"0000"))</f>
        <v/>
      </c>
      <c r="B264" s="2" t="n"/>
      <c r="C264" s="2">
        <f>IFERROR(XLOOKUP(B264,'Opportunity Scoring'!$A:$A,'Opportunity Scoring'!$B:$B),"")</f>
        <v/>
      </c>
      <c r="D264" s="2" t="n"/>
      <c r="E264" s="2" t="n"/>
      <c r="F264" s="2">
        <f>IFERROR(XLOOKUP(B264,'Opportunity Scoring'!$A:$A,'Opportunity Scoring'!$D:$D),"")</f>
        <v/>
      </c>
      <c r="G264" s="2" t="n"/>
      <c r="H264" s="2" t="n"/>
      <c r="I264" s="2" t="n"/>
      <c r="J264" s="2" t="n"/>
      <c r="K264" s="2" t="n"/>
      <c r="L264" s="2" t="n"/>
      <c r="M264" s="2" t="n"/>
      <c r="N264" s="2" t="n"/>
      <c r="O264" s="2" t="n"/>
      <c r="P264" s="2" t="n"/>
      <c r="Q264" s="2" t="n"/>
      <c r="R264" s="2" t="n"/>
    </row>
    <row r="265" ht="25" customHeight="1">
      <c r="A265" s="3">
        <f>IF(B265="","","DS-"&amp;TEXT(ROW()-1,"0000"))</f>
        <v/>
      </c>
      <c r="B265" s="3" t="n"/>
      <c r="C265" s="3">
        <f>IFERROR(XLOOKUP(B265,'Opportunity Scoring'!$A:$A,'Opportunity Scoring'!$B:$B),"")</f>
        <v/>
      </c>
      <c r="D265" s="3" t="n"/>
      <c r="E265" s="3" t="n"/>
      <c r="F265" s="3">
        <f>IFERROR(XLOOKUP(B265,'Opportunity Scoring'!$A:$A,'Opportunity Scoring'!$D:$D),"")</f>
        <v/>
      </c>
      <c r="G265" s="3" t="n"/>
      <c r="H265" s="3" t="n"/>
      <c r="I265" s="3" t="n"/>
      <c r="J265" s="3" t="n"/>
      <c r="K265" s="3" t="n"/>
      <c r="L265" s="3" t="n"/>
      <c r="M265" s="3" t="n"/>
      <c r="N265" s="3" t="n"/>
      <c r="O265" s="3" t="n"/>
      <c r="P265" s="3" t="n"/>
      <c r="Q265" s="3" t="n"/>
      <c r="R265" s="3" t="n"/>
    </row>
    <row r="266" ht="25" customHeight="1">
      <c r="A266" s="2">
        <f>IF(B266="","","DS-"&amp;TEXT(ROW()-1,"0000"))</f>
        <v/>
      </c>
      <c r="B266" s="2" t="n"/>
      <c r="C266" s="2">
        <f>IFERROR(XLOOKUP(B266,'Opportunity Scoring'!$A:$A,'Opportunity Scoring'!$B:$B),"")</f>
        <v/>
      </c>
      <c r="D266" s="2" t="n"/>
      <c r="E266" s="2" t="n"/>
      <c r="F266" s="2">
        <f>IFERROR(XLOOKUP(B266,'Opportunity Scoring'!$A:$A,'Opportunity Scoring'!$D:$D),"")</f>
        <v/>
      </c>
      <c r="G266" s="2" t="n"/>
      <c r="H266" s="2" t="n"/>
      <c r="I266" s="2" t="n"/>
      <c r="J266" s="2" t="n"/>
      <c r="K266" s="2" t="n"/>
      <c r="L266" s="2" t="n"/>
      <c r="M266" s="2" t="n"/>
      <c r="N266" s="2" t="n"/>
      <c r="O266" s="2" t="n"/>
      <c r="P266" s="2" t="n"/>
      <c r="Q266" s="2" t="n"/>
      <c r="R266" s="2" t="n"/>
    </row>
    <row r="267" ht="25" customHeight="1">
      <c r="A267" s="3">
        <f>IF(B267="","","DS-"&amp;TEXT(ROW()-1,"0000"))</f>
        <v/>
      </c>
      <c r="B267" s="3" t="n"/>
      <c r="C267" s="3">
        <f>IFERROR(XLOOKUP(B267,'Opportunity Scoring'!$A:$A,'Opportunity Scoring'!$B:$B),"")</f>
        <v/>
      </c>
      <c r="D267" s="3" t="n"/>
      <c r="E267" s="3" t="n"/>
      <c r="F267" s="3">
        <f>IFERROR(XLOOKUP(B267,'Opportunity Scoring'!$A:$A,'Opportunity Scoring'!$D:$D),"")</f>
        <v/>
      </c>
      <c r="G267" s="3" t="n"/>
      <c r="H267" s="3" t="n"/>
      <c r="I267" s="3" t="n"/>
      <c r="J267" s="3" t="n"/>
      <c r="K267" s="3" t="n"/>
      <c r="L267" s="3" t="n"/>
      <c r="M267" s="3" t="n"/>
      <c r="N267" s="3" t="n"/>
      <c r="O267" s="3" t="n"/>
      <c r="P267" s="3" t="n"/>
      <c r="Q267" s="3" t="n"/>
      <c r="R267" s="3" t="n"/>
    </row>
    <row r="268" ht="25" customHeight="1">
      <c r="A268" s="2">
        <f>IF(B268="","","DS-"&amp;TEXT(ROW()-1,"0000"))</f>
        <v/>
      </c>
      <c r="B268" s="2" t="n"/>
      <c r="C268" s="2">
        <f>IFERROR(XLOOKUP(B268,'Opportunity Scoring'!$A:$A,'Opportunity Scoring'!$B:$B),"")</f>
        <v/>
      </c>
      <c r="D268" s="2" t="n"/>
      <c r="E268" s="2" t="n"/>
      <c r="F268" s="2">
        <f>IFERROR(XLOOKUP(B268,'Opportunity Scoring'!$A:$A,'Opportunity Scoring'!$D:$D),"")</f>
        <v/>
      </c>
      <c r="G268" s="2" t="n"/>
      <c r="H268" s="2" t="n"/>
      <c r="I268" s="2" t="n"/>
      <c r="J268" s="2" t="n"/>
      <c r="K268" s="2" t="n"/>
      <c r="L268" s="2" t="n"/>
      <c r="M268" s="2" t="n"/>
      <c r="N268" s="2" t="n"/>
      <c r="O268" s="2" t="n"/>
      <c r="P268" s="2" t="n"/>
      <c r="Q268" s="2" t="n"/>
      <c r="R268" s="2" t="n"/>
    </row>
    <row r="269" ht="25" customHeight="1">
      <c r="A269" s="3">
        <f>IF(B269="","","DS-"&amp;TEXT(ROW()-1,"0000"))</f>
        <v/>
      </c>
      <c r="B269" s="3" t="n"/>
      <c r="C269" s="3">
        <f>IFERROR(XLOOKUP(B269,'Opportunity Scoring'!$A:$A,'Opportunity Scoring'!$B:$B),"")</f>
        <v/>
      </c>
      <c r="D269" s="3" t="n"/>
      <c r="E269" s="3" t="n"/>
      <c r="F269" s="3">
        <f>IFERROR(XLOOKUP(B269,'Opportunity Scoring'!$A:$A,'Opportunity Scoring'!$D:$D),"")</f>
        <v/>
      </c>
      <c r="G269" s="3" t="n"/>
      <c r="H269" s="3" t="n"/>
      <c r="I269" s="3" t="n"/>
      <c r="J269" s="3" t="n"/>
      <c r="K269" s="3" t="n"/>
      <c r="L269" s="3" t="n"/>
      <c r="M269" s="3" t="n"/>
      <c r="N269" s="3" t="n"/>
      <c r="O269" s="3" t="n"/>
      <c r="P269" s="3" t="n"/>
      <c r="Q269" s="3" t="n"/>
      <c r="R269" s="3" t="n"/>
    </row>
    <row r="270" ht="25" customHeight="1">
      <c r="A270" s="2">
        <f>IF(B270="","","DS-"&amp;TEXT(ROW()-1,"0000"))</f>
        <v/>
      </c>
      <c r="B270" s="2" t="n"/>
      <c r="C270" s="2">
        <f>IFERROR(XLOOKUP(B270,'Opportunity Scoring'!$A:$A,'Opportunity Scoring'!$B:$B),"")</f>
        <v/>
      </c>
      <c r="D270" s="2" t="n"/>
      <c r="E270" s="2" t="n"/>
      <c r="F270" s="2">
        <f>IFERROR(XLOOKUP(B270,'Opportunity Scoring'!$A:$A,'Opportunity Scoring'!$D:$D),"")</f>
        <v/>
      </c>
      <c r="G270" s="2" t="n"/>
      <c r="H270" s="2" t="n"/>
      <c r="I270" s="2" t="n"/>
      <c r="J270" s="2" t="n"/>
      <c r="K270" s="2" t="n"/>
      <c r="L270" s="2" t="n"/>
      <c r="M270" s="2" t="n"/>
      <c r="N270" s="2" t="n"/>
      <c r="O270" s="2" t="n"/>
      <c r="P270" s="2" t="n"/>
      <c r="Q270" s="2" t="n"/>
      <c r="R270" s="2" t="n"/>
    </row>
    <row r="271" ht="25" customHeight="1">
      <c r="A271" s="3">
        <f>IF(B271="","","DS-"&amp;TEXT(ROW()-1,"0000"))</f>
        <v/>
      </c>
      <c r="B271" s="3" t="n"/>
      <c r="C271" s="3">
        <f>IFERROR(XLOOKUP(B271,'Opportunity Scoring'!$A:$A,'Opportunity Scoring'!$B:$B),"")</f>
        <v/>
      </c>
      <c r="D271" s="3" t="n"/>
      <c r="E271" s="3" t="n"/>
      <c r="F271" s="3">
        <f>IFERROR(XLOOKUP(B271,'Opportunity Scoring'!$A:$A,'Opportunity Scoring'!$D:$D),"")</f>
        <v/>
      </c>
      <c r="G271" s="3" t="n"/>
      <c r="H271" s="3" t="n"/>
      <c r="I271" s="3" t="n"/>
      <c r="J271" s="3" t="n"/>
      <c r="K271" s="3" t="n"/>
      <c r="L271" s="3" t="n"/>
      <c r="M271" s="3" t="n"/>
      <c r="N271" s="3" t="n"/>
      <c r="O271" s="3" t="n"/>
      <c r="P271" s="3" t="n"/>
      <c r="Q271" s="3" t="n"/>
      <c r="R271" s="3" t="n"/>
    </row>
    <row r="272" ht="25" customHeight="1">
      <c r="A272" s="2">
        <f>IF(B272="","","DS-"&amp;TEXT(ROW()-1,"0000"))</f>
        <v/>
      </c>
      <c r="B272" s="2" t="n"/>
      <c r="C272" s="2">
        <f>IFERROR(XLOOKUP(B272,'Opportunity Scoring'!$A:$A,'Opportunity Scoring'!$B:$B),"")</f>
        <v/>
      </c>
      <c r="D272" s="2" t="n"/>
      <c r="E272" s="2" t="n"/>
      <c r="F272" s="2">
        <f>IFERROR(XLOOKUP(B272,'Opportunity Scoring'!$A:$A,'Opportunity Scoring'!$D:$D),"")</f>
        <v/>
      </c>
      <c r="G272" s="2" t="n"/>
      <c r="H272" s="2" t="n"/>
      <c r="I272" s="2" t="n"/>
      <c r="J272" s="2" t="n"/>
      <c r="K272" s="2" t="n"/>
      <c r="L272" s="2" t="n"/>
      <c r="M272" s="2" t="n"/>
      <c r="N272" s="2" t="n"/>
      <c r="O272" s="2" t="n"/>
      <c r="P272" s="2" t="n"/>
      <c r="Q272" s="2" t="n"/>
      <c r="R272" s="2" t="n"/>
    </row>
    <row r="273" ht="25" customHeight="1">
      <c r="A273" s="3">
        <f>IF(B273="","","DS-"&amp;TEXT(ROW()-1,"0000"))</f>
        <v/>
      </c>
      <c r="B273" s="3" t="n"/>
      <c r="C273" s="3">
        <f>IFERROR(XLOOKUP(B273,'Opportunity Scoring'!$A:$A,'Opportunity Scoring'!$B:$B),"")</f>
        <v/>
      </c>
      <c r="D273" s="3" t="n"/>
      <c r="E273" s="3" t="n"/>
      <c r="F273" s="3">
        <f>IFERROR(XLOOKUP(B273,'Opportunity Scoring'!$A:$A,'Opportunity Scoring'!$D:$D),"")</f>
        <v/>
      </c>
      <c r="G273" s="3" t="n"/>
      <c r="H273" s="3" t="n"/>
      <c r="I273" s="3" t="n"/>
      <c r="J273" s="3" t="n"/>
      <c r="K273" s="3" t="n"/>
      <c r="L273" s="3" t="n"/>
      <c r="M273" s="3" t="n"/>
      <c r="N273" s="3" t="n"/>
      <c r="O273" s="3" t="n"/>
      <c r="P273" s="3" t="n"/>
      <c r="Q273" s="3" t="n"/>
      <c r="R273" s="3" t="n"/>
    </row>
    <row r="274" ht="25" customHeight="1">
      <c r="A274" s="2">
        <f>IF(B274="","","DS-"&amp;TEXT(ROW()-1,"0000"))</f>
        <v/>
      </c>
      <c r="B274" s="2" t="n"/>
      <c r="C274" s="2">
        <f>IFERROR(XLOOKUP(B274,'Opportunity Scoring'!$A:$A,'Opportunity Scoring'!$B:$B),"")</f>
        <v/>
      </c>
      <c r="D274" s="2" t="n"/>
      <c r="E274" s="2" t="n"/>
      <c r="F274" s="2">
        <f>IFERROR(XLOOKUP(B274,'Opportunity Scoring'!$A:$A,'Opportunity Scoring'!$D:$D),"")</f>
        <v/>
      </c>
      <c r="G274" s="2" t="n"/>
      <c r="H274" s="2" t="n"/>
      <c r="I274" s="2" t="n"/>
      <c r="J274" s="2" t="n"/>
      <c r="K274" s="2" t="n"/>
      <c r="L274" s="2" t="n"/>
      <c r="M274" s="2" t="n"/>
      <c r="N274" s="2" t="n"/>
      <c r="O274" s="2" t="n"/>
      <c r="P274" s="2" t="n"/>
      <c r="Q274" s="2" t="n"/>
      <c r="R274" s="2" t="n"/>
    </row>
    <row r="275" ht="25" customHeight="1">
      <c r="A275" s="3">
        <f>IF(B275="","","DS-"&amp;TEXT(ROW()-1,"0000"))</f>
        <v/>
      </c>
      <c r="B275" s="3" t="n"/>
      <c r="C275" s="3">
        <f>IFERROR(XLOOKUP(B275,'Opportunity Scoring'!$A:$A,'Opportunity Scoring'!$B:$B),"")</f>
        <v/>
      </c>
      <c r="D275" s="3" t="n"/>
      <c r="E275" s="3" t="n"/>
      <c r="F275" s="3">
        <f>IFERROR(XLOOKUP(B275,'Opportunity Scoring'!$A:$A,'Opportunity Scoring'!$D:$D),"")</f>
        <v/>
      </c>
      <c r="G275" s="3" t="n"/>
      <c r="H275" s="3" t="n"/>
      <c r="I275" s="3" t="n"/>
      <c r="J275" s="3" t="n"/>
      <c r="K275" s="3" t="n"/>
      <c r="L275" s="3" t="n"/>
      <c r="M275" s="3" t="n"/>
      <c r="N275" s="3" t="n"/>
      <c r="O275" s="3" t="n"/>
      <c r="P275" s="3" t="n"/>
      <c r="Q275" s="3" t="n"/>
      <c r="R275" s="3" t="n"/>
    </row>
    <row r="276" ht="25" customHeight="1">
      <c r="A276" s="2">
        <f>IF(B276="","","DS-"&amp;TEXT(ROW()-1,"0000"))</f>
        <v/>
      </c>
      <c r="B276" s="2" t="n"/>
      <c r="C276" s="2">
        <f>IFERROR(XLOOKUP(B276,'Opportunity Scoring'!$A:$A,'Opportunity Scoring'!$B:$B),"")</f>
        <v/>
      </c>
      <c r="D276" s="2" t="n"/>
      <c r="E276" s="2" t="n"/>
      <c r="F276" s="2">
        <f>IFERROR(XLOOKUP(B276,'Opportunity Scoring'!$A:$A,'Opportunity Scoring'!$D:$D),"")</f>
        <v/>
      </c>
      <c r="G276" s="2" t="n"/>
      <c r="H276" s="2" t="n"/>
      <c r="I276" s="2" t="n"/>
      <c r="J276" s="2" t="n"/>
      <c r="K276" s="2" t="n"/>
      <c r="L276" s="2" t="n"/>
      <c r="M276" s="2" t="n"/>
      <c r="N276" s="2" t="n"/>
      <c r="O276" s="2" t="n"/>
      <c r="P276" s="2" t="n"/>
      <c r="Q276" s="2" t="n"/>
      <c r="R276" s="2" t="n"/>
    </row>
    <row r="277" ht="25" customHeight="1">
      <c r="A277" s="3">
        <f>IF(B277="","","DS-"&amp;TEXT(ROW()-1,"0000"))</f>
        <v/>
      </c>
      <c r="B277" s="3" t="n"/>
      <c r="C277" s="3">
        <f>IFERROR(XLOOKUP(B277,'Opportunity Scoring'!$A:$A,'Opportunity Scoring'!$B:$B),"")</f>
        <v/>
      </c>
      <c r="D277" s="3" t="n"/>
      <c r="E277" s="3" t="n"/>
      <c r="F277" s="3">
        <f>IFERROR(XLOOKUP(B277,'Opportunity Scoring'!$A:$A,'Opportunity Scoring'!$D:$D),"")</f>
        <v/>
      </c>
      <c r="G277" s="3" t="n"/>
      <c r="H277" s="3" t="n"/>
      <c r="I277" s="3" t="n"/>
      <c r="J277" s="3" t="n"/>
      <c r="K277" s="3" t="n"/>
      <c r="L277" s="3" t="n"/>
      <c r="M277" s="3" t="n"/>
      <c r="N277" s="3" t="n"/>
      <c r="O277" s="3" t="n"/>
      <c r="P277" s="3" t="n"/>
      <c r="Q277" s="3" t="n"/>
      <c r="R277" s="3" t="n"/>
    </row>
    <row r="278" ht="25" customHeight="1">
      <c r="A278" s="2">
        <f>IF(B278="","","DS-"&amp;TEXT(ROW()-1,"0000"))</f>
        <v/>
      </c>
      <c r="B278" s="2" t="n"/>
      <c r="C278" s="2">
        <f>IFERROR(XLOOKUP(B278,'Opportunity Scoring'!$A:$A,'Opportunity Scoring'!$B:$B),"")</f>
        <v/>
      </c>
      <c r="D278" s="2" t="n"/>
      <c r="E278" s="2" t="n"/>
      <c r="F278" s="2">
        <f>IFERROR(XLOOKUP(B278,'Opportunity Scoring'!$A:$A,'Opportunity Scoring'!$D:$D),"")</f>
        <v/>
      </c>
      <c r="G278" s="2" t="n"/>
      <c r="H278" s="2" t="n"/>
      <c r="I278" s="2" t="n"/>
      <c r="J278" s="2" t="n"/>
      <c r="K278" s="2" t="n"/>
      <c r="L278" s="2" t="n"/>
      <c r="M278" s="2" t="n"/>
      <c r="N278" s="2" t="n"/>
      <c r="O278" s="2" t="n"/>
      <c r="P278" s="2" t="n"/>
      <c r="Q278" s="2" t="n"/>
      <c r="R278" s="2" t="n"/>
    </row>
    <row r="279" ht="25" customHeight="1">
      <c r="A279" s="3">
        <f>IF(B279="","","DS-"&amp;TEXT(ROW()-1,"0000"))</f>
        <v/>
      </c>
      <c r="B279" s="3" t="n"/>
      <c r="C279" s="3">
        <f>IFERROR(XLOOKUP(B279,'Opportunity Scoring'!$A:$A,'Opportunity Scoring'!$B:$B),"")</f>
        <v/>
      </c>
      <c r="D279" s="3" t="n"/>
      <c r="E279" s="3" t="n"/>
      <c r="F279" s="3">
        <f>IFERROR(XLOOKUP(B279,'Opportunity Scoring'!$A:$A,'Opportunity Scoring'!$D:$D),"")</f>
        <v/>
      </c>
      <c r="G279" s="3" t="n"/>
      <c r="H279" s="3" t="n"/>
      <c r="I279" s="3" t="n"/>
      <c r="J279" s="3" t="n"/>
      <c r="K279" s="3" t="n"/>
      <c r="L279" s="3" t="n"/>
      <c r="M279" s="3" t="n"/>
      <c r="N279" s="3" t="n"/>
      <c r="O279" s="3" t="n"/>
      <c r="P279" s="3" t="n"/>
      <c r="Q279" s="3" t="n"/>
      <c r="R279" s="3" t="n"/>
    </row>
    <row r="280" ht="25" customHeight="1">
      <c r="A280" s="2">
        <f>IF(B280="","","DS-"&amp;TEXT(ROW()-1,"0000"))</f>
        <v/>
      </c>
      <c r="B280" s="2" t="n"/>
      <c r="C280" s="2">
        <f>IFERROR(XLOOKUP(B280,'Opportunity Scoring'!$A:$A,'Opportunity Scoring'!$B:$B),"")</f>
        <v/>
      </c>
      <c r="D280" s="2" t="n"/>
      <c r="E280" s="2" t="n"/>
      <c r="F280" s="2">
        <f>IFERROR(XLOOKUP(B280,'Opportunity Scoring'!$A:$A,'Opportunity Scoring'!$D:$D),"")</f>
        <v/>
      </c>
      <c r="G280" s="2" t="n"/>
      <c r="H280" s="2" t="n"/>
      <c r="I280" s="2" t="n"/>
      <c r="J280" s="2" t="n"/>
      <c r="K280" s="2" t="n"/>
      <c r="L280" s="2" t="n"/>
      <c r="M280" s="2" t="n"/>
      <c r="N280" s="2" t="n"/>
      <c r="O280" s="2" t="n"/>
      <c r="P280" s="2" t="n"/>
      <c r="Q280" s="2" t="n"/>
      <c r="R280" s="2" t="n"/>
    </row>
    <row r="281" ht="25" customHeight="1">
      <c r="A281" s="3">
        <f>IF(B281="","","DS-"&amp;TEXT(ROW()-1,"0000"))</f>
        <v/>
      </c>
      <c r="B281" s="3" t="n"/>
      <c r="C281" s="3">
        <f>IFERROR(XLOOKUP(B281,'Opportunity Scoring'!$A:$A,'Opportunity Scoring'!$B:$B),"")</f>
        <v/>
      </c>
      <c r="D281" s="3" t="n"/>
      <c r="E281" s="3" t="n"/>
      <c r="F281" s="3">
        <f>IFERROR(XLOOKUP(B281,'Opportunity Scoring'!$A:$A,'Opportunity Scoring'!$D:$D),"")</f>
        <v/>
      </c>
      <c r="G281" s="3" t="n"/>
      <c r="H281" s="3" t="n"/>
      <c r="I281" s="3" t="n"/>
      <c r="J281" s="3" t="n"/>
      <c r="K281" s="3" t="n"/>
      <c r="L281" s="3" t="n"/>
      <c r="M281" s="3" t="n"/>
      <c r="N281" s="3" t="n"/>
      <c r="O281" s="3" t="n"/>
      <c r="P281" s="3" t="n"/>
      <c r="Q281" s="3" t="n"/>
      <c r="R281" s="3" t="n"/>
    </row>
    <row r="282" ht="25" customHeight="1">
      <c r="A282" s="2">
        <f>IF(B282="","","DS-"&amp;TEXT(ROW()-1,"0000"))</f>
        <v/>
      </c>
      <c r="B282" s="2" t="n"/>
      <c r="C282" s="2">
        <f>IFERROR(XLOOKUP(B282,'Opportunity Scoring'!$A:$A,'Opportunity Scoring'!$B:$B),"")</f>
        <v/>
      </c>
      <c r="D282" s="2" t="n"/>
      <c r="E282" s="2" t="n"/>
      <c r="F282" s="2">
        <f>IFERROR(XLOOKUP(B282,'Opportunity Scoring'!$A:$A,'Opportunity Scoring'!$D:$D),"")</f>
        <v/>
      </c>
      <c r="G282" s="2" t="n"/>
      <c r="H282" s="2" t="n"/>
      <c r="I282" s="2" t="n"/>
      <c r="J282" s="2" t="n"/>
      <c r="K282" s="2" t="n"/>
      <c r="L282" s="2" t="n"/>
      <c r="M282" s="2" t="n"/>
      <c r="N282" s="2" t="n"/>
      <c r="O282" s="2" t="n"/>
      <c r="P282" s="2" t="n"/>
      <c r="Q282" s="2" t="n"/>
      <c r="R282" s="2" t="n"/>
    </row>
    <row r="283" ht="25" customHeight="1">
      <c r="A283" s="3">
        <f>IF(B283="","","DS-"&amp;TEXT(ROW()-1,"0000"))</f>
        <v/>
      </c>
      <c r="B283" s="3" t="n"/>
      <c r="C283" s="3">
        <f>IFERROR(XLOOKUP(B283,'Opportunity Scoring'!$A:$A,'Opportunity Scoring'!$B:$B),"")</f>
        <v/>
      </c>
      <c r="D283" s="3" t="n"/>
      <c r="E283" s="3" t="n"/>
      <c r="F283" s="3">
        <f>IFERROR(XLOOKUP(B283,'Opportunity Scoring'!$A:$A,'Opportunity Scoring'!$D:$D),"")</f>
        <v/>
      </c>
      <c r="G283" s="3" t="n"/>
      <c r="H283" s="3" t="n"/>
      <c r="I283" s="3" t="n"/>
      <c r="J283" s="3" t="n"/>
      <c r="K283" s="3" t="n"/>
      <c r="L283" s="3" t="n"/>
      <c r="M283" s="3" t="n"/>
      <c r="N283" s="3" t="n"/>
      <c r="O283" s="3" t="n"/>
      <c r="P283" s="3" t="n"/>
      <c r="Q283" s="3" t="n"/>
      <c r="R283" s="3" t="n"/>
    </row>
    <row r="284" ht="25" customHeight="1">
      <c r="A284" s="2">
        <f>IF(B284="","","DS-"&amp;TEXT(ROW()-1,"0000"))</f>
        <v/>
      </c>
      <c r="B284" s="2" t="n"/>
      <c r="C284" s="2">
        <f>IFERROR(XLOOKUP(B284,'Opportunity Scoring'!$A:$A,'Opportunity Scoring'!$B:$B),"")</f>
        <v/>
      </c>
      <c r="D284" s="2" t="n"/>
      <c r="E284" s="2" t="n"/>
      <c r="F284" s="2">
        <f>IFERROR(XLOOKUP(B284,'Opportunity Scoring'!$A:$A,'Opportunity Scoring'!$D:$D),"")</f>
        <v/>
      </c>
      <c r="G284" s="2" t="n"/>
      <c r="H284" s="2" t="n"/>
      <c r="I284" s="2" t="n"/>
      <c r="J284" s="2" t="n"/>
      <c r="K284" s="2" t="n"/>
      <c r="L284" s="2" t="n"/>
      <c r="M284" s="2" t="n"/>
      <c r="N284" s="2" t="n"/>
      <c r="O284" s="2" t="n"/>
      <c r="P284" s="2" t="n"/>
      <c r="Q284" s="2" t="n"/>
      <c r="R284" s="2" t="n"/>
    </row>
    <row r="285" ht="25" customHeight="1">
      <c r="A285" s="3">
        <f>IF(B285="","","DS-"&amp;TEXT(ROW()-1,"0000"))</f>
        <v/>
      </c>
      <c r="B285" s="3" t="n"/>
      <c r="C285" s="3">
        <f>IFERROR(XLOOKUP(B285,'Opportunity Scoring'!$A:$A,'Opportunity Scoring'!$B:$B),"")</f>
        <v/>
      </c>
      <c r="D285" s="3" t="n"/>
      <c r="E285" s="3" t="n"/>
      <c r="F285" s="3">
        <f>IFERROR(XLOOKUP(B285,'Opportunity Scoring'!$A:$A,'Opportunity Scoring'!$D:$D),"")</f>
        <v/>
      </c>
      <c r="G285" s="3" t="n"/>
      <c r="H285" s="3" t="n"/>
      <c r="I285" s="3" t="n"/>
      <c r="J285" s="3" t="n"/>
      <c r="K285" s="3" t="n"/>
      <c r="L285" s="3" t="n"/>
      <c r="M285" s="3" t="n"/>
      <c r="N285" s="3" t="n"/>
      <c r="O285" s="3" t="n"/>
      <c r="P285" s="3" t="n"/>
      <c r="Q285" s="3" t="n"/>
      <c r="R285" s="3" t="n"/>
    </row>
    <row r="286" ht="25" customHeight="1">
      <c r="A286" s="2">
        <f>IF(B286="","","DS-"&amp;TEXT(ROW()-1,"0000"))</f>
        <v/>
      </c>
      <c r="B286" s="2" t="n"/>
      <c r="C286" s="2">
        <f>IFERROR(XLOOKUP(B286,'Opportunity Scoring'!$A:$A,'Opportunity Scoring'!$B:$B),"")</f>
        <v/>
      </c>
      <c r="D286" s="2" t="n"/>
      <c r="E286" s="2" t="n"/>
      <c r="F286" s="2">
        <f>IFERROR(XLOOKUP(B286,'Opportunity Scoring'!$A:$A,'Opportunity Scoring'!$D:$D),"")</f>
        <v/>
      </c>
      <c r="G286" s="2" t="n"/>
      <c r="H286" s="2" t="n"/>
      <c r="I286" s="2" t="n"/>
      <c r="J286" s="2" t="n"/>
      <c r="K286" s="2" t="n"/>
      <c r="L286" s="2" t="n"/>
      <c r="M286" s="2" t="n"/>
      <c r="N286" s="2" t="n"/>
      <c r="O286" s="2" t="n"/>
      <c r="P286" s="2" t="n"/>
      <c r="Q286" s="2" t="n"/>
      <c r="R286" s="2" t="n"/>
    </row>
    <row r="287" ht="25" customHeight="1">
      <c r="A287" s="3">
        <f>IF(B287="","","DS-"&amp;TEXT(ROW()-1,"0000"))</f>
        <v/>
      </c>
      <c r="B287" s="3" t="n"/>
      <c r="C287" s="3">
        <f>IFERROR(XLOOKUP(B287,'Opportunity Scoring'!$A:$A,'Opportunity Scoring'!$B:$B),"")</f>
        <v/>
      </c>
      <c r="D287" s="3" t="n"/>
      <c r="E287" s="3" t="n"/>
      <c r="F287" s="3">
        <f>IFERROR(XLOOKUP(B287,'Opportunity Scoring'!$A:$A,'Opportunity Scoring'!$D:$D),"")</f>
        <v/>
      </c>
      <c r="G287" s="3" t="n"/>
      <c r="H287" s="3" t="n"/>
      <c r="I287" s="3" t="n"/>
      <c r="J287" s="3" t="n"/>
      <c r="K287" s="3" t="n"/>
      <c r="L287" s="3" t="n"/>
      <c r="M287" s="3" t="n"/>
      <c r="N287" s="3" t="n"/>
      <c r="O287" s="3" t="n"/>
      <c r="P287" s="3" t="n"/>
      <c r="Q287" s="3" t="n"/>
      <c r="R287" s="3" t="n"/>
    </row>
    <row r="288" ht="25" customHeight="1">
      <c r="A288" s="2">
        <f>IF(B288="","","DS-"&amp;TEXT(ROW()-1,"0000"))</f>
        <v/>
      </c>
      <c r="B288" s="2" t="n"/>
      <c r="C288" s="2">
        <f>IFERROR(XLOOKUP(B288,'Opportunity Scoring'!$A:$A,'Opportunity Scoring'!$B:$B),"")</f>
        <v/>
      </c>
      <c r="D288" s="2" t="n"/>
      <c r="E288" s="2" t="n"/>
      <c r="F288" s="2">
        <f>IFERROR(XLOOKUP(B288,'Opportunity Scoring'!$A:$A,'Opportunity Scoring'!$D:$D),"")</f>
        <v/>
      </c>
      <c r="G288" s="2" t="n"/>
      <c r="H288" s="2" t="n"/>
      <c r="I288" s="2" t="n"/>
      <c r="J288" s="2" t="n"/>
      <c r="K288" s="2" t="n"/>
      <c r="L288" s="2" t="n"/>
      <c r="M288" s="2" t="n"/>
      <c r="N288" s="2" t="n"/>
      <c r="O288" s="2" t="n"/>
      <c r="P288" s="2" t="n"/>
      <c r="Q288" s="2" t="n"/>
      <c r="R288" s="2" t="n"/>
    </row>
    <row r="289" ht="25" customHeight="1">
      <c r="A289" s="3">
        <f>IF(B289="","","DS-"&amp;TEXT(ROW()-1,"0000"))</f>
        <v/>
      </c>
      <c r="B289" s="3" t="n"/>
      <c r="C289" s="3">
        <f>IFERROR(XLOOKUP(B289,'Opportunity Scoring'!$A:$A,'Opportunity Scoring'!$B:$B),"")</f>
        <v/>
      </c>
      <c r="D289" s="3" t="n"/>
      <c r="E289" s="3" t="n"/>
      <c r="F289" s="3">
        <f>IFERROR(XLOOKUP(B289,'Opportunity Scoring'!$A:$A,'Opportunity Scoring'!$D:$D),"")</f>
        <v/>
      </c>
      <c r="G289" s="3" t="n"/>
      <c r="H289" s="3" t="n"/>
      <c r="I289" s="3" t="n"/>
      <c r="J289" s="3" t="n"/>
      <c r="K289" s="3" t="n"/>
      <c r="L289" s="3" t="n"/>
      <c r="M289" s="3" t="n"/>
      <c r="N289" s="3" t="n"/>
      <c r="O289" s="3" t="n"/>
      <c r="P289" s="3" t="n"/>
      <c r="Q289" s="3" t="n"/>
      <c r="R289" s="3" t="n"/>
    </row>
    <row r="290" ht="25" customHeight="1">
      <c r="A290" s="2">
        <f>IF(B290="","","DS-"&amp;TEXT(ROW()-1,"0000"))</f>
        <v/>
      </c>
      <c r="B290" s="2" t="n"/>
      <c r="C290" s="2">
        <f>IFERROR(XLOOKUP(B290,'Opportunity Scoring'!$A:$A,'Opportunity Scoring'!$B:$B),"")</f>
        <v/>
      </c>
      <c r="D290" s="2" t="n"/>
      <c r="E290" s="2" t="n"/>
      <c r="F290" s="2">
        <f>IFERROR(XLOOKUP(B290,'Opportunity Scoring'!$A:$A,'Opportunity Scoring'!$D:$D),"")</f>
        <v/>
      </c>
      <c r="G290" s="2" t="n"/>
      <c r="H290" s="2" t="n"/>
      <c r="I290" s="2" t="n"/>
      <c r="J290" s="2" t="n"/>
      <c r="K290" s="2" t="n"/>
      <c r="L290" s="2" t="n"/>
      <c r="M290" s="2" t="n"/>
      <c r="N290" s="2" t="n"/>
      <c r="O290" s="2" t="n"/>
      <c r="P290" s="2" t="n"/>
      <c r="Q290" s="2" t="n"/>
      <c r="R290" s="2" t="n"/>
    </row>
    <row r="291" ht="25" customHeight="1">
      <c r="A291" s="3">
        <f>IF(B291="","","DS-"&amp;TEXT(ROW()-1,"0000"))</f>
        <v/>
      </c>
      <c r="B291" s="3" t="n"/>
      <c r="C291" s="3">
        <f>IFERROR(XLOOKUP(B291,'Opportunity Scoring'!$A:$A,'Opportunity Scoring'!$B:$B),"")</f>
        <v/>
      </c>
      <c r="D291" s="3" t="n"/>
      <c r="E291" s="3" t="n"/>
      <c r="F291" s="3">
        <f>IFERROR(XLOOKUP(B291,'Opportunity Scoring'!$A:$A,'Opportunity Scoring'!$D:$D),"")</f>
        <v/>
      </c>
      <c r="G291" s="3" t="n"/>
      <c r="H291" s="3" t="n"/>
      <c r="I291" s="3" t="n"/>
      <c r="J291" s="3" t="n"/>
      <c r="K291" s="3" t="n"/>
      <c r="L291" s="3" t="n"/>
      <c r="M291" s="3" t="n"/>
      <c r="N291" s="3" t="n"/>
      <c r="O291" s="3" t="n"/>
      <c r="P291" s="3" t="n"/>
      <c r="Q291" s="3" t="n"/>
      <c r="R291" s="3" t="n"/>
    </row>
    <row r="292" ht="25" customHeight="1">
      <c r="A292" s="2">
        <f>IF(B292="","","DS-"&amp;TEXT(ROW()-1,"0000"))</f>
        <v/>
      </c>
      <c r="B292" s="2" t="n"/>
      <c r="C292" s="2">
        <f>IFERROR(XLOOKUP(B292,'Opportunity Scoring'!$A:$A,'Opportunity Scoring'!$B:$B),"")</f>
        <v/>
      </c>
      <c r="D292" s="2" t="n"/>
      <c r="E292" s="2" t="n"/>
      <c r="F292" s="2">
        <f>IFERROR(XLOOKUP(B292,'Opportunity Scoring'!$A:$A,'Opportunity Scoring'!$D:$D),"")</f>
        <v/>
      </c>
      <c r="G292" s="2" t="n"/>
      <c r="H292" s="2" t="n"/>
      <c r="I292" s="2" t="n"/>
      <c r="J292" s="2" t="n"/>
      <c r="K292" s="2" t="n"/>
      <c r="L292" s="2" t="n"/>
      <c r="M292" s="2" t="n"/>
      <c r="N292" s="2" t="n"/>
      <c r="O292" s="2" t="n"/>
      <c r="P292" s="2" t="n"/>
      <c r="Q292" s="2" t="n"/>
      <c r="R292" s="2" t="n"/>
    </row>
    <row r="293" ht="25" customHeight="1">
      <c r="A293" s="3">
        <f>IF(B293="","","DS-"&amp;TEXT(ROW()-1,"0000"))</f>
        <v/>
      </c>
      <c r="B293" s="3" t="n"/>
      <c r="C293" s="3">
        <f>IFERROR(XLOOKUP(B293,'Opportunity Scoring'!$A:$A,'Opportunity Scoring'!$B:$B),"")</f>
        <v/>
      </c>
      <c r="D293" s="3" t="n"/>
      <c r="E293" s="3" t="n"/>
      <c r="F293" s="3">
        <f>IFERROR(XLOOKUP(B293,'Opportunity Scoring'!$A:$A,'Opportunity Scoring'!$D:$D),"")</f>
        <v/>
      </c>
      <c r="G293" s="3" t="n"/>
      <c r="H293" s="3" t="n"/>
      <c r="I293" s="3" t="n"/>
      <c r="J293" s="3" t="n"/>
      <c r="K293" s="3" t="n"/>
      <c r="L293" s="3" t="n"/>
      <c r="M293" s="3" t="n"/>
      <c r="N293" s="3" t="n"/>
      <c r="O293" s="3" t="n"/>
      <c r="P293" s="3" t="n"/>
      <c r="Q293" s="3" t="n"/>
      <c r="R293" s="3" t="n"/>
    </row>
    <row r="294" ht="25" customHeight="1">
      <c r="A294" s="2">
        <f>IF(B294="","","DS-"&amp;TEXT(ROW()-1,"0000"))</f>
        <v/>
      </c>
      <c r="B294" s="2" t="n"/>
      <c r="C294" s="2">
        <f>IFERROR(XLOOKUP(B294,'Opportunity Scoring'!$A:$A,'Opportunity Scoring'!$B:$B),"")</f>
        <v/>
      </c>
      <c r="D294" s="2" t="n"/>
      <c r="E294" s="2" t="n"/>
      <c r="F294" s="2">
        <f>IFERROR(XLOOKUP(B294,'Opportunity Scoring'!$A:$A,'Opportunity Scoring'!$D:$D),"")</f>
        <v/>
      </c>
      <c r="G294" s="2" t="n"/>
      <c r="H294" s="2" t="n"/>
      <c r="I294" s="2" t="n"/>
      <c r="J294" s="2" t="n"/>
      <c r="K294" s="2" t="n"/>
      <c r="L294" s="2" t="n"/>
      <c r="M294" s="2" t="n"/>
      <c r="N294" s="2" t="n"/>
      <c r="O294" s="2" t="n"/>
      <c r="P294" s="2" t="n"/>
      <c r="Q294" s="2" t="n"/>
      <c r="R294" s="2" t="n"/>
    </row>
    <row r="295" ht="25" customHeight="1">
      <c r="A295" s="3">
        <f>IF(B295="","","DS-"&amp;TEXT(ROW()-1,"0000"))</f>
        <v/>
      </c>
      <c r="B295" s="3" t="n"/>
      <c r="C295" s="3">
        <f>IFERROR(XLOOKUP(B295,'Opportunity Scoring'!$A:$A,'Opportunity Scoring'!$B:$B),"")</f>
        <v/>
      </c>
      <c r="D295" s="3" t="n"/>
      <c r="E295" s="3" t="n"/>
      <c r="F295" s="3">
        <f>IFERROR(XLOOKUP(B295,'Opportunity Scoring'!$A:$A,'Opportunity Scoring'!$D:$D),"")</f>
        <v/>
      </c>
      <c r="G295" s="3" t="n"/>
      <c r="H295" s="3" t="n"/>
      <c r="I295" s="3" t="n"/>
      <c r="J295" s="3" t="n"/>
      <c r="K295" s="3" t="n"/>
      <c r="L295" s="3" t="n"/>
      <c r="M295" s="3" t="n"/>
      <c r="N295" s="3" t="n"/>
      <c r="O295" s="3" t="n"/>
      <c r="P295" s="3" t="n"/>
      <c r="Q295" s="3" t="n"/>
      <c r="R295" s="3" t="n"/>
    </row>
    <row r="296" ht="25" customHeight="1">
      <c r="A296" s="2">
        <f>IF(B296="","","DS-"&amp;TEXT(ROW()-1,"0000"))</f>
        <v/>
      </c>
      <c r="B296" s="2" t="n"/>
      <c r="C296" s="2">
        <f>IFERROR(XLOOKUP(B296,'Opportunity Scoring'!$A:$A,'Opportunity Scoring'!$B:$B),"")</f>
        <v/>
      </c>
      <c r="D296" s="2" t="n"/>
      <c r="E296" s="2" t="n"/>
      <c r="F296" s="2">
        <f>IFERROR(XLOOKUP(B296,'Opportunity Scoring'!$A:$A,'Opportunity Scoring'!$D:$D),"")</f>
        <v/>
      </c>
      <c r="G296" s="2" t="n"/>
      <c r="H296" s="2" t="n"/>
      <c r="I296" s="2" t="n"/>
      <c r="J296" s="2" t="n"/>
      <c r="K296" s="2" t="n"/>
      <c r="L296" s="2" t="n"/>
      <c r="M296" s="2" t="n"/>
      <c r="N296" s="2" t="n"/>
      <c r="O296" s="2" t="n"/>
      <c r="P296" s="2" t="n"/>
      <c r="Q296" s="2" t="n"/>
      <c r="R296" s="2" t="n"/>
    </row>
    <row r="297" ht="25" customHeight="1">
      <c r="A297" s="3">
        <f>IF(B297="","","DS-"&amp;TEXT(ROW()-1,"0000"))</f>
        <v/>
      </c>
      <c r="B297" s="3" t="n"/>
      <c r="C297" s="3">
        <f>IFERROR(XLOOKUP(B297,'Opportunity Scoring'!$A:$A,'Opportunity Scoring'!$B:$B),"")</f>
        <v/>
      </c>
      <c r="D297" s="3" t="n"/>
      <c r="E297" s="3" t="n"/>
      <c r="F297" s="3">
        <f>IFERROR(XLOOKUP(B297,'Opportunity Scoring'!$A:$A,'Opportunity Scoring'!$D:$D),"")</f>
        <v/>
      </c>
      <c r="G297" s="3" t="n"/>
      <c r="H297" s="3" t="n"/>
      <c r="I297" s="3" t="n"/>
      <c r="J297" s="3" t="n"/>
      <c r="K297" s="3" t="n"/>
      <c r="L297" s="3" t="n"/>
      <c r="M297" s="3" t="n"/>
      <c r="N297" s="3" t="n"/>
      <c r="O297" s="3" t="n"/>
      <c r="P297" s="3" t="n"/>
      <c r="Q297" s="3" t="n"/>
      <c r="R297" s="3" t="n"/>
    </row>
    <row r="298" ht="25" customHeight="1">
      <c r="A298" s="2">
        <f>IF(B298="","","DS-"&amp;TEXT(ROW()-1,"0000"))</f>
        <v/>
      </c>
      <c r="B298" s="2" t="n"/>
      <c r="C298" s="2">
        <f>IFERROR(XLOOKUP(B298,'Opportunity Scoring'!$A:$A,'Opportunity Scoring'!$B:$B),"")</f>
        <v/>
      </c>
      <c r="D298" s="2" t="n"/>
      <c r="E298" s="2" t="n"/>
      <c r="F298" s="2">
        <f>IFERROR(XLOOKUP(B298,'Opportunity Scoring'!$A:$A,'Opportunity Scoring'!$D:$D),"")</f>
        <v/>
      </c>
      <c r="G298" s="2" t="n"/>
      <c r="H298" s="2" t="n"/>
      <c r="I298" s="2" t="n"/>
      <c r="J298" s="2" t="n"/>
      <c r="K298" s="2" t="n"/>
      <c r="L298" s="2" t="n"/>
      <c r="M298" s="2" t="n"/>
      <c r="N298" s="2" t="n"/>
      <c r="O298" s="2" t="n"/>
      <c r="P298" s="2" t="n"/>
      <c r="Q298" s="2" t="n"/>
      <c r="R298" s="2" t="n"/>
    </row>
    <row r="299" ht="25" customHeight="1">
      <c r="A299" s="3">
        <f>IF(B299="","","DS-"&amp;TEXT(ROW()-1,"0000"))</f>
        <v/>
      </c>
      <c r="B299" s="3" t="n"/>
      <c r="C299" s="3">
        <f>IFERROR(XLOOKUP(B299,'Opportunity Scoring'!$A:$A,'Opportunity Scoring'!$B:$B),"")</f>
        <v/>
      </c>
      <c r="D299" s="3" t="n"/>
      <c r="E299" s="3" t="n"/>
      <c r="F299" s="3">
        <f>IFERROR(XLOOKUP(B299,'Opportunity Scoring'!$A:$A,'Opportunity Scoring'!$D:$D),"")</f>
        <v/>
      </c>
      <c r="G299" s="3" t="n"/>
      <c r="H299" s="3" t="n"/>
      <c r="I299" s="3" t="n"/>
      <c r="J299" s="3" t="n"/>
      <c r="K299" s="3" t="n"/>
      <c r="L299" s="3" t="n"/>
      <c r="M299" s="3" t="n"/>
      <c r="N299" s="3" t="n"/>
      <c r="O299" s="3" t="n"/>
      <c r="P299" s="3" t="n"/>
      <c r="Q299" s="3" t="n"/>
      <c r="R299" s="3" t="n"/>
    </row>
    <row r="300" ht="25" customHeight="1">
      <c r="A300" s="2">
        <f>IF(B300="","","DS-"&amp;TEXT(ROW()-1,"0000"))</f>
        <v/>
      </c>
      <c r="B300" s="2" t="n"/>
      <c r="C300" s="2">
        <f>IFERROR(XLOOKUP(B300,'Opportunity Scoring'!$A:$A,'Opportunity Scoring'!$B:$B),"")</f>
        <v/>
      </c>
      <c r="D300" s="2" t="n"/>
      <c r="E300" s="2" t="n"/>
      <c r="F300" s="2">
        <f>IFERROR(XLOOKUP(B300,'Opportunity Scoring'!$A:$A,'Opportunity Scoring'!$D:$D),"")</f>
        <v/>
      </c>
      <c r="G300" s="2" t="n"/>
      <c r="H300" s="2" t="n"/>
      <c r="I300" s="2" t="n"/>
      <c r="J300" s="2" t="n"/>
      <c r="K300" s="2" t="n"/>
      <c r="L300" s="2" t="n"/>
      <c r="M300" s="2" t="n"/>
      <c r="N300" s="2" t="n"/>
      <c r="O300" s="2" t="n"/>
      <c r="P300" s="2" t="n"/>
      <c r="Q300" s="2" t="n"/>
      <c r="R300" s="2" t="n"/>
    </row>
    <row r="301" ht="25" customHeight="1">
      <c r="A301" s="3">
        <f>IF(B301="","","DS-"&amp;TEXT(ROW()-1,"0000"))</f>
        <v/>
      </c>
      <c r="B301" s="3" t="n"/>
      <c r="C301" s="3">
        <f>IFERROR(XLOOKUP(B301,'Opportunity Scoring'!$A:$A,'Opportunity Scoring'!$B:$B),"")</f>
        <v/>
      </c>
      <c r="D301" s="3" t="n"/>
      <c r="E301" s="3" t="n"/>
      <c r="F301" s="3">
        <f>IFERROR(XLOOKUP(B301,'Opportunity Scoring'!$A:$A,'Opportunity Scoring'!$D:$D),"")</f>
        <v/>
      </c>
      <c r="G301" s="3" t="n"/>
      <c r="H301" s="3" t="n"/>
      <c r="I301" s="3" t="n"/>
      <c r="J301" s="3" t="n"/>
      <c r="K301" s="3" t="n"/>
      <c r="L301" s="3" t="n"/>
      <c r="M301" s="3" t="n"/>
      <c r="N301" s="3" t="n"/>
      <c r="O301" s="3" t="n"/>
      <c r="P301" s="3" t="n"/>
      <c r="Q301" s="3" t="n"/>
      <c r="R301" s="3" t="n"/>
    </row>
    <row r="302" ht="25" customHeight="1">
      <c r="A302" s="2">
        <f>IF(B302="","","DS-"&amp;TEXT(ROW()-1,"0000"))</f>
        <v/>
      </c>
      <c r="B302" s="2" t="n"/>
      <c r="C302" s="2">
        <f>IFERROR(XLOOKUP(B302,'Opportunity Scoring'!$A:$A,'Opportunity Scoring'!$B:$B),"")</f>
        <v/>
      </c>
      <c r="D302" s="2" t="n"/>
      <c r="E302" s="2" t="n"/>
      <c r="F302" s="2">
        <f>IFERROR(XLOOKUP(B302,'Opportunity Scoring'!$A:$A,'Opportunity Scoring'!$D:$D),"")</f>
        <v/>
      </c>
      <c r="G302" s="2" t="n"/>
      <c r="H302" s="2" t="n"/>
      <c r="I302" s="2" t="n"/>
      <c r="J302" s="2" t="n"/>
      <c r="K302" s="2" t="n"/>
      <c r="L302" s="2" t="n"/>
      <c r="M302" s="2" t="n"/>
      <c r="N302" s="2" t="n"/>
      <c r="O302" s="2" t="n"/>
      <c r="P302" s="2" t="n"/>
      <c r="Q302" s="2" t="n"/>
      <c r="R302" s="2" t="n"/>
    </row>
    <row r="303" ht="25" customHeight="1">
      <c r="A303" s="3">
        <f>IF(B303="","","DS-"&amp;TEXT(ROW()-1,"0000"))</f>
        <v/>
      </c>
      <c r="B303" s="3" t="n"/>
      <c r="C303" s="3">
        <f>IFERROR(XLOOKUP(B303,'Opportunity Scoring'!$A:$A,'Opportunity Scoring'!$B:$B),"")</f>
        <v/>
      </c>
      <c r="D303" s="3" t="n"/>
      <c r="E303" s="3" t="n"/>
      <c r="F303" s="3">
        <f>IFERROR(XLOOKUP(B303,'Opportunity Scoring'!$A:$A,'Opportunity Scoring'!$D:$D),"")</f>
        <v/>
      </c>
      <c r="G303" s="3" t="n"/>
      <c r="H303" s="3" t="n"/>
      <c r="I303" s="3" t="n"/>
      <c r="J303" s="3" t="n"/>
      <c r="K303" s="3" t="n"/>
      <c r="L303" s="3" t="n"/>
      <c r="M303" s="3" t="n"/>
      <c r="N303" s="3" t="n"/>
      <c r="O303" s="3" t="n"/>
      <c r="P303" s="3" t="n"/>
      <c r="Q303" s="3" t="n"/>
      <c r="R303" s="3" t="n"/>
    </row>
    <row r="304" ht="25" customHeight="1">
      <c r="A304" s="2">
        <f>IF(B304="","","DS-"&amp;TEXT(ROW()-1,"0000"))</f>
        <v/>
      </c>
      <c r="B304" s="2" t="n"/>
      <c r="C304" s="2">
        <f>IFERROR(XLOOKUP(B304,'Opportunity Scoring'!$A:$A,'Opportunity Scoring'!$B:$B),"")</f>
        <v/>
      </c>
      <c r="D304" s="2" t="n"/>
      <c r="E304" s="2" t="n"/>
      <c r="F304" s="2">
        <f>IFERROR(XLOOKUP(B304,'Opportunity Scoring'!$A:$A,'Opportunity Scoring'!$D:$D),"")</f>
        <v/>
      </c>
      <c r="G304" s="2" t="n"/>
      <c r="H304" s="2" t="n"/>
      <c r="I304" s="2" t="n"/>
      <c r="J304" s="2" t="n"/>
      <c r="K304" s="2" t="n"/>
      <c r="L304" s="2" t="n"/>
      <c r="M304" s="2" t="n"/>
      <c r="N304" s="2" t="n"/>
      <c r="O304" s="2" t="n"/>
      <c r="P304" s="2" t="n"/>
      <c r="Q304" s="2" t="n"/>
      <c r="R304" s="2" t="n"/>
    </row>
    <row r="305" ht="25" customHeight="1">
      <c r="A305" s="3">
        <f>IF(B305="","","DS-"&amp;TEXT(ROW()-1,"0000"))</f>
        <v/>
      </c>
      <c r="B305" s="3" t="n"/>
      <c r="C305" s="3">
        <f>IFERROR(XLOOKUP(B305,'Opportunity Scoring'!$A:$A,'Opportunity Scoring'!$B:$B),"")</f>
        <v/>
      </c>
      <c r="D305" s="3" t="n"/>
      <c r="E305" s="3" t="n"/>
      <c r="F305" s="3">
        <f>IFERROR(XLOOKUP(B305,'Opportunity Scoring'!$A:$A,'Opportunity Scoring'!$D:$D),"")</f>
        <v/>
      </c>
      <c r="G305" s="3" t="n"/>
      <c r="H305" s="3" t="n"/>
      <c r="I305" s="3" t="n"/>
      <c r="J305" s="3" t="n"/>
      <c r="K305" s="3" t="n"/>
      <c r="L305" s="3" t="n"/>
      <c r="M305" s="3" t="n"/>
      <c r="N305" s="3" t="n"/>
      <c r="O305" s="3" t="n"/>
      <c r="P305" s="3" t="n"/>
      <c r="Q305" s="3" t="n"/>
      <c r="R305" s="3" t="n"/>
    </row>
    <row r="306" ht="25" customHeight="1">
      <c r="A306" s="2">
        <f>IF(B306="","","DS-"&amp;TEXT(ROW()-1,"0000"))</f>
        <v/>
      </c>
      <c r="B306" s="2" t="n"/>
      <c r="C306" s="2">
        <f>IFERROR(XLOOKUP(B306,'Opportunity Scoring'!$A:$A,'Opportunity Scoring'!$B:$B),"")</f>
        <v/>
      </c>
      <c r="D306" s="2" t="n"/>
      <c r="E306" s="2" t="n"/>
      <c r="F306" s="2">
        <f>IFERROR(XLOOKUP(B306,'Opportunity Scoring'!$A:$A,'Opportunity Scoring'!$D:$D),"")</f>
        <v/>
      </c>
      <c r="G306" s="2" t="n"/>
      <c r="H306" s="2" t="n"/>
      <c r="I306" s="2" t="n"/>
      <c r="J306" s="2" t="n"/>
      <c r="K306" s="2" t="n"/>
      <c r="L306" s="2" t="n"/>
      <c r="M306" s="2" t="n"/>
      <c r="N306" s="2" t="n"/>
      <c r="O306" s="2" t="n"/>
      <c r="P306" s="2" t="n"/>
      <c r="Q306" s="2" t="n"/>
      <c r="R306" s="2" t="n"/>
    </row>
    <row r="307" ht="25" customHeight="1">
      <c r="A307" s="3">
        <f>IF(B307="","","DS-"&amp;TEXT(ROW()-1,"0000"))</f>
        <v/>
      </c>
      <c r="B307" s="3" t="n"/>
      <c r="C307" s="3">
        <f>IFERROR(XLOOKUP(B307,'Opportunity Scoring'!$A:$A,'Opportunity Scoring'!$B:$B),"")</f>
        <v/>
      </c>
      <c r="D307" s="3" t="n"/>
      <c r="E307" s="3" t="n"/>
      <c r="F307" s="3">
        <f>IFERROR(XLOOKUP(B307,'Opportunity Scoring'!$A:$A,'Opportunity Scoring'!$D:$D),"")</f>
        <v/>
      </c>
      <c r="G307" s="3" t="n"/>
      <c r="H307" s="3" t="n"/>
      <c r="I307" s="3" t="n"/>
      <c r="J307" s="3" t="n"/>
      <c r="K307" s="3" t="n"/>
      <c r="L307" s="3" t="n"/>
      <c r="M307" s="3" t="n"/>
      <c r="N307" s="3" t="n"/>
      <c r="O307" s="3" t="n"/>
      <c r="P307" s="3" t="n"/>
      <c r="Q307" s="3" t="n"/>
      <c r="R307" s="3" t="n"/>
    </row>
    <row r="308" ht="25" customHeight="1">
      <c r="A308" s="2">
        <f>IF(B308="","","DS-"&amp;TEXT(ROW()-1,"0000"))</f>
        <v/>
      </c>
      <c r="B308" s="2" t="n"/>
      <c r="C308" s="2">
        <f>IFERROR(XLOOKUP(B308,'Opportunity Scoring'!$A:$A,'Opportunity Scoring'!$B:$B),"")</f>
        <v/>
      </c>
      <c r="D308" s="2" t="n"/>
      <c r="E308" s="2" t="n"/>
      <c r="F308" s="2">
        <f>IFERROR(XLOOKUP(B308,'Opportunity Scoring'!$A:$A,'Opportunity Scoring'!$D:$D),"")</f>
        <v/>
      </c>
      <c r="G308" s="2" t="n"/>
      <c r="H308" s="2" t="n"/>
      <c r="I308" s="2" t="n"/>
      <c r="J308" s="2" t="n"/>
      <c r="K308" s="2" t="n"/>
      <c r="L308" s="2" t="n"/>
      <c r="M308" s="2" t="n"/>
      <c r="N308" s="2" t="n"/>
      <c r="O308" s="2" t="n"/>
      <c r="P308" s="2" t="n"/>
      <c r="Q308" s="2" t="n"/>
      <c r="R308" s="2" t="n"/>
    </row>
    <row r="309" ht="25" customHeight="1">
      <c r="A309" s="3">
        <f>IF(B309="","","DS-"&amp;TEXT(ROW()-1,"0000"))</f>
        <v/>
      </c>
      <c r="B309" s="3" t="n"/>
      <c r="C309" s="3">
        <f>IFERROR(XLOOKUP(B309,'Opportunity Scoring'!$A:$A,'Opportunity Scoring'!$B:$B),"")</f>
        <v/>
      </c>
      <c r="D309" s="3" t="n"/>
      <c r="E309" s="3" t="n"/>
      <c r="F309" s="3">
        <f>IFERROR(XLOOKUP(B309,'Opportunity Scoring'!$A:$A,'Opportunity Scoring'!$D:$D),"")</f>
        <v/>
      </c>
      <c r="G309" s="3" t="n"/>
      <c r="H309" s="3" t="n"/>
      <c r="I309" s="3" t="n"/>
      <c r="J309" s="3" t="n"/>
      <c r="K309" s="3" t="n"/>
      <c r="L309" s="3" t="n"/>
      <c r="M309" s="3" t="n"/>
      <c r="N309" s="3" t="n"/>
      <c r="O309" s="3" t="n"/>
      <c r="P309" s="3" t="n"/>
      <c r="Q309" s="3" t="n"/>
      <c r="R309" s="3" t="n"/>
    </row>
    <row r="310" ht="25" customHeight="1">
      <c r="A310" s="2">
        <f>IF(B310="","","DS-"&amp;TEXT(ROW()-1,"0000"))</f>
        <v/>
      </c>
      <c r="B310" s="2" t="n"/>
      <c r="C310" s="2">
        <f>IFERROR(XLOOKUP(B310,'Opportunity Scoring'!$A:$A,'Opportunity Scoring'!$B:$B),"")</f>
        <v/>
      </c>
      <c r="D310" s="2" t="n"/>
      <c r="E310" s="2" t="n"/>
      <c r="F310" s="2">
        <f>IFERROR(XLOOKUP(B310,'Opportunity Scoring'!$A:$A,'Opportunity Scoring'!$D:$D),"")</f>
        <v/>
      </c>
      <c r="G310" s="2" t="n"/>
      <c r="H310" s="2" t="n"/>
      <c r="I310" s="2" t="n"/>
      <c r="J310" s="2" t="n"/>
      <c r="K310" s="2" t="n"/>
      <c r="L310" s="2" t="n"/>
      <c r="M310" s="2" t="n"/>
      <c r="N310" s="2" t="n"/>
      <c r="O310" s="2" t="n"/>
      <c r="P310" s="2" t="n"/>
      <c r="Q310" s="2" t="n"/>
      <c r="R310" s="2" t="n"/>
    </row>
    <row r="311" ht="25" customHeight="1">
      <c r="A311" s="3">
        <f>IF(B311="","","DS-"&amp;TEXT(ROW()-1,"0000"))</f>
        <v/>
      </c>
      <c r="B311" s="3" t="n"/>
      <c r="C311" s="3">
        <f>IFERROR(XLOOKUP(B311,'Opportunity Scoring'!$A:$A,'Opportunity Scoring'!$B:$B),"")</f>
        <v/>
      </c>
      <c r="D311" s="3" t="n"/>
      <c r="E311" s="3" t="n"/>
      <c r="F311" s="3">
        <f>IFERROR(XLOOKUP(B311,'Opportunity Scoring'!$A:$A,'Opportunity Scoring'!$D:$D),"")</f>
        <v/>
      </c>
      <c r="G311" s="3" t="n"/>
      <c r="H311" s="3" t="n"/>
      <c r="I311" s="3" t="n"/>
      <c r="J311" s="3" t="n"/>
      <c r="K311" s="3" t="n"/>
      <c r="L311" s="3" t="n"/>
      <c r="M311" s="3" t="n"/>
      <c r="N311" s="3" t="n"/>
      <c r="O311" s="3" t="n"/>
      <c r="P311" s="3" t="n"/>
      <c r="Q311" s="3" t="n"/>
      <c r="R311" s="3" t="n"/>
    </row>
    <row r="312" ht="25" customHeight="1">
      <c r="A312" s="2">
        <f>IF(B312="","","DS-"&amp;TEXT(ROW()-1,"0000"))</f>
        <v/>
      </c>
      <c r="B312" s="2" t="n"/>
      <c r="C312" s="2">
        <f>IFERROR(XLOOKUP(B312,'Opportunity Scoring'!$A:$A,'Opportunity Scoring'!$B:$B),"")</f>
        <v/>
      </c>
      <c r="D312" s="2" t="n"/>
      <c r="E312" s="2" t="n"/>
      <c r="F312" s="2">
        <f>IFERROR(XLOOKUP(B312,'Opportunity Scoring'!$A:$A,'Opportunity Scoring'!$D:$D),"")</f>
        <v/>
      </c>
      <c r="G312" s="2" t="n"/>
      <c r="H312" s="2" t="n"/>
      <c r="I312" s="2" t="n"/>
      <c r="J312" s="2" t="n"/>
      <c r="K312" s="2" t="n"/>
      <c r="L312" s="2" t="n"/>
      <c r="M312" s="2" t="n"/>
      <c r="N312" s="2" t="n"/>
      <c r="O312" s="2" t="n"/>
      <c r="P312" s="2" t="n"/>
      <c r="Q312" s="2" t="n"/>
      <c r="R312" s="2" t="n"/>
    </row>
    <row r="313" ht="25" customHeight="1">
      <c r="A313" s="3">
        <f>IF(B313="","","DS-"&amp;TEXT(ROW()-1,"0000"))</f>
        <v/>
      </c>
      <c r="B313" s="3" t="n"/>
      <c r="C313" s="3">
        <f>IFERROR(XLOOKUP(B313,'Opportunity Scoring'!$A:$A,'Opportunity Scoring'!$B:$B),"")</f>
        <v/>
      </c>
      <c r="D313" s="3" t="n"/>
      <c r="E313" s="3" t="n"/>
      <c r="F313" s="3">
        <f>IFERROR(XLOOKUP(B313,'Opportunity Scoring'!$A:$A,'Opportunity Scoring'!$D:$D),"")</f>
        <v/>
      </c>
      <c r="G313" s="3" t="n"/>
      <c r="H313" s="3" t="n"/>
      <c r="I313" s="3" t="n"/>
      <c r="J313" s="3" t="n"/>
      <c r="K313" s="3" t="n"/>
      <c r="L313" s="3" t="n"/>
      <c r="M313" s="3" t="n"/>
      <c r="N313" s="3" t="n"/>
      <c r="O313" s="3" t="n"/>
      <c r="P313" s="3" t="n"/>
      <c r="Q313" s="3" t="n"/>
      <c r="R313" s="3" t="n"/>
    </row>
    <row r="314" ht="25" customHeight="1">
      <c r="A314" s="2">
        <f>IF(B314="","","DS-"&amp;TEXT(ROW()-1,"0000"))</f>
        <v/>
      </c>
      <c r="B314" s="2" t="n"/>
      <c r="C314" s="2">
        <f>IFERROR(XLOOKUP(B314,'Opportunity Scoring'!$A:$A,'Opportunity Scoring'!$B:$B),"")</f>
        <v/>
      </c>
      <c r="D314" s="2" t="n"/>
      <c r="E314" s="2" t="n"/>
      <c r="F314" s="2">
        <f>IFERROR(XLOOKUP(B314,'Opportunity Scoring'!$A:$A,'Opportunity Scoring'!$D:$D),"")</f>
        <v/>
      </c>
      <c r="G314" s="2" t="n"/>
      <c r="H314" s="2" t="n"/>
      <c r="I314" s="2" t="n"/>
      <c r="J314" s="2" t="n"/>
      <c r="K314" s="2" t="n"/>
      <c r="L314" s="2" t="n"/>
      <c r="M314" s="2" t="n"/>
      <c r="N314" s="2" t="n"/>
      <c r="O314" s="2" t="n"/>
      <c r="P314" s="2" t="n"/>
      <c r="Q314" s="2" t="n"/>
      <c r="R314" s="2" t="n"/>
    </row>
    <row r="315" ht="25" customHeight="1">
      <c r="A315" s="3">
        <f>IF(B315="","","DS-"&amp;TEXT(ROW()-1,"0000"))</f>
        <v/>
      </c>
      <c r="B315" s="3" t="n"/>
      <c r="C315" s="3">
        <f>IFERROR(XLOOKUP(B315,'Opportunity Scoring'!$A:$A,'Opportunity Scoring'!$B:$B),"")</f>
        <v/>
      </c>
      <c r="D315" s="3" t="n"/>
      <c r="E315" s="3" t="n"/>
      <c r="F315" s="3">
        <f>IFERROR(XLOOKUP(B315,'Opportunity Scoring'!$A:$A,'Opportunity Scoring'!$D:$D),"")</f>
        <v/>
      </c>
      <c r="G315" s="3" t="n"/>
      <c r="H315" s="3" t="n"/>
      <c r="I315" s="3" t="n"/>
      <c r="J315" s="3" t="n"/>
      <c r="K315" s="3" t="n"/>
      <c r="L315" s="3" t="n"/>
      <c r="M315" s="3" t="n"/>
      <c r="N315" s="3" t="n"/>
      <c r="O315" s="3" t="n"/>
      <c r="P315" s="3" t="n"/>
      <c r="Q315" s="3" t="n"/>
      <c r="R315" s="3" t="n"/>
    </row>
    <row r="316" ht="25" customHeight="1">
      <c r="A316" s="2">
        <f>IF(B316="","","DS-"&amp;TEXT(ROW()-1,"0000"))</f>
        <v/>
      </c>
      <c r="B316" s="2" t="n"/>
      <c r="C316" s="2">
        <f>IFERROR(XLOOKUP(B316,'Opportunity Scoring'!$A:$A,'Opportunity Scoring'!$B:$B),"")</f>
        <v/>
      </c>
      <c r="D316" s="2" t="n"/>
      <c r="E316" s="2" t="n"/>
      <c r="F316" s="2">
        <f>IFERROR(XLOOKUP(B316,'Opportunity Scoring'!$A:$A,'Opportunity Scoring'!$D:$D),"")</f>
        <v/>
      </c>
      <c r="G316" s="2" t="n"/>
      <c r="H316" s="2" t="n"/>
      <c r="I316" s="2" t="n"/>
      <c r="J316" s="2" t="n"/>
      <c r="K316" s="2" t="n"/>
      <c r="L316" s="2" t="n"/>
      <c r="M316" s="2" t="n"/>
      <c r="N316" s="2" t="n"/>
      <c r="O316" s="2" t="n"/>
      <c r="P316" s="2" t="n"/>
      <c r="Q316" s="2" t="n"/>
      <c r="R316" s="2" t="n"/>
    </row>
    <row r="317" ht="25" customHeight="1">
      <c r="A317" s="3">
        <f>IF(B317="","","DS-"&amp;TEXT(ROW()-1,"0000"))</f>
        <v/>
      </c>
      <c r="B317" s="3" t="n"/>
      <c r="C317" s="3">
        <f>IFERROR(XLOOKUP(B317,'Opportunity Scoring'!$A:$A,'Opportunity Scoring'!$B:$B),"")</f>
        <v/>
      </c>
      <c r="D317" s="3" t="n"/>
      <c r="E317" s="3" t="n"/>
      <c r="F317" s="3">
        <f>IFERROR(XLOOKUP(B317,'Opportunity Scoring'!$A:$A,'Opportunity Scoring'!$D:$D),"")</f>
        <v/>
      </c>
      <c r="G317" s="3" t="n"/>
      <c r="H317" s="3" t="n"/>
      <c r="I317" s="3" t="n"/>
      <c r="J317" s="3" t="n"/>
      <c r="K317" s="3" t="n"/>
      <c r="L317" s="3" t="n"/>
      <c r="M317" s="3" t="n"/>
      <c r="N317" s="3" t="n"/>
      <c r="O317" s="3" t="n"/>
      <c r="P317" s="3" t="n"/>
      <c r="Q317" s="3" t="n"/>
      <c r="R317" s="3" t="n"/>
    </row>
    <row r="318" ht="25" customHeight="1">
      <c r="A318" s="2">
        <f>IF(B318="","","DS-"&amp;TEXT(ROW()-1,"0000"))</f>
        <v/>
      </c>
      <c r="B318" s="2" t="n"/>
      <c r="C318" s="2">
        <f>IFERROR(XLOOKUP(B318,'Opportunity Scoring'!$A:$A,'Opportunity Scoring'!$B:$B),"")</f>
        <v/>
      </c>
      <c r="D318" s="2" t="n"/>
      <c r="E318" s="2" t="n"/>
      <c r="F318" s="2">
        <f>IFERROR(XLOOKUP(B318,'Opportunity Scoring'!$A:$A,'Opportunity Scoring'!$D:$D),"")</f>
        <v/>
      </c>
      <c r="G318" s="2" t="n"/>
      <c r="H318" s="2" t="n"/>
      <c r="I318" s="2" t="n"/>
      <c r="J318" s="2" t="n"/>
      <c r="K318" s="2" t="n"/>
      <c r="L318" s="2" t="n"/>
      <c r="M318" s="2" t="n"/>
      <c r="N318" s="2" t="n"/>
      <c r="O318" s="2" t="n"/>
      <c r="P318" s="2" t="n"/>
      <c r="Q318" s="2" t="n"/>
      <c r="R318" s="2" t="n"/>
    </row>
    <row r="319" ht="25" customHeight="1">
      <c r="A319" s="3">
        <f>IF(B319="","","DS-"&amp;TEXT(ROW()-1,"0000"))</f>
        <v/>
      </c>
      <c r="B319" s="3" t="n"/>
      <c r="C319" s="3">
        <f>IFERROR(XLOOKUP(B319,'Opportunity Scoring'!$A:$A,'Opportunity Scoring'!$B:$B),"")</f>
        <v/>
      </c>
      <c r="D319" s="3" t="n"/>
      <c r="E319" s="3" t="n"/>
      <c r="F319" s="3">
        <f>IFERROR(XLOOKUP(B319,'Opportunity Scoring'!$A:$A,'Opportunity Scoring'!$D:$D),"")</f>
        <v/>
      </c>
      <c r="G319" s="3" t="n"/>
      <c r="H319" s="3" t="n"/>
      <c r="I319" s="3" t="n"/>
      <c r="J319" s="3" t="n"/>
      <c r="K319" s="3" t="n"/>
      <c r="L319" s="3" t="n"/>
      <c r="M319" s="3" t="n"/>
      <c r="N319" s="3" t="n"/>
      <c r="O319" s="3" t="n"/>
      <c r="P319" s="3" t="n"/>
      <c r="Q319" s="3" t="n"/>
      <c r="R319" s="3" t="n"/>
    </row>
    <row r="320" ht="25" customHeight="1">
      <c r="A320" s="2">
        <f>IF(B320="","","DS-"&amp;TEXT(ROW()-1,"0000"))</f>
        <v/>
      </c>
      <c r="B320" s="2" t="n"/>
      <c r="C320" s="2">
        <f>IFERROR(XLOOKUP(B320,'Opportunity Scoring'!$A:$A,'Opportunity Scoring'!$B:$B),"")</f>
        <v/>
      </c>
      <c r="D320" s="2" t="n"/>
      <c r="E320" s="2" t="n"/>
      <c r="F320" s="2">
        <f>IFERROR(XLOOKUP(B320,'Opportunity Scoring'!$A:$A,'Opportunity Scoring'!$D:$D),"")</f>
        <v/>
      </c>
      <c r="G320" s="2" t="n"/>
      <c r="H320" s="2" t="n"/>
      <c r="I320" s="2" t="n"/>
      <c r="J320" s="2" t="n"/>
      <c r="K320" s="2" t="n"/>
      <c r="L320" s="2" t="n"/>
      <c r="M320" s="2" t="n"/>
      <c r="N320" s="2" t="n"/>
      <c r="O320" s="2" t="n"/>
      <c r="P320" s="2" t="n"/>
      <c r="Q320" s="2" t="n"/>
      <c r="R320" s="2" t="n"/>
    </row>
    <row r="321" ht="25" customHeight="1">
      <c r="A321" s="3">
        <f>IF(B321="","","DS-"&amp;TEXT(ROW()-1,"0000"))</f>
        <v/>
      </c>
      <c r="B321" s="3" t="n"/>
      <c r="C321" s="3">
        <f>IFERROR(XLOOKUP(B321,'Opportunity Scoring'!$A:$A,'Opportunity Scoring'!$B:$B),"")</f>
        <v/>
      </c>
      <c r="D321" s="3" t="n"/>
      <c r="E321" s="3" t="n"/>
      <c r="F321" s="3">
        <f>IFERROR(XLOOKUP(B321,'Opportunity Scoring'!$A:$A,'Opportunity Scoring'!$D:$D),"")</f>
        <v/>
      </c>
      <c r="G321" s="3" t="n"/>
      <c r="H321" s="3" t="n"/>
      <c r="I321" s="3" t="n"/>
      <c r="J321" s="3" t="n"/>
      <c r="K321" s="3" t="n"/>
      <c r="L321" s="3" t="n"/>
      <c r="M321" s="3" t="n"/>
      <c r="N321" s="3" t="n"/>
      <c r="O321" s="3" t="n"/>
      <c r="P321" s="3" t="n"/>
      <c r="Q321" s="3" t="n"/>
      <c r="R321" s="3" t="n"/>
    </row>
    <row r="322" ht="25" customHeight="1">
      <c r="A322" s="2">
        <f>IF(B322="","","DS-"&amp;TEXT(ROW()-1,"0000"))</f>
        <v/>
      </c>
      <c r="B322" s="2" t="n"/>
      <c r="C322" s="2">
        <f>IFERROR(XLOOKUP(B322,'Opportunity Scoring'!$A:$A,'Opportunity Scoring'!$B:$B),"")</f>
        <v/>
      </c>
      <c r="D322" s="2" t="n"/>
      <c r="E322" s="2" t="n"/>
      <c r="F322" s="2">
        <f>IFERROR(XLOOKUP(B322,'Opportunity Scoring'!$A:$A,'Opportunity Scoring'!$D:$D),"")</f>
        <v/>
      </c>
      <c r="G322" s="2" t="n"/>
      <c r="H322" s="2" t="n"/>
      <c r="I322" s="2" t="n"/>
      <c r="J322" s="2" t="n"/>
      <c r="K322" s="2" t="n"/>
      <c r="L322" s="2" t="n"/>
      <c r="M322" s="2" t="n"/>
      <c r="N322" s="2" t="n"/>
      <c r="O322" s="2" t="n"/>
      <c r="P322" s="2" t="n"/>
      <c r="Q322" s="2" t="n"/>
      <c r="R322" s="2" t="n"/>
    </row>
    <row r="323" ht="25" customHeight="1">
      <c r="A323" s="3">
        <f>IF(B323="","","DS-"&amp;TEXT(ROW()-1,"0000"))</f>
        <v/>
      </c>
      <c r="B323" s="3" t="n"/>
      <c r="C323" s="3">
        <f>IFERROR(XLOOKUP(B323,'Opportunity Scoring'!$A:$A,'Opportunity Scoring'!$B:$B),"")</f>
        <v/>
      </c>
      <c r="D323" s="3" t="n"/>
      <c r="E323" s="3" t="n"/>
      <c r="F323" s="3">
        <f>IFERROR(XLOOKUP(B323,'Opportunity Scoring'!$A:$A,'Opportunity Scoring'!$D:$D),"")</f>
        <v/>
      </c>
      <c r="G323" s="3" t="n"/>
      <c r="H323" s="3" t="n"/>
      <c r="I323" s="3" t="n"/>
      <c r="J323" s="3" t="n"/>
      <c r="K323" s="3" t="n"/>
      <c r="L323" s="3" t="n"/>
      <c r="M323" s="3" t="n"/>
      <c r="N323" s="3" t="n"/>
      <c r="O323" s="3" t="n"/>
      <c r="P323" s="3" t="n"/>
      <c r="Q323" s="3" t="n"/>
      <c r="R323" s="3" t="n"/>
    </row>
    <row r="324" ht="25" customHeight="1">
      <c r="A324" s="2">
        <f>IF(B324="","","DS-"&amp;TEXT(ROW()-1,"0000"))</f>
        <v/>
      </c>
      <c r="B324" s="2" t="n"/>
      <c r="C324" s="2">
        <f>IFERROR(XLOOKUP(B324,'Opportunity Scoring'!$A:$A,'Opportunity Scoring'!$B:$B),"")</f>
        <v/>
      </c>
      <c r="D324" s="2" t="n"/>
      <c r="E324" s="2" t="n"/>
      <c r="F324" s="2">
        <f>IFERROR(XLOOKUP(B324,'Opportunity Scoring'!$A:$A,'Opportunity Scoring'!$D:$D),"")</f>
        <v/>
      </c>
      <c r="G324" s="2" t="n"/>
      <c r="H324" s="2" t="n"/>
      <c r="I324" s="2" t="n"/>
      <c r="J324" s="2" t="n"/>
      <c r="K324" s="2" t="n"/>
      <c r="L324" s="2" t="n"/>
      <c r="M324" s="2" t="n"/>
      <c r="N324" s="2" t="n"/>
      <c r="O324" s="2" t="n"/>
      <c r="P324" s="2" t="n"/>
      <c r="Q324" s="2" t="n"/>
      <c r="R324" s="2" t="n"/>
    </row>
    <row r="325" ht="25" customHeight="1">
      <c r="A325" s="3">
        <f>IF(B325="","","DS-"&amp;TEXT(ROW()-1,"0000"))</f>
        <v/>
      </c>
      <c r="B325" s="3" t="n"/>
      <c r="C325" s="3">
        <f>IFERROR(XLOOKUP(B325,'Opportunity Scoring'!$A:$A,'Opportunity Scoring'!$B:$B),"")</f>
        <v/>
      </c>
      <c r="D325" s="3" t="n"/>
      <c r="E325" s="3" t="n"/>
      <c r="F325" s="3">
        <f>IFERROR(XLOOKUP(B325,'Opportunity Scoring'!$A:$A,'Opportunity Scoring'!$D:$D),"")</f>
        <v/>
      </c>
      <c r="G325" s="3" t="n"/>
      <c r="H325" s="3" t="n"/>
      <c r="I325" s="3" t="n"/>
      <c r="J325" s="3" t="n"/>
      <c r="K325" s="3" t="n"/>
      <c r="L325" s="3" t="n"/>
      <c r="M325" s="3" t="n"/>
      <c r="N325" s="3" t="n"/>
      <c r="O325" s="3" t="n"/>
      <c r="P325" s="3" t="n"/>
      <c r="Q325" s="3" t="n"/>
      <c r="R325" s="3" t="n"/>
    </row>
    <row r="326" ht="25" customHeight="1">
      <c r="A326" s="2">
        <f>IF(B326="","","DS-"&amp;TEXT(ROW()-1,"0000"))</f>
        <v/>
      </c>
      <c r="B326" s="2" t="n"/>
      <c r="C326" s="2">
        <f>IFERROR(XLOOKUP(B326,'Opportunity Scoring'!$A:$A,'Opportunity Scoring'!$B:$B),"")</f>
        <v/>
      </c>
      <c r="D326" s="2" t="n"/>
      <c r="E326" s="2" t="n"/>
      <c r="F326" s="2">
        <f>IFERROR(XLOOKUP(B326,'Opportunity Scoring'!$A:$A,'Opportunity Scoring'!$D:$D),"")</f>
        <v/>
      </c>
      <c r="G326" s="2" t="n"/>
      <c r="H326" s="2" t="n"/>
      <c r="I326" s="2" t="n"/>
      <c r="J326" s="2" t="n"/>
      <c r="K326" s="2" t="n"/>
      <c r="L326" s="2" t="n"/>
      <c r="M326" s="2" t="n"/>
      <c r="N326" s="2" t="n"/>
      <c r="O326" s="2" t="n"/>
      <c r="P326" s="2" t="n"/>
      <c r="Q326" s="2" t="n"/>
      <c r="R326" s="2" t="n"/>
    </row>
    <row r="327" ht="25" customHeight="1">
      <c r="A327" s="3">
        <f>IF(B327="","","DS-"&amp;TEXT(ROW()-1,"0000"))</f>
        <v/>
      </c>
      <c r="B327" s="3" t="n"/>
      <c r="C327" s="3">
        <f>IFERROR(XLOOKUP(B327,'Opportunity Scoring'!$A:$A,'Opportunity Scoring'!$B:$B),"")</f>
        <v/>
      </c>
      <c r="D327" s="3" t="n"/>
      <c r="E327" s="3" t="n"/>
      <c r="F327" s="3">
        <f>IFERROR(XLOOKUP(B327,'Opportunity Scoring'!$A:$A,'Opportunity Scoring'!$D:$D),"")</f>
        <v/>
      </c>
      <c r="G327" s="3" t="n"/>
      <c r="H327" s="3" t="n"/>
      <c r="I327" s="3" t="n"/>
      <c r="J327" s="3" t="n"/>
      <c r="K327" s="3" t="n"/>
      <c r="L327" s="3" t="n"/>
      <c r="M327" s="3" t="n"/>
      <c r="N327" s="3" t="n"/>
      <c r="O327" s="3" t="n"/>
      <c r="P327" s="3" t="n"/>
      <c r="Q327" s="3" t="n"/>
      <c r="R327" s="3" t="n"/>
    </row>
    <row r="328" ht="25" customHeight="1">
      <c r="A328" s="2">
        <f>IF(B328="","","DS-"&amp;TEXT(ROW()-1,"0000"))</f>
        <v/>
      </c>
      <c r="B328" s="2" t="n"/>
      <c r="C328" s="2">
        <f>IFERROR(XLOOKUP(B328,'Opportunity Scoring'!$A:$A,'Opportunity Scoring'!$B:$B),"")</f>
        <v/>
      </c>
      <c r="D328" s="2" t="n"/>
      <c r="E328" s="2" t="n"/>
      <c r="F328" s="2">
        <f>IFERROR(XLOOKUP(B328,'Opportunity Scoring'!$A:$A,'Opportunity Scoring'!$D:$D),"")</f>
        <v/>
      </c>
      <c r="G328" s="2" t="n"/>
      <c r="H328" s="2" t="n"/>
      <c r="I328" s="2" t="n"/>
      <c r="J328" s="2" t="n"/>
      <c r="K328" s="2" t="n"/>
      <c r="L328" s="2" t="n"/>
      <c r="M328" s="2" t="n"/>
      <c r="N328" s="2" t="n"/>
      <c r="O328" s="2" t="n"/>
      <c r="P328" s="2" t="n"/>
      <c r="Q328" s="2" t="n"/>
      <c r="R328" s="2" t="n"/>
    </row>
    <row r="329" ht="25" customHeight="1">
      <c r="A329" s="3">
        <f>IF(B329="","","DS-"&amp;TEXT(ROW()-1,"0000"))</f>
        <v/>
      </c>
      <c r="B329" s="3" t="n"/>
      <c r="C329" s="3">
        <f>IFERROR(XLOOKUP(B329,'Opportunity Scoring'!$A:$A,'Opportunity Scoring'!$B:$B),"")</f>
        <v/>
      </c>
      <c r="D329" s="3" t="n"/>
      <c r="E329" s="3" t="n"/>
      <c r="F329" s="3">
        <f>IFERROR(XLOOKUP(B329,'Opportunity Scoring'!$A:$A,'Opportunity Scoring'!$D:$D),"")</f>
        <v/>
      </c>
      <c r="G329" s="3" t="n"/>
      <c r="H329" s="3" t="n"/>
      <c r="I329" s="3" t="n"/>
      <c r="J329" s="3" t="n"/>
      <c r="K329" s="3" t="n"/>
      <c r="L329" s="3" t="n"/>
      <c r="M329" s="3" t="n"/>
      <c r="N329" s="3" t="n"/>
      <c r="O329" s="3" t="n"/>
      <c r="P329" s="3" t="n"/>
      <c r="Q329" s="3" t="n"/>
      <c r="R329" s="3" t="n"/>
    </row>
    <row r="330" ht="25" customHeight="1">
      <c r="A330" s="2">
        <f>IF(B330="","","DS-"&amp;TEXT(ROW()-1,"0000"))</f>
        <v/>
      </c>
      <c r="B330" s="2" t="n"/>
      <c r="C330" s="2">
        <f>IFERROR(XLOOKUP(B330,'Opportunity Scoring'!$A:$A,'Opportunity Scoring'!$B:$B),"")</f>
        <v/>
      </c>
      <c r="D330" s="2" t="n"/>
      <c r="E330" s="2" t="n"/>
      <c r="F330" s="2">
        <f>IFERROR(XLOOKUP(B330,'Opportunity Scoring'!$A:$A,'Opportunity Scoring'!$D:$D),"")</f>
        <v/>
      </c>
      <c r="G330" s="2" t="n"/>
      <c r="H330" s="2" t="n"/>
      <c r="I330" s="2" t="n"/>
      <c r="J330" s="2" t="n"/>
      <c r="K330" s="2" t="n"/>
      <c r="L330" s="2" t="n"/>
      <c r="M330" s="2" t="n"/>
      <c r="N330" s="2" t="n"/>
      <c r="O330" s="2" t="n"/>
      <c r="P330" s="2" t="n"/>
      <c r="Q330" s="2" t="n"/>
      <c r="R330" s="2" t="n"/>
    </row>
    <row r="331" ht="25" customHeight="1">
      <c r="A331" s="3">
        <f>IF(B331="","","DS-"&amp;TEXT(ROW()-1,"0000"))</f>
        <v/>
      </c>
      <c r="B331" s="3" t="n"/>
      <c r="C331" s="3">
        <f>IFERROR(XLOOKUP(B331,'Opportunity Scoring'!$A:$A,'Opportunity Scoring'!$B:$B),"")</f>
        <v/>
      </c>
      <c r="D331" s="3" t="n"/>
      <c r="E331" s="3" t="n"/>
      <c r="F331" s="3">
        <f>IFERROR(XLOOKUP(B331,'Opportunity Scoring'!$A:$A,'Opportunity Scoring'!$D:$D),"")</f>
        <v/>
      </c>
      <c r="G331" s="3" t="n"/>
      <c r="H331" s="3" t="n"/>
      <c r="I331" s="3" t="n"/>
      <c r="J331" s="3" t="n"/>
      <c r="K331" s="3" t="n"/>
      <c r="L331" s="3" t="n"/>
      <c r="M331" s="3" t="n"/>
      <c r="N331" s="3" t="n"/>
      <c r="O331" s="3" t="n"/>
      <c r="P331" s="3" t="n"/>
      <c r="Q331" s="3" t="n"/>
      <c r="R331" s="3" t="n"/>
    </row>
    <row r="332" ht="25" customHeight="1">
      <c r="A332" s="2">
        <f>IF(B332="","","DS-"&amp;TEXT(ROW()-1,"0000"))</f>
        <v/>
      </c>
      <c r="B332" s="2" t="n"/>
      <c r="C332" s="2">
        <f>IFERROR(XLOOKUP(B332,'Opportunity Scoring'!$A:$A,'Opportunity Scoring'!$B:$B),"")</f>
        <v/>
      </c>
      <c r="D332" s="2" t="n"/>
      <c r="E332" s="2" t="n"/>
      <c r="F332" s="2">
        <f>IFERROR(XLOOKUP(B332,'Opportunity Scoring'!$A:$A,'Opportunity Scoring'!$D:$D),"")</f>
        <v/>
      </c>
      <c r="G332" s="2" t="n"/>
      <c r="H332" s="2" t="n"/>
      <c r="I332" s="2" t="n"/>
      <c r="J332" s="2" t="n"/>
      <c r="K332" s="2" t="n"/>
      <c r="L332" s="2" t="n"/>
      <c r="M332" s="2" t="n"/>
      <c r="N332" s="2" t="n"/>
      <c r="O332" s="2" t="n"/>
      <c r="P332" s="2" t="n"/>
      <c r="Q332" s="2" t="n"/>
      <c r="R332" s="2" t="n"/>
    </row>
    <row r="333" ht="25" customHeight="1">
      <c r="A333" s="3">
        <f>IF(B333="","","DS-"&amp;TEXT(ROW()-1,"0000"))</f>
        <v/>
      </c>
      <c r="B333" s="3" t="n"/>
      <c r="C333" s="3">
        <f>IFERROR(XLOOKUP(B333,'Opportunity Scoring'!$A:$A,'Opportunity Scoring'!$B:$B),"")</f>
        <v/>
      </c>
      <c r="D333" s="3" t="n"/>
      <c r="E333" s="3" t="n"/>
      <c r="F333" s="3">
        <f>IFERROR(XLOOKUP(B333,'Opportunity Scoring'!$A:$A,'Opportunity Scoring'!$D:$D),"")</f>
        <v/>
      </c>
      <c r="G333" s="3" t="n"/>
      <c r="H333" s="3" t="n"/>
      <c r="I333" s="3" t="n"/>
      <c r="J333" s="3" t="n"/>
      <c r="K333" s="3" t="n"/>
      <c r="L333" s="3" t="n"/>
      <c r="M333" s="3" t="n"/>
      <c r="N333" s="3" t="n"/>
      <c r="O333" s="3" t="n"/>
      <c r="P333" s="3" t="n"/>
      <c r="Q333" s="3" t="n"/>
      <c r="R333" s="3" t="n"/>
    </row>
    <row r="334" ht="25" customHeight="1">
      <c r="A334" s="2">
        <f>IF(B334="","","DS-"&amp;TEXT(ROW()-1,"0000"))</f>
        <v/>
      </c>
      <c r="B334" s="2" t="n"/>
      <c r="C334" s="2">
        <f>IFERROR(XLOOKUP(B334,'Opportunity Scoring'!$A:$A,'Opportunity Scoring'!$B:$B),"")</f>
        <v/>
      </c>
      <c r="D334" s="2" t="n"/>
      <c r="E334" s="2" t="n"/>
      <c r="F334" s="2">
        <f>IFERROR(XLOOKUP(B334,'Opportunity Scoring'!$A:$A,'Opportunity Scoring'!$D:$D),"")</f>
        <v/>
      </c>
      <c r="G334" s="2" t="n"/>
      <c r="H334" s="2" t="n"/>
      <c r="I334" s="2" t="n"/>
      <c r="J334" s="2" t="n"/>
      <c r="K334" s="2" t="n"/>
      <c r="L334" s="2" t="n"/>
      <c r="M334" s="2" t="n"/>
      <c r="N334" s="2" t="n"/>
      <c r="O334" s="2" t="n"/>
      <c r="P334" s="2" t="n"/>
      <c r="Q334" s="2" t="n"/>
      <c r="R334" s="2" t="n"/>
    </row>
    <row r="335" ht="25" customHeight="1">
      <c r="A335" s="3">
        <f>IF(B335="","","DS-"&amp;TEXT(ROW()-1,"0000"))</f>
        <v/>
      </c>
      <c r="B335" s="3" t="n"/>
      <c r="C335" s="3">
        <f>IFERROR(XLOOKUP(B335,'Opportunity Scoring'!$A:$A,'Opportunity Scoring'!$B:$B),"")</f>
        <v/>
      </c>
      <c r="D335" s="3" t="n"/>
      <c r="E335" s="3" t="n"/>
      <c r="F335" s="3">
        <f>IFERROR(XLOOKUP(B335,'Opportunity Scoring'!$A:$A,'Opportunity Scoring'!$D:$D),"")</f>
        <v/>
      </c>
      <c r="G335" s="3" t="n"/>
      <c r="H335" s="3" t="n"/>
      <c r="I335" s="3" t="n"/>
      <c r="J335" s="3" t="n"/>
      <c r="K335" s="3" t="n"/>
      <c r="L335" s="3" t="n"/>
      <c r="M335" s="3" t="n"/>
      <c r="N335" s="3" t="n"/>
      <c r="O335" s="3" t="n"/>
      <c r="P335" s="3" t="n"/>
      <c r="Q335" s="3" t="n"/>
      <c r="R335" s="3" t="n"/>
    </row>
    <row r="336" ht="25" customHeight="1">
      <c r="A336" s="2">
        <f>IF(B336="","","DS-"&amp;TEXT(ROW()-1,"0000"))</f>
        <v/>
      </c>
      <c r="B336" s="2" t="n"/>
      <c r="C336" s="2">
        <f>IFERROR(XLOOKUP(B336,'Opportunity Scoring'!$A:$A,'Opportunity Scoring'!$B:$B),"")</f>
        <v/>
      </c>
      <c r="D336" s="2" t="n"/>
      <c r="E336" s="2" t="n"/>
      <c r="F336" s="2">
        <f>IFERROR(XLOOKUP(B336,'Opportunity Scoring'!$A:$A,'Opportunity Scoring'!$D:$D),"")</f>
        <v/>
      </c>
      <c r="G336" s="2" t="n"/>
      <c r="H336" s="2" t="n"/>
      <c r="I336" s="2" t="n"/>
      <c r="J336" s="2" t="n"/>
      <c r="K336" s="2" t="n"/>
      <c r="L336" s="2" t="n"/>
      <c r="M336" s="2" t="n"/>
      <c r="N336" s="2" t="n"/>
      <c r="O336" s="2" t="n"/>
      <c r="P336" s="2" t="n"/>
      <c r="Q336" s="2" t="n"/>
      <c r="R336" s="2" t="n"/>
    </row>
    <row r="337" ht="25" customHeight="1">
      <c r="A337" s="3">
        <f>IF(B337="","","DS-"&amp;TEXT(ROW()-1,"0000"))</f>
        <v/>
      </c>
      <c r="B337" s="3" t="n"/>
      <c r="C337" s="3">
        <f>IFERROR(XLOOKUP(B337,'Opportunity Scoring'!$A:$A,'Opportunity Scoring'!$B:$B),"")</f>
        <v/>
      </c>
      <c r="D337" s="3" t="n"/>
      <c r="E337" s="3" t="n"/>
      <c r="F337" s="3">
        <f>IFERROR(XLOOKUP(B337,'Opportunity Scoring'!$A:$A,'Opportunity Scoring'!$D:$D),"")</f>
        <v/>
      </c>
      <c r="G337" s="3" t="n"/>
      <c r="H337" s="3" t="n"/>
      <c r="I337" s="3" t="n"/>
      <c r="J337" s="3" t="n"/>
      <c r="K337" s="3" t="n"/>
      <c r="L337" s="3" t="n"/>
      <c r="M337" s="3" t="n"/>
      <c r="N337" s="3" t="n"/>
      <c r="O337" s="3" t="n"/>
      <c r="P337" s="3" t="n"/>
      <c r="Q337" s="3" t="n"/>
      <c r="R337" s="3" t="n"/>
    </row>
    <row r="338" ht="25" customHeight="1">
      <c r="A338" s="2">
        <f>IF(B338="","","DS-"&amp;TEXT(ROW()-1,"0000"))</f>
        <v/>
      </c>
      <c r="B338" s="2" t="n"/>
      <c r="C338" s="2">
        <f>IFERROR(XLOOKUP(B338,'Opportunity Scoring'!$A:$A,'Opportunity Scoring'!$B:$B),"")</f>
        <v/>
      </c>
      <c r="D338" s="2" t="n"/>
      <c r="E338" s="2" t="n"/>
      <c r="F338" s="2">
        <f>IFERROR(XLOOKUP(B338,'Opportunity Scoring'!$A:$A,'Opportunity Scoring'!$D:$D),"")</f>
        <v/>
      </c>
      <c r="G338" s="2" t="n"/>
      <c r="H338" s="2" t="n"/>
      <c r="I338" s="2" t="n"/>
      <c r="J338" s="2" t="n"/>
      <c r="K338" s="2" t="n"/>
      <c r="L338" s="2" t="n"/>
      <c r="M338" s="2" t="n"/>
      <c r="N338" s="2" t="n"/>
      <c r="O338" s="2" t="n"/>
      <c r="P338" s="2" t="n"/>
      <c r="Q338" s="2" t="n"/>
      <c r="R338" s="2" t="n"/>
    </row>
    <row r="339" ht="25" customHeight="1">
      <c r="A339" s="3">
        <f>IF(B339="","","DS-"&amp;TEXT(ROW()-1,"0000"))</f>
        <v/>
      </c>
      <c r="B339" s="3" t="n"/>
      <c r="C339" s="3">
        <f>IFERROR(XLOOKUP(B339,'Opportunity Scoring'!$A:$A,'Opportunity Scoring'!$B:$B),"")</f>
        <v/>
      </c>
      <c r="D339" s="3" t="n"/>
      <c r="E339" s="3" t="n"/>
      <c r="F339" s="3">
        <f>IFERROR(XLOOKUP(B339,'Opportunity Scoring'!$A:$A,'Opportunity Scoring'!$D:$D),"")</f>
        <v/>
      </c>
      <c r="G339" s="3" t="n"/>
      <c r="H339" s="3" t="n"/>
      <c r="I339" s="3" t="n"/>
      <c r="J339" s="3" t="n"/>
      <c r="K339" s="3" t="n"/>
      <c r="L339" s="3" t="n"/>
      <c r="M339" s="3" t="n"/>
      <c r="N339" s="3" t="n"/>
      <c r="O339" s="3" t="n"/>
      <c r="P339" s="3" t="n"/>
      <c r="Q339" s="3" t="n"/>
      <c r="R339" s="3" t="n"/>
    </row>
    <row r="340" ht="25" customHeight="1">
      <c r="A340" s="2">
        <f>IF(B340="","","DS-"&amp;TEXT(ROW()-1,"0000"))</f>
        <v/>
      </c>
      <c r="B340" s="2" t="n"/>
      <c r="C340" s="2">
        <f>IFERROR(XLOOKUP(B340,'Opportunity Scoring'!$A:$A,'Opportunity Scoring'!$B:$B),"")</f>
        <v/>
      </c>
      <c r="D340" s="2" t="n"/>
      <c r="E340" s="2" t="n"/>
      <c r="F340" s="2">
        <f>IFERROR(XLOOKUP(B340,'Opportunity Scoring'!$A:$A,'Opportunity Scoring'!$D:$D),"")</f>
        <v/>
      </c>
      <c r="G340" s="2" t="n"/>
      <c r="H340" s="2" t="n"/>
      <c r="I340" s="2" t="n"/>
      <c r="J340" s="2" t="n"/>
      <c r="K340" s="2" t="n"/>
      <c r="L340" s="2" t="n"/>
      <c r="M340" s="2" t="n"/>
      <c r="N340" s="2" t="n"/>
      <c r="O340" s="2" t="n"/>
      <c r="P340" s="2" t="n"/>
      <c r="Q340" s="2" t="n"/>
      <c r="R340" s="2" t="n"/>
    </row>
    <row r="341" ht="25" customHeight="1">
      <c r="A341" s="3">
        <f>IF(B341="","","DS-"&amp;TEXT(ROW()-1,"0000"))</f>
        <v/>
      </c>
      <c r="B341" s="3" t="n"/>
      <c r="C341" s="3">
        <f>IFERROR(XLOOKUP(B341,'Opportunity Scoring'!$A:$A,'Opportunity Scoring'!$B:$B),"")</f>
        <v/>
      </c>
      <c r="D341" s="3" t="n"/>
      <c r="E341" s="3" t="n"/>
      <c r="F341" s="3">
        <f>IFERROR(XLOOKUP(B341,'Opportunity Scoring'!$A:$A,'Opportunity Scoring'!$D:$D),"")</f>
        <v/>
      </c>
      <c r="G341" s="3" t="n"/>
      <c r="H341" s="3" t="n"/>
      <c r="I341" s="3" t="n"/>
      <c r="J341" s="3" t="n"/>
      <c r="K341" s="3" t="n"/>
      <c r="L341" s="3" t="n"/>
      <c r="M341" s="3" t="n"/>
      <c r="N341" s="3" t="n"/>
      <c r="O341" s="3" t="n"/>
      <c r="P341" s="3" t="n"/>
      <c r="Q341" s="3" t="n"/>
      <c r="R341" s="3" t="n"/>
    </row>
    <row r="342" ht="25" customHeight="1">
      <c r="A342" s="2">
        <f>IF(B342="","","DS-"&amp;TEXT(ROW()-1,"0000"))</f>
        <v/>
      </c>
      <c r="B342" s="2" t="n"/>
      <c r="C342" s="2">
        <f>IFERROR(XLOOKUP(B342,'Opportunity Scoring'!$A:$A,'Opportunity Scoring'!$B:$B),"")</f>
        <v/>
      </c>
      <c r="D342" s="2" t="n"/>
      <c r="E342" s="2" t="n"/>
      <c r="F342" s="2">
        <f>IFERROR(XLOOKUP(B342,'Opportunity Scoring'!$A:$A,'Opportunity Scoring'!$D:$D),"")</f>
        <v/>
      </c>
      <c r="G342" s="2" t="n"/>
      <c r="H342" s="2" t="n"/>
      <c r="I342" s="2" t="n"/>
      <c r="J342" s="2" t="n"/>
      <c r="K342" s="2" t="n"/>
      <c r="L342" s="2" t="n"/>
      <c r="M342" s="2" t="n"/>
      <c r="N342" s="2" t="n"/>
      <c r="O342" s="2" t="n"/>
      <c r="P342" s="2" t="n"/>
      <c r="Q342" s="2" t="n"/>
      <c r="R342" s="2" t="n"/>
    </row>
    <row r="343" ht="25" customHeight="1">
      <c r="A343" s="3">
        <f>IF(B343="","","DS-"&amp;TEXT(ROW()-1,"0000"))</f>
        <v/>
      </c>
      <c r="B343" s="3" t="n"/>
      <c r="C343" s="3">
        <f>IFERROR(XLOOKUP(B343,'Opportunity Scoring'!$A:$A,'Opportunity Scoring'!$B:$B),"")</f>
        <v/>
      </c>
      <c r="D343" s="3" t="n"/>
      <c r="E343" s="3" t="n"/>
      <c r="F343" s="3">
        <f>IFERROR(XLOOKUP(B343,'Opportunity Scoring'!$A:$A,'Opportunity Scoring'!$D:$D),"")</f>
        <v/>
      </c>
      <c r="G343" s="3" t="n"/>
      <c r="H343" s="3" t="n"/>
      <c r="I343" s="3" t="n"/>
      <c r="J343" s="3" t="n"/>
      <c r="K343" s="3" t="n"/>
      <c r="L343" s="3" t="n"/>
      <c r="M343" s="3" t="n"/>
      <c r="N343" s="3" t="n"/>
      <c r="O343" s="3" t="n"/>
      <c r="P343" s="3" t="n"/>
      <c r="Q343" s="3" t="n"/>
      <c r="R343" s="3" t="n"/>
    </row>
    <row r="344" ht="25" customHeight="1">
      <c r="A344" s="2">
        <f>IF(B344="","","DS-"&amp;TEXT(ROW()-1,"0000"))</f>
        <v/>
      </c>
      <c r="B344" s="2" t="n"/>
      <c r="C344" s="2">
        <f>IFERROR(XLOOKUP(B344,'Opportunity Scoring'!$A:$A,'Opportunity Scoring'!$B:$B),"")</f>
        <v/>
      </c>
      <c r="D344" s="2" t="n"/>
      <c r="E344" s="2" t="n"/>
      <c r="F344" s="2">
        <f>IFERROR(XLOOKUP(B344,'Opportunity Scoring'!$A:$A,'Opportunity Scoring'!$D:$D),"")</f>
        <v/>
      </c>
      <c r="G344" s="2" t="n"/>
      <c r="H344" s="2" t="n"/>
      <c r="I344" s="2" t="n"/>
      <c r="J344" s="2" t="n"/>
      <c r="K344" s="2" t="n"/>
      <c r="L344" s="2" t="n"/>
      <c r="M344" s="2" t="n"/>
      <c r="N344" s="2" t="n"/>
      <c r="O344" s="2" t="n"/>
      <c r="P344" s="2" t="n"/>
      <c r="Q344" s="2" t="n"/>
      <c r="R344" s="2" t="n"/>
    </row>
    <row r="345" ht="25" customHeight="1">
      <c r="A345" s="3">
        <f>IF(B345="","","DS-"&amp;TEXT(ROW()-1,"0000"))</f>
        <v/>
      </c>
      <c r="B345" s="3" t="n"/>
      <c r="C345" s="3">
        <f>IFERROR(XLOOKUP(B345,'Opportunity Scoring'!$A:$A,'Opportunity Scoring'!$B:$B),"")</f>
        <v/>
      </c>
      <c r="D345" s="3" t="n"/>
      <c r="E345" s="3" t="n"/>
      <c r="F345" s="3">
        <f>IFERROR(XLOOKUP(B345,'Opportunity Scoring'!$A:$A,'Opportunity Scoring'!$D:$D),"")</f>
        <v/>
      </c>
      <c r="G345" s="3" t="n"/>
      <c r="H345" s="3" t="n"/>
      <c r="I345" s="3" t="n"/>
      <c r="J345" s="3" t="n"/>
      <c r="K345" s="3" t="n"/>
      <c r="L345" s="3" t="n"/>
      <c r="M345" s="3" t="n"/>
      <c r="N345" s="3" t="n"/>
      <c r="O345" s="3" t="n"/>
      <c r="P345" s="3" t="n"/>
      <c r="Q345" s="3" t="n"/>
      <c r="R345" s="3" t="n"/>
    </row>
    <row r="346" ht="25" customHeight="1">
      <c r="A346" s="2">
        <f>IF(B346="","","DS-"&amp;TEXT(ROW()-1,"0000"))</f>
        <v/>
      </c>
      <c r="B346" s="2" t="n"/>
      <c r="C346" s="2">
        <f>IFERROR(XLOOKUP(B346,'Opportunity Scoring'!$A:$A,'Opportunity Scoring'!$B:$B),"")</f>
        <v/>
      </c>
      <c r="D346" s="2" t="n"/>
      <c r="E346" s="2" t="n"/>
      <c r="F346" s="2">
        <f>IFERROR(XLOOKUP(B346,'Opportunity Scoring'!$A:$A,'Opportunity Scoring'!$D:$D),"")</f>
        <v/>
      </c>
      <c r="G346" s="2" t="n"/>
      <c r="H346" s="2" t="n"/>
      <c r="I346" s="2" t="n"/>
      <c r="J346" s="2" t="n"/>
      <c r="K346" s="2" t="n"/>
      <c r="L346" s="2" t="n"/>
      <c r="M346" s="2" t="n"/>
      <c r="N346" s="2" t="n"/>
      <c r="O346" s="2" t="n"/>
      <c r="P346" s="2" t="n"/>
      <c r="Q346" s="2" t="n"/>
      <c r="R346" s="2" t="n"/>
    </row>
    <row r="347" ht="25" customHeight="1">
      <c r="A347" s="3">
        <f>IF(B347="","","DS-"&amp;TEXT(ROW()-1,"0000"))</f>
        <v/>
      </c>
      <c r="B347" s="3" t="n"/>
      <c r="C347" s="3">
        <f>IFERROR(XLOOKUP(B347,'Opportunity Scoring'!$A:$A,'Opportunity Scoring'!$B:$B),"")</f>
        <v/>
      </c>
      <c r="D347" s="3" t="n"/>
      <c r="E347" s="3" t="n"/>
      <c r="F347" s="3">
        <f>IFERROR(XLOOKUP(B347,'Opportunity Scoring'!$A:$A,'Opportunity Scoring'!$D:$D),"")</f>
        <v/>
      </c>
      <c r="G347" s="3" t="n"/>
      <c r="H347" s="3" t="n"/>
      <c r="I347" s="3" t="n"/>
      <c r="J347" s="3" t="n"/>
      <c r="K347" s="3" t="n"/>
      <c r="L347" s="3" t="n"/>
      <c r="M347" s="3" t="n"/>
      <c r="N347" s="3" t="n"/>
      <c r="O347" s="3" t="n"/>
      <c r="P347" s="3" t="n"/>
      <c r="Q347" s="3" t="n"/>
      <c r="R347" s="3" t="n"/>
    </row>
    <row r="348" ht="25" customHeight="1">
      <c r="A348" s="2">
        <f>IF(B348="","","DS-"&amp;TEXT(ROW()-1,"0000"))</f>
        <v/>
      </c>
      <c r="B348" s="2" t="n"/>
      <c r="C348" s="2">
        <f>IFERROR(XLOOKUP(B348,'Opportunity Scoring'!$A:$A,'Opportunity Scoring'!$B:$B),"")</f>
        <v/>
      </c>
      <c r="D348" s="2" t="n"/>
      <c r="E348" s="2" t="n"/>
      <c r="F348" s="2">
        <f>IFERROR(XLOOKUP(B348,'Opportunity Scoring'!$A:$A,'Opportunity Scoring'!$D:$D),"")</f>
        <v/>
      </c>
      <c r="G348" s="2" t="n"/>
      <c r="H348" s="2" t="n"/>
      <c r="I348" s="2" t="n"/>
      <c r="J348" s="2" t="n"/>
      <c r="K348" s="2" t="n"/>
      <c r="L348" s="2" t="n"/>
      <c r="M348" s="2" t="n"/>
      <c r="N348" s="2" t="n"/>
      <c r="O348" s="2" t="n"/>
      <c r="P348" s="2" t="n"/>
      <c r="Q348" s="2" t="n"/>
      <c r="R348" s="2" t="n"/>
    </row>
    <row r="349" ht="25" customHeight="1">
      <c r="A349" s="3">
        <f>IF(B349="","","DS-"&amp;TEXT(ROW()-1,"0000"))</f>
        <v/>
      </c>
      <c r="B349" s="3" t="n"/>
      <c r="C349" s="3">
        <f>IFERROR(XLOOKUP(B349,'Opportunity Scoring'!$A:$A,'Opportunity Scoring'!$B:$B),"")</f>
        <v/>
      </c>
      <c r="D349" s="3" t="n"/>
      <c r="E349" s="3" t="n"/>
      <c r="F349" s="3">
        <f>IFERROR(XLOOKUP(B349,'Opportunity Scoring'!$A:$A,'Opportunity Scoring'!$D:$D),"")</f>
        <v/>
      </c>
      <c r="G349" s="3" t="n"/>
      <c r="H349" s="3" t="n"/>
      <c r="I349" s="3" t="n"/>
      <c r="J349" s="3" t="n"/>
      <c r="K349" s="3" t="n"/>
      <c r="L349" s="3" t="n"/>
      <c r="M349" s="3" t="n"/>
      <c r="N349" s="3" t="n"/>
      <c r="O349" s="3" t="n"/>
      <c r="P349" s="3" t="n"/>
      <c r="Q349" s="3" t="n"/>
      <c r="R349" s="3" t="n"/>
    </row>
    <row r="350" ht="25" customHeight="1">
      <c r="A350" s="2">
        <f>IF(B350="","","DS-"&amp;TEXT(ROW()-1,"0000"))</f>
        <v/>
      </c>
      <c r="B350" s="2" t="n"/>
      <c r="C350" s="2">
        <f>IFERROR(XLOOKUP(B350,'Opportunity Scoring'!$A:$A,'Opportunity Scoring'!$B:$B),"")</f>
        <v/>
      </c>
      <c r="D350" s="2" t="n"/>
      <c r="E350" s="2" t="n"/>
      <c r="F350" s="2">
        <f>IFERROR(XLOOKUP(B350,'Opportunity Scoring'!$A:$A,'Opportunity Scoring'!$D:$D),"")</f>
        <v/>
      </c>
      <c r="G350" s="2" t="n"/>
      <c r="H350" s="2" t="n"/>
      <c r="I350" s="2" t="n"/>
      <c r="J350" s="2" t="n"/>
      <c r="K350" s="2" t="n"/>
      <c r="L350" s="2" t="n"/>
      <c r="M350" s="2" t="n"/>
      <c r="N350" s="2" t="n"/>
      <c r="O350" s="2" t="n"/>
      <c r="P350" s="2" t="n"/>
      <c r="Q350" s="2" t="n"/>
      <c r="R350" s="2" t="n"/>
    </row>
    <row r="351" ht="25" customHeight="1">
      <c r="A351" s="3">
        <f>IF(B351="","","DS-"&amp;TEXT(ROW()-1,"0000"))</f>
        <v/>
      </c>
      <c r="B351" s="3" t="n"/>
      <c r="C351" s="3">
        <f>IFERROR(XLOOKUP(B351,'Opportunity Scoring'!$A:$A,'Opportunity Scoring'!$B:$B),"")</f>
        <v/>
      </c>
      <c r="D351" s="3" t="n"/>
      <c r="E351" s="3" t="n"/>
      <c r="F351" s="3">
        <f>IFERROR(XLOOKUP(B351,'Opportunity Scoring'!$A:$A,'Opportunity Scoring'!$D:$D),"")</f>
        <v/>
      </c>
      <c r="G351" s="3" t="n"/>
      <c r="H351" s="3" t="n"/>
      <c r="I351" s="3" t="n"/>
      <c r="J351" s="3" t="n"/>
      <c r="K351" s="3" t="n"/>
      <c r="L351" s="3" t="n"/>
      <c r="M351" s="3" t="n"/>
      <c r="N351" s="3" t="n"/>
      <c r="O351" s="3" t="n"/>
      <c r="P351" s="3" t="n"/>
      <c r="Q351" s="3" t="n"/>
      <c r="R351" s="3" t="n"/>
    </row>
    <row r="352" ht="25" customHeight="1">
      <c r="A352" s="2">
        <f>IF(B352="","","DS-"&amp;TEXT(ROW()-1,"0000"))</f>
        <v/>
      </c>
      <c r="B352" s="2" t="n"/>
      <c r="C352" s="2">
        <f>IFERROR(XLOOKUP(B352,'Opportunity Scoring'!$A:$A,'Opportunity Scoring'!$B:$B),"")</f>
        <v/>
      </c>
      <c r="D352" s="2" t="n"/>
      <c r="E352" s="2" t="n"/>
      <c r="F352" s="2">
        <f>IFERROR(XLOOKUP(B352,'Opportunity Scoring'!$A:$A,'Opportunity Scoring'!$D:$D),"")</f>
        <v/>
      </c>
      <c r="G352" s="2" t="n"/>
      <c r="H352" s="2" t="n"/>
      <c r="I352" s="2" t="n"/>
      <c r="J352" s="2" t="n"/>
      <c r="K352" s="2" t="n"/>
      <c r="L352" s="2" t="n"/>
      <c r="M352" s="2" t="n"/>
      <c r="N352" s="2" t="n"/>
      <c r="O352" s="2" t="n"/>
      <c r="P352" s="2" t="n"/>
      <c r="Q352" s="2" t="n"/>
      <c r="R352" s="2" t="n"/>
    </row>
    <row r="353" ht="25" customHeight="1">
      <c r="A353" s="3">
        <f>IF(B353="","","DS-"&amp;TEXT(ROW()-1,"0000"))</f>
        <v/>
      </c>
      <c r="B353" s="3" t="n"/>
      <c r="C353" s="3">
        <f>IFERROR(XLOOKUP(B353,'Opportunity Scoring'!$A:$A,'Opportunity Scoring'!$B:$B),"")</f>
        <v/>
      </c>
      <c r="D353" s="3" t="n"/>
      <c r="E353" s="3" t="n"/>
      <c r="F353" s="3">
        <f>IFERROR(XLOOKUP(B353,'Opportunity Scoring'!$A:$A,'Opportunity Scoring'!$D:$D),"")</f>
        <v/>
      </c>
      <c r="G353" s="3" t="n"/>
      <c r="H353" s="3" t="n"/>
      <c r="I353" s="3" t="n"/>
      <c r="J353" s="3" t="n"/>
      <c r="K353" s="3" t="n"/>
      <c r="L353" s="3" t="n"/>
      <c r="M353" s="3" t="n"/>
      <c r="N353" s="3" t="n"/>
      <c r="O353" s="3" t="n"/>
      <c r="P353" s="3" t="n"/>
      <c r="Q353" s="3" t="n"/>
      <c r="R353" s="3" t="n"/>
    </row>
    <row r="354" ht="25" customHeight="1">
      <c r="A354" s="2">
        <f>IF(B354="","","DS-"&amp;TEXT(ROW()-1,"0000"))</f>
        <v/>
      </c>
      <c r="B354" s="2" t="n"/>
      <c r="C354" s="2">
        <f>IFERROR(XLOOKUP(B354,'Opportunity Scoring'!$A:$A,'Opportunity Scoring'!$B:$B),"")</f>
        <v/>
      </c>
      <c r="D354" s="2" t="n"/>
      <c r="E354" s="2" t="n"/>
      <c r="F354" s="2">
        <f>IFERROR(XLOOKUP(B354,'Opportunity Scoring'!$A:$A,'Opportunity Scoring'!$D:$D),"")</f>
        <v/>
      </c>
      <c r="G354" s="2" t="n"/>
      <c r="H354" s="2" t="n"/>
      <c r="I354" s="2" t="n"/>
      <c r="J354" s="2" t="n"/>
      <c r="K354" s="2" t="n"/>
      <c r="L354" s="2" t="n"/>
      <c r="M354" s="2" t="n"/>
      <c r="N354" s="2" t="n"/>
      <c r="O354" s="2" t="n"/>
      <c r="P354" s="2" t="n"/>
      <c r="Q354" s="2" t="n"/>
      <c r="R354" s="2" t="n"/>
    </row>
    <row r="355" ht="25" customHeight="1">
      <c r="A355" s="3">
        <f>IF(B355="","","DS-"&amp;TEXT(ROW()-1,"0000"))</f>
        <v/>
      </c>
      <c r="B355" s="3" t="n"/>
      <c r="C355" s="3">
        <f>IFERROR(XLOOKUP(B355,'Opportunity Scoring'!$A:$A,'Opportunity Scoring'!$B:$B),"")</f>
        <v/>
      </c>
      <c r="D355" s="3" t="n"/>
      <c r="E355" s="3" t="n"/>
      <c r="F355" s="3">
        <f>IFERROR(XLOOKUP(B355,'Opportunity Scoring'!$A:$A,'Opportunity Scoring'!$D:$D),"")</f>
        <v/>
      </c>
      <c r="G355" s="3" t="n"/>
      <c r="H355" s="3" t="n"/>
      <c r="I355" s="3" t="n"/>
      <c r="J355" s="3" t="n"/>
      <c r="K355" s="3" t="n"/>
      <c r="L355" s="3" t="n"/>
      <c r="M355" s="3" t="n"/>
      <c r="N355" s="3" t="n"/>
      <c r="O355" s="3" t="n"/>
      <c r="P355" s="3" t="n"/>
      <c r="Q355" s="3" t="n"/>
      <c r="R355" s="3" t="n"/>
    </row>
    <row r="356" ht="25" customHeight="1">
      <c r="A356" s="2">
        <f>IF(B356="","","DS-"&amp;TEXT(ROW()-1,"0000"))</f>
        <v/>
      </c>
      <c r="B356" s="2" t="n"/>
      <c r="C356" s="2">
        <f>IFERROR(XLOOKUP(B356,'Opportunity Scoring'!$A:$A,'Opportunity Scoring'!$B:$B),"")</f>
        <v/>
      </c>
      <c r="D356" s="2" t="n"/>
      <c r="E356" s="2" t="n"/>
      <c r="F356" s="2">
        <f>IFERROR(XLOOKUP(B356,'Opportunity Scoring'!$A:$A,'Opportunity Scoring'!$D:$D),"")</f>
        <v/>
      </c>
      <c r="G356" s="2" t="n"/>
      <c r="H356" s="2" t="n"/>
      <c r="I356" s="2" t="n"/>
      <c r="J356" s="2" t="n"/>
      <c r="K356" s="2" t="n"/>
      <c r="L356" s="2" t="n"/>
      <c r="M356" s="2" t="n"/>
      <c r="N356" s="2" t="n"/>
      <c r="O356" s="2" t="n"/>
      <c r="P356" s="2" t="n"/>
      <c r="Q356" s="2" t="n"/>
      <c r="R356" s="2" t="n"/>
    </row>
    <row r="357" ht="25" customHeight="1">
      <c r="A357" s="3">
        <f>IF(B357="","","DS-"&amp;TEXT(ROW()-1,"0000"))</f>
        <v/>
      </c>
      <c r="B357" s="3" t="n"/>
      <c r="C357" s="3">
        <f>IFERROR(XLOOKUP(B357,'Opportunity Scoring'!$A:$A,'Opportunity Scoring'!$B:$B),"")</f>
        <v/>
      </c>
      <c r="D357" s="3" t="n"/>
      <c r="E357" s="3" t="n"/>
      <c r="F357" s="3">
        <f>IFERROR(XLOOKUP(B357,'Opportunity Scoring'!$A:$A,'Opportunity Scoring'!$D:$D),"")</f>
        <v/>
      </c>
      <c r="G357" s="3" t="n"/>
      <c r="H357" s="3" t="n"/>
      <c r="I357" s="3" t="n"/>
      <c r="J357" s="3" t="n"/>
      <c r="K357" s="3" t="n"/>
      <c r="L357" s="3" t="n"/>
      <c r="M357" s="3" t="n"/>
      <c r="N357" s="3" t="n"/>
      <c r="O357" s="3" t="n"/>
      <c r="P357" s="3" t="n"/>
      <c r="Q357" s="3" t="n"/>
      <c r="R357" s="3" t="n"/>
    </row>
    <row r="358" ht="25" customHeight="1">
      <c r="A358" s="2">
        <f>IF(B358="","","DS-"&amp;TEXT(ROW()-1,"0000"))</f>
        <v/>
      </c>
      <c r="B358" s="2" t="n"/>
      <c r="C358" s="2">
        <f>IFERROR(XLOOKUP(B358,'Opportunity Scoring'!$A:$A,'Opportunity Scoring'!$B:$B),"")</f>
        <v/>
      </c>
      <c r="D358" s="2" t="n"/>
      <c r="E358" s="2" t="n"/>
      <c r="F358" s="2">
        <f>IFERROR(XLOOKUP(B358,'Opportunity Scoring'!$A:$A,'Opportunity Scoring'!$D:$D),"")</f>
        <v/>
      </c>
      <c r="G358" s="2" t="n"/>
      <c r="H358" s="2" t="n"/>
      <c r="I358" s="2" t="n"/>
      <c r="J358" s="2" t="n"/>
      <c r="K358" s="2" t="n"/>
      <c r="L358" s="2" t="n"/>
      <c r="M358" s="2" t="n"/>
      <c r="N358" s="2" t="n"/>
      <c r="O358" s="2" t="n"/>
      <c r="P358" s="2" t="n"/>
      <c r="Q358" s="2" t="n"/>
      <c r="R358" s="2" t="n"/>
    </row>
    <row r="359" ht="25" customHeight="1">
      <c r="A359" s="3">
        <f>IF(B359="","","DS-"&amp;TEXT(ROW()-1,"0000"))</f>
        <v/>
      </c>
      <c r="B359" s="3" t="n"/>
      <c r="C359" s="3">
        <f>IFERROR(XLOOKUP(B359,'Opportunity Scoring'!$A:$A,'Opportunity Scoring'!$B:$B),"")</f>
        <v/>
      </c>
      <c r="D359" s="3" t="n"/>
      <c r="E359" s="3" t="n"/>
      <c r="F359" s="3">
        <f>IFERROR(XLOOKUP(B359,'Opportunity Scoring'!$A:$A,'Opportunity Scoring'!$D:$D),"")</f>
        <v/>
      </c>
      <c r="G359" s="3" t="n"/>
      <c r="H359" s="3" t="n"/>
      <c r="I359" s="3" t="n"/>
      <c r="J359" s="3" t="n"/>
      <c r="K359" s="3" t="n"/>
      <c r="L359" s="3" t="n"/>
      <c r="M359" s="3" t="n"/>
      <c r="N359" s="3" t="n"/>
      <c r="O359" s="3" t="n"/>
      <c r="P359" s="3" t="n"/>
      <c r="Q359" s="3" t="n"/>
      <c r="R359" s="3" t="n"/>
    </row>
    <row r="360" ht="25" customHeight="1">
      <c r="A360" s="2">
        <f>IF(B360="","","DS-"&amp;TEXT(ROW()-1,"0000"))</f>
        <v/>
      </c>
      <c r="B360" s="2" t="n"/>
      <c r="C360" s="2">
        <f>IFERROR(XLOOKUP(B360,'Opportunity Scoring'!$A:$A,'Opportunity Scoring'!$B:$B),"")</f>
        <v/>
      </c>
      <c r="D360" s="2" t="n"/>
      <c r="E360" s="2" t="n"/>
      <c r="F360" s="2">
        <f>IFERROR(XLOOKUP(B360,'Opportunity Scoring'!$A:$A,'Opportunity Scoring'!$D:$D),"")</f>
        <v/>
      </c>
      <c r="G360" s="2" t="n"/>
      <c r="H360" s="2" t="n"/>
      <c r="I360" s="2" t="n"/>
      <c r="J360" s="2" t="n"/>
      <c r="K360" s="2" t="n"/>
      <c r="L360" s="2" t="n"/>
      <c r="M360" s="2" t="n"/>
      <c r="N360" s="2" t="n"/>
      <c r="O360" s="2" t="n"/>
      <c r="P360" s="2" t="n"/>
      <c r="Q360" s="2" t="n"/>
      <c r="R360" s="2" t="n"/>
    </row>
    <row r="361" ht="25" customHeight="1">
      <c r="A361" s="3">
        <f>IF(B361="","","DS-"&amp;TEXT(ROW()-1,"0000"))</f>
        <v/>
      </c>
      <c r="B361" s="3" t="n"/>
      <c r="C361" s="3">
        <f>IFERROR(XLOOKUP(B361,'Opportunity Scoring'!$A:$A,'Opportunity Scoring'!$B:$B),"")</f>
        <v/>
      </c>
      <c r="D361" s="3" t="n"/>
      <c r="E361" s="3" t="n"/>
      <c r="F361" s="3">
        <f>IFERROR(XLOOKUP(B361,'Opportunity Scoring'!$A:$A,'Opportunity Scoring'!$D:$D),"")</f>
        <v/>
      </c>
      <c r="G361" s="3" t="n"/>
      <c r="H361" s="3" t="n"/>
      <c r="I361" s="3" t="n"/>
      <c r="J361" s="3" t="n"/>
      <c r="K361" s="3" t="n"/>
      <c r="L361" s="3" t="n"/>
      <c r="M361" s="3" t="n"/>
      <c r="N361" s="3" t="n"/>
      <c r="O361" s="3" t="n"/>
      <c r="P361" s="3" t="n"/>
      <c r="Q361" s="3" t="n"/>
      <c r="R361" s="3" t="n"/>
    </row>
    <row r="362" ht="25" customHeight="1">
      <c r="A362" s="2">
        <f>IF(B362="","","DS-"&amp;TEXT(ROW()-1,"0000"))</f>
        <v/>
      </c>
      <c r="B362" s="2" t="n"/>
      <c r="C362" s="2">
        <f>IFERROR(XLOOKUP(B362,'Opportunity Scoring'!$A:$A,'Opportunity Scoring'!$B:$B),"")</f>
        <v/>
      </c>
      <c r="D362" s="2" t="n"/>
      <c r="E362" s="2" t="n"/>
      <c r="F362" s="2">
        <f>IFERROR(XLOOKUP(B362,'Opportunity Scoring'!$A:$A,'Opportunity Scoring'!$D:$D),"")</f>
        <v/>
      </c>
      <c r="G362" s="2" t="n"/>
      <c r="H362" s="2" t="n"/>
      <c r="I362" s="2" t="n"/>
      <c r="J362" s="2" t="n"/>
      <c r="K362" s="2" t="n"/>
      <c r="L362" s="2" t="n"/>
      <c r="M362" s="2" t="n"/>
      <c r="N362" s="2" t="n"/>
      <c r="O362" s="2" t="n"/>
      <c r="P362" s="2" t="n"/>
      <c r="Q362" s="2" t="n"/>
      <c r="R362" s="2" t="n"/>
    </row>
    <row r="363" ht="25" customHeight="1">
      <c r="A363" s="3">
        <f>IF(B363="","","DS-"&amp;TEXT(ROW()-1,"0000"))</f>
        <v/>
      </c>
      <c r="B363" s="3" t="n"/>
      <c r="C363" s="3">
        <f>IFERROR(XLOOKUP(B363,'Opportunity Scoring'!$A:$A,'Opportunity Scoring'!$B:$B),"")</f>
        <v/>
      </c>
      <c r="D363" s="3" t="n"/>
      <c r="E363" s="3" t="n"/>
      <c r="F363" s="3">
        <f>IFERROR(XLOOKUP(B363,'Opportunity Scoring'!$A:$A,'Opportunity Scoring'!$D:$D),"")</f>
        <v/>
      </c>
      <c r="G363" s="3" t="n"/>
      <c r="H363" s="3" t="n"/>
      <c r="I363" s="3" t="n"/>
      <c r="J363" s="3" t="n"/>
      <c r="K363" s="3" t="n"/>
      <c r="L363" s="3" t="n"/>
      <c r="M363" s="3" t="n"/>
      <c r="N363" s="3" t="n"/>
      <c r="O363" s="3" t="n"/>
      <c r="P363" s="3" t="n"/>
      <c r="Q363" s="3" t="n"/>
      <c r="R363" s="3" t="n"/>
    </row>
    <row r="364" ht="25" customHeight="1">
      <c r="A364" s="2">
        <f>IF(B364="","","DS-"&amp;TEXT(ROW()-1,"0000"))</f>
        <v/>
      </c>
      <c r="B364" s="2" t="n"/>
      <c r="C364" s="2">
        <f>IFERROR(XLOOKUP(B364,'Opportunity Scoring'!$A:$A,'Opportunity Scoring'!$B:$B),"")</f>
        <v/>
      </c>
      <c r="D364" s="2" t="n"/>
      <c r="E364" s="2" t="n"/>
      <c r="F364" s="2">
        <f>IFERROR(XLOOKUP(B364,'Opportunity Scoring'!$A:$A,'Opportunity Scoring'!$D:$D),"")</f>
        <v/>
      </c>
      <c r="G364" s="2" t="n"/>
      <c r="H364" s="2" t="n"/>
      <c r="I364" s="2" t="n"/>
      <c r="J364" s="2" t="n"/>
      <c r="K364" s="2" t="n"/>
      <c r="L364" s="2" t="n"/>
      <c r="M364" s="2" t="n"/>
      <c r="N364" s="2" t="n"/>
      <c r="O364" s="2" t="n"/>
      <c r="P364" s="2" t="n"/>
      <c r="Q364" s="2" t="n"/>
      <c r="R364" s="2" t="n"/>
    </row>
    <row r="365" ht="25" customHeight="1">
      <c r="A365" s="3">
        <f>IF(B365="","","DS-"&amp;TEXT(ROW()-1,"0000"))</f>
        <v/>
      </c>
      <c r="B365" s="3" t="n"/>
      <c r="C365" s="3">
        <f>IFERROR(XLOOKUP(B365,'Opportunity Scoring'!$A:$A,'Opportunity Scoring'!$B:$B),"")</f>
        <v/>
      </c>
      <c r="D365" s="3" t="n"/>
      <c r="E365" s="3" t="n"/>
      <c r="F365" s="3">
        <f>IFERROR(XLOOKUP(B365,'Opportunity Scoring'!$A:$A,'Opportunity Scoring'!$D:$D),"")</f>
        <v/>
      </c>
      <c r="G365" s="3" t="n"/>
      <c r="H365" s="3" t="n"/>
      <c r="I365" s="3" t="n"/>
      <c r="J365" s="3" t="n"/>
      <c r="K365" s="3" t="n"/>
      <c r="L365" s="3" t="n"/>
      <c r="M365" s="3" t="n"/>
      <c r="N365" s="3" t="n"/>
      <c r="O365" s="3" t="n"/>
      <c r="P365" s="3" t="n"/>
      <c r="Q365" s="3" t="n"/>
      <c r="R365" s="3" t="n"/>
    </row>
    <row r="366" ht="25" customHeight="1">
      <c r="A366" s="2">
        <f>IF(B366="","","DS-"&amp;TEXT(ROW()-1,"0000"))</f>
        <v/>
      </c>
      <c r="B366" s="2" t="n"/>
      <c r="C366" s="2">
        <f>IFERROR(XLOOKUP(B366,'Opportunity Scoring'!$A:$A,'Opportunity Scoring'!$B:$B),"")</f>
        <v/>
      </c>
      <c r="D366" s="2" t="n"/>
      <c r="E366" s="2" t="n"/>
      <c r="F366" s="2">
        <f>IFERROR(XLOOKUP(B366,'Opportunity Scoring'!$A:$A,'Opportunity Scoring'!$D:$D),"")</f>
        <v/>
      </c>
      <c r="G366" s="2" t="n"/>
      <c r="H366" s="2" t="n"/>
      <c r="I366" s="2" t="n"/>
      <c r="J366" s="2" t="n"/>
      <c r="K366" s="2" t="n"/>
      <c r="L366" s="2" t="n"/>
      <c r="M366" s="2" t="n"/>
      <c r="N366" s="2" t="n"/>
      <c r="O366" s="2" t="n"/>
      <c r="P366" s="2" t="n"/>
      <c r="Q366" s="2" t="n"/>
      <c r="R366" s="2" t="n"/>
    </row>
    <row r="367" ht="25" customHeight="1">
      <c r="A367" s="3">
        <f>IF(B367="","","DS-"&amp;TEXT(ROW()-1,"0000"))</f>
        <v/>
      </c>
      <c r="B367" s="3" t="n"/>
      <c r="C367" s="3">
        <f>IFERROR(XLOOKUP(B367,'Opportunity Scoring'!$A:$A,'Opportunity Scoring'!$B:$B),"")</f>
        <v/>
      </c>
      <c r="D367" s="3" t="n"/>
      <c r="E367" s="3" t="n"/>
      <c r="F367" s="3">
        <f>IFERROR(XLOOKUP(B367,'Opportunity Scoring'!$A:$A,'Opportunity Scoring'!$D:$D),"")</f>
        <v/>
      </c>
      <c r="G367" s="3" t="n"/>
      <c r="H367" s="3" t="n"/>
      <c r="I367" s="3" t="n"/>
      <c r="J367" s="3" t="n"/>
      <c r="K367" s="3" t="n"/>
      <c r="L367" s="3" t="n"/>
      <c r="M367" s="3" t="n"/>
      <c r="N367" s="3" t="n"/>
      <c r="O367" s="3" t="n"/>
      <c r="P367" s="3" t="n"/>
      <c r="Q367" s="3" t="n"/>
      <c r="R367" s="3" t="n"/>
    </row>
    <row r="368" ht="25" customHeight="1">
      <c r="A368" s="2">
        <f>IF(B368="","","DS-"&amp;TEXT(ROW()-1,"0000"))</f>
        <v/>
      </c>
      <c r="B368" s="2" t="n"/>
      <c r="C368" s="2">
        <f>IFERROR(XLOOKUP(B368,'Opportunity Scoring'!$A:$A,'Opportunity Scoring'!$B:$B),"")</f>
        <v/>
      </c>
      <c r="D368" s="2" t="n"/>
      <c r="E368" s="2" t="n"/>
      <c r="F368" s="2">
        <f>IFERROR(XLOOKUP(B368,'Opportunity Scoring'!$A:$A,'Opportunity Scoring'!$D:$D),"")</f>
        <v/>
      </c>
      <c r="G368" s="2" t="n"/>
      <c r="H368" s="2" t="n"/>
      <c r="I368" s="2" t="n"/>
      <c r="J368" s="2" t="n"/>
      <c r="K368" s="2" t="n"/>
      <c r="L368" s="2" t="n"/>
      <c r="M368" s="2" t="n"/>
      <c r="N368" s="2" t="n"/>
      <c r="O368" s="2" t="n"/>
      <c r="P368" s="2" t="n"/>
      <c r="Q368" s="2" t="n"/>
      <c r="R368" s="2" t="n"/>
    </row>
    <row r="369" ht="25" customHeight="1">
      <c r="A369" s="3">
        <f>IF(B369="","","DS-"&amp;TEXT(ROW()-1,"0000"))</f>
        <v/>
      </c>
      <c r="B369" s="3" t="n"/>
      <c r="C369" s="3">
        <f>IFERROR(XLOOKUP(B369,'Opportunity Scoring'!$A:$A,'Opportunity Scoring'!$B:$B),"")</f>
        <v/>
      </c>
      <c r="D369" s="3" t="n"/>
      <c r="E369" s="3" t="n"/>
      <c r="F369" s="3">
        <f>IFERROR(XLOOKUP(B369,'Opportunity Scoring'!$A:$A,'Opportunity Scoring'!$D:$D),"")</f>
        <v/>
      </c>
      <c r="G369" s="3" t="n"/>
      <c r="H369" s="3" t="n"/>
      <c r="I369" s="3" t="n"/>
      <c r="J369" s="3" t="n"/>
      <c r="K369" s="3" t="n"/>
      <c r="L369" s="3" t="n"/>
      <c r="M369" s="3" t="n"/>
      <c r="N369" s="3" t="n"/>
      <c r="O369" s="3" t="n"/>
      <c r="P369" s="3" t="n"/>
      <c r="Q369" s="3" t="n"/>
      <c r="R369" s="3" t="n"/>
    </row>
    <row r="370" ht="25" customHeight="1">
      <c r="A370" s="2">
        <f>IF(B370="","","DS-"&amp;TEXT(ROW()-1,"0000"))</f>
        <v/>
      </c>
      <c r="B370" s="2" t="n"/>
      <c r="C370" s="2">
        <f>IFERROR(XLOOKUP(B370,'Opportunity Scoring'!$A:$A,'Opportunity Scoring'!$B:$B),"")</f>
        <v/>
      </c>
      <c r="D370" s="2" t="n"/>
      <c r="E370" s="2" t="n"/>
      <c r="F370" s="2">
        <f>IFERROR(XLOOKUP(B370,'Opportunity Scoring'!$A:$A,'Opportunity Scoring'!$D:$D),"")</f>
        <v/>
      </c>
      <c r="G370" s="2" t="n"/>
      <c r="H370" s="2" t="n"/>
      <c r="I370" s="2" t="n"/>
      <c r="J370" s="2" t="n"/>
      <c r="K370" s="2" t="n"/>
      <c r="L370" s="2" t="n"/>
      <c r="M370" s="2" t="n"/>
      <c r="N370" s="2" t="n"/>
      <c r="O370" s="2" t="n"/>
      <c r="P370" s="2" t="n"/>
      <c r="Q370" s="2" t="n"/>
      <c r="R370" s="2" t="n"/>
    </row>
    <row r="371" ht="25" customHeight="1">
      <c r="A371" s="3">
        <f>IF(B371="","","DS-"&amp;TEXT(ROW()-1,"0000"))</f>
        <v/>
      </c>
      <c r="B371" s="3" t="n"/>
      <c r="C371" s="3">
        <f>IFERROR(XLOOKUP(B371,'Opportunity Scoring'!$A:$A,'Opportunity Scoring'!$B:$B),"")</f>
        <v/>
      </c>
      <c r="D371" s="3" t="n"/>
      <c r="E371" s="3" t="n"/>
      <c r="F371" s="3">
        <f>IFERROR(XLOOKUP(B371,'Opportunity Scoring'!$A:$A,'Opportunity Scoring'!$D:$D),"")</f>
        <v/>
      </c>
      <c r="G371" s="3" t="n"/>
      <c r="H371" s="3" t="n"/>
      <c r="I371" s="3" t="n"/>
      <c r="J371" s="3" t="n"/>
      <c r="K371" s="3" t="n"/>
      <c r="L371" s="3" t="n"/>
      <c r="M371" s="3" t="n"/>
      <c r="N371" s="3" t="n"/>
      <c r="O371" s="3" t="n"/>
      <c r="P371" s="3" t="n"/>
      <c r="Q371" s="3" t="n"/>
      <c r="R371" s="3" t="n"/>
    </row>
    <row r="372" ht="25" customHeight="1">
      <c r="A372" s="2">
        <f>IF(B372="","","DS-"&amp;TEXT(ROW()-1,"0000"))</f>
        <v/>
      </c>
      <c r="B372" s="2" t="n"/>
      <c r="C372" s="2">
        <f>IFERROR(XLOOKUP(B372,'Opportunity Scoring'!$A:$A,'Opportunity Scoring'!$B:$B),"")</f>
        <v/>
      </c>
      <c r="D372" s="2" t="n"/>
      <c r="E372" s="2" t="n"/>
      <c r="F372" s="2">
        <f>IFERROR(XLOOKUP(B372,'Opportunity Scoring'!$A:$A,'Opportunity Scoring'!$D:$D),"")</f>
        <v/>
      </c>
      <c r="G372" s="2" t="n"/>
      <c r="H372" s="2" t="n"/>
      <c r="I372" s="2" t="n"/>
      <c r="J372" s="2" t="n"/>
      <c r="K372" s="2" t="n"/>
      <c r="L372" s="2" t="n"/>
      <c r="M372" s="2" t="n"/>
      <c r="N372" s="2" t="n"/>
      <c r="O372" s="2" t="n"/>
      <c r="P372" s="2" t="n"/>
      <c r="Q372" s="2" t="n"/>
      <c r="R372" s="2" t="n"/>
    </row>
    <row r="373" ht="25" customHeight="1">
      <c r="A373" s="3">
        <f>IF(B373="","","DS-"&amp;TEXT(ROW()-1,"0000"))</f>
        <v/>
      </c>
      <c r="B373" s="3" t="n"/>
      <c r="C373" s="3">
        <f>IFERROR(XLOOKUP(B373,'Opportunity Scoring'!$A:$A,'Opportunity Scoring'!$B:$B),"")</f>
        <v/>
      </c>
      <c r="D373" s="3" t="n"/>
      <c r="E373" s="3" t="n"/>
      <c r="F373" s="3">
        <f>IFERROR(XLOOKUP(B373,'Opportunity Scoring'!$A:$A,'Opportunity Scoring'!$D:$D),"")</f>
        <v/>
      </c>
      <c r="G373" s="3" t="n"/>
      <c r="H373" s="3" t="n"/>
      <c r="I373" s="3" t="n"/>
      <c r="J373" s="3" t="n"/>
      <c r="K373" s="3" t="n"/>
      <c r="L373" s="3" t="n"/>
      <c r="M373" s="3" t="n"/>
      <c r="N373" s="3" t="n"/>
      <c r="O373" s="3" t="n"/>
      <c r="P373" s="3" t="n"/>
      <c r="Q373" s="3" t="n"/>
      <c r="R373" s="3" t="n"/>
    </row>
    <row r="374" ht="25" customHeight="1">
      <c r="A374" s="2">
        <f>IF(B374="","","DS-"&amp;TEXT(ROW()-1,"0000"))</f>
        <v/>
      </c>
      <c r="B374" s="2" t="n"/>
      <c r="C374" s="2">
        <f>IFERROR(XLOOKUP(B374,'Opportunity Scoring'!$A:$A,'Opportunity Scoring'!$B:$B),"")</f>
        <v/>
      </c>
      <c r="D374" s="2" t="n"/>
      <c r="E374" s="2" t="n"/>
      <c r="F374" s="2">
        <f>IFERROR(XLOOKUP(B374,'Opportunity Scoring'!$A:$A,'Opportunity Scoring'!$D:$D),"")</f>
        <v/>
      </c>
      <c r="G374" s="2" t="n"/>
      <c r="H374" s="2" t="n"/>
      <c r="I374" s="2" t="n"/>
      <c r="J374" s="2" t="n"/>
      <c r="K374" s="2" t="n"/>
      <c r="L374" s="2" t="n"/>
      <c r="M374" s="2" t="n"/>
      <c r="N374" s="2" t="n"/>
      <c r="O374" s="2" t="n"/>
      <c r="P374" s="2" t="n"/>
      <c r="Q374" s="2" t="n"/>
      <c r="R374" s="2" t="n"/>
    </row>
    <row r="375" ht="25" customHeight="1">
      <c r="A375" s="3">
        <f>IF(B375="","","DS-"&amp;TEXT(ROW()-1,"0000"))</f>
        <v/>
      </c>
      <c r="B375" s="3" t="n"/>
      <c r="C375" s="3">
        <f>IFERROR(XLOOKUP(B375,'Opportunity Scoring'!$A:$A,'Opportunity Scoring'!$B:$B),"")</f>
        <v/>
      </c>
      <c r="D375" s="3" t="n"/>
      <c r="E375" s="3" t="n"/>
      <c r="F375" s="3">
        <f>IFERROR(XLOOKUP(B375,'Opportunity Scoring'!$A:$A,'Opportunity Scoring'!$D:$D),"")</f>
        <v/>
      </c>
      <c r="G375" s="3" t="n"/>
      <c r="H375" s="3" t="n"/>
      <c r="I375" s="3" t="n"/>
      <c r="J375" s="3" t="n"/>
      <c r="K375" s="3" t="n"/>
      <c r="L375" s="3" t="n"/>
      <c r="M375" s="3" t="n"/>
      <c r="N375" s="3" t="n"/>
      <c r="O375" s="3" t="n"/>
      <c r="P375" s="3" t="n"/>
      <c r="Q375" s="3" t="n"/>
      <c r="R375" s="3" t="n"/>
    </row>
    <row r="376" ht="25" customHeight="1">
      <c r="A376" s="2">
        <f>IF(B376="","","DS-"&amp;TEXT(ROW()-1,"0000"))</f>
        <v/>
      </c>
      <c r="B376" s="2" t="n"/>
      <c r="C376" s="2">
        <f>IFERROR(XLOOKUP(B376,'Opportunity Scoring'!$A:$A,'Opportunity Scoring'!$B:$B),"")</f>
        <v/>
      </c>
      <c r="D376" s="2" t="n"/>
      <c r="E376" s="2" t="n"/>
      <c r="F376" s="2">
        <f>IFERROR(XLOOKUP(B376,'Opportunity Scoring'!$A:$A,'Opportunity Scoring'!$D:$D),"")</f>
        <v/>
      </c>
      <c r="G376" s="2" t="n"/>
      <c r="H376" s="2" t="n"/>
      <c r="I376" s="2" t="n"/>
      <c r="J376" s="2" t="n"/>
      <c r="K376" s="2" t="n"/>
      <c r="L376" s="2" t="n"/>
      <c r="M376" s="2" t="n"/>
      <c r="N376" s="2" t="n"/>
      <c r="O376" s="2" t="n"/>
      <c r="P376" s="2" t="n"/>
      <c r="Q376" s="2" t="n"/>
      <c r="R376" s="2" t="n"/>
    </row>
    <row r="377" ht="25" customHeight="1">
      <c r="A377" s="3">
        <f>IF(B377="","","DS-"&amp;TEXT(ROW()-1,"0000"))</f>
        <v/>
      </c>
      <c r="B377" s="3" t="n"/>
      <c r="C377" s="3">
        <f>IFERROR(XLOOKUP(B377,'Opportunity Scoring'!$A:$A,'Opportunity Scoring'!$B:$B),"")</f>
        <v/>
      </c>
      <c r="D377" s="3" t="n"/>
      <c r="E377" s="3" t="n"/>
      <c r="F377" s="3">
        <f>IFERROR(XLOOKUP(B377,'Opportunity Scoring'!$A:$A,'Opportunity Scoring'!$D:$D),"")</f>
        <v/>
      </c>
      <c r="G377" s="3" t="n"/>
      <c r="H377" s="3" t="n"/>
      <c r="I377" s="3" t="n"/>
      <c r="J377" s="3" t="n"/>
      <c r="K377" s="3" t="n"/>
      <c r="L377" s="3" t="n"/>
      <c r="M377" s="3" t="n"/>
      <c r="N377" s="3" t="n"/>
      <c r="O377" s="3" t="n"/>
      <c r="P377" s="3" t="n"/>
      <c r="Q377" s="3" t="n"/>
      <c r="R377" s="3" t="n"/>
    </row>
    <row r="378" ht="25" customHeight="1">
      <c r="A378" s="2">
        <f>IF(B378="","","DS-"&amp;TEXT(ROW()-1,"0000"))</f>
        <v/>
      </c>
      <c r="B378" s="2" t="n"/>
      <c r="C378" s="2">
        <f>IFERROR(XLOOKUP(B378,'Opportunity Scoring'!$A:$A,'Opportunity Scoring'!$B:$B),"")</f>
        <v/>
      </c>
      <c r="D378" s="2" t="n"/>
      <c r="E378" s="2" t="n"/>
      <c r="F378" s="2">
        <f>IFERROR(XLOOKUP(B378,'Opportunity Scoring'!$A:$A,'Opportunity Scoring'!$D:$D),"")</f>
        <v/>
      </c>
      <c r="G378" s="2" t="n"/>
      <c r="H378" s="2" t="n"/>
      <c r="I378" s="2" t="n"/>
      <c r="J378" s="2" t="n"/>
      <c r="K378" s="2" t="n"/>
      <c r="L378" s="2" t="n"/>
      <c r="M378" s="2" t="n"/>
      <c r="N378" s="2" t="n"/>
      <c r="O378" s="2" t="n"/>
      <c r="P378" s="2" t="n"/>
      <c r="Q378" s="2" t="n"/>
      <c r="R378" s="2" t="n"/>
    </row>
    <row r="379" ht="25" customHeight="1">
      <c r="A379" s="3">
        <f>IF(B379="","","DS-"&amp;TEXT(ROW()-1,"0000"))</f>
        <v/>
      </c>
      <c r="B379" s="3" t="n"/>
      <c r="C379" s="3">
        <f>IFERROR(XLOOKUP(B379,'Opportunity Scoring'!$A:$A,'Opportunity Scoring'!$B:$B),"")</f>
        <v/>
      </c>
      <c r="D379" s="3" t="n"/>
      <c r="E379" s="3" t="n"/>
      <c r="F379" s="3">
        <f>IFERROR(XLOOKUP(B379,'Opportunity Scoring'!$A:$A,'Opportunity Scoring'!$D:$D),"")</f>
        <v/>
      </c>
      <c r="G379" s="3" t="n"/>
      <c r="H379" s="3" t="n"/>
      <c r="I379" s="3" t="n"/>
      <c r="J379" s="3" t="n"/>
      <c r="K379" s="3" t="n"/>
      <c r="L379" s="3" t="n"/>
      <c r="M379" s="3" t="n"/>
      <c r="N379" s="3" t="n"/>
      <c r="O379" s="3" t="n"/>
      <c r="P379" s="3" t="n"/>
      <c r="Q379" s="3" t="n"/>
      <c r="R379" s="3" t="n"/>
    </row>
    <row r="380" ht="25" customHeight="1">
      <c r="A380" s="2">
        <f>IF(B380="","","DS-"&amp;TEXT(ROW()-1,"0000"))</f>
        <v/>
      </c>
      <c r="B380" s="2" t="n"/>
      <c r="C380" s="2">
        <f>IFERROR(XLOOKUP(B380,'Opportunity Scoring'!$A:$A,'Opportunity Scoring'!$B:$B),"")</f>
        <v/>
      </c>
      <c r="D380" s="2" t="n"/>
      <c r="E380" s="2" t="n"/>
      <c r="F380" s="2">
        <f>IFERROR(XLOOKUP(B380,'Opportunity Scoring'!$A:$A,'Opportunity Scoring'!$D:$D),"")</f>
        <v/>
      </c>
      <c r="G380" s="2" t="n"/>
      <c r="H380" s="2" t="n"/>
      <c r="I380" s="2" t="n"/>
      <c r="J380" s="2" t="n"/>
      <c r="K380" s="2" t="n"/>
      <c r="L380" s="2" t="n"/>
      <c r="M380" s="2" t="n"/>
      <c r="N380" s="2" t="n"/>
      <c r="O380" s="2" t="n"/>
      <c r="P380" s="2" t="n"/>
      <c r="Q380" s="2" t="n"/>
      <c r="R380" s="2" t="n"/>
    </row>
    <row r="381" ht="25" customHeight="1">
      <c r="A381" s="3">
        <f>IF(B381="","","DS-"&amp;TEXT(ROW()-1,"0000"))</f>
        <v/>
      </c>
      <c r="B381" s="3" t="n"/>
      <c r="C381" s="3">
        <f>IFERROR(XLOOKUP(B381,'Opportunity Scoring'!$A:$A,'Opportunity Scoring'!$B:$B),"")</f>
        <v/>
      </c>
      <c r="D381" s="3" t="n"/>
      <c r="E381" s="3" t="n"/>
      <c r="F381" s="3">
        <f>IFERROR(XLOOKUP(B381,'Opportunity Scoring'!$A:$A,'Opportunity Scoring'!$D:$D),"")</f>
        <v/>
      </c>
      <c r="G381" s="3" t="n"/>
      <c r="H381" s="3" t="n"/>
      <c r="I381" s="3" t="n"/>
      <c r="J381" s="3" t="n"/>
      <c r="K381" s="3" t="n"/>
      <c r="L381" s="3" t="n"/>
      <c r="M381" s="3" t="n"/>
      <c r="N381" s="3" t="n"/>
      <c r="O381" s="3" t="n"/>
      <c r="P381" s="3" t="n"/>
      <c r="Q381" s="3" t="n"/>
      <c r="R381" s="3" t="n"/>
    </row>
    <row r="382" ht="25" customHeight="1">
      <c r="A382" s="2">
        <f>IF(B382="","","DS-"&amp;TEXT(ROW()-1,"0000"))</f>
        <v/>
      </c>
      <c r="B382" s="2" t="n"/>
      <c r="C382" s="2">
        <f>IFERROR(XLOOKUP(B382,'Opportunity Scoring'!$A:$A,'Opportunity Scoring'!$B:$B),"")</f>
        <v/>
      </c>
      <c r="D382" s="2" t="n"/>
      <c r="E382" s="2" t="n"/>
      <c r="F382" s="2">
        <f>IFERROR(XLOOKUP(B382,'Opportunity Scoring'!$A:$A,'Opportunity Scoring'!$D:$D),"")</f>
        <v/>
      </c>
      <c r="G382" s="2" t="n"/>
      <c r="H382" s="2" t="n"/>
      <c r="I382" s="2" t="n"/>
      <c r="J382" s="2" t="n"/>
      <c r="K382" s="2" t="n"/>
      <c r="L382" s="2" t="n"/>
      <c r="M382" s="2" t="n"/>
      <c r="N382" s="2" t="n"/>
      <c r="O382" s="2" t="n"/>
      <c r="P382" s="2" t="n"/>
      <c r="Q382" s="2" t="n"/>
      <c r="R382" s="2" t="n"/>
    </row>
    <row r="383" ht="25" customHeight="1">
      <c r="A383" s="3">
        <f>IF(B383="","","DS-"&amp;TEXT(ROW()-1,"0000"))</f>
        <v/>
      </c>
      <c r="B383" s="3" t="n"/>
      <c r="C383" s="3">
        <f>IFERROR(XLOOKUP(B383,'Opportunity Scoring'!$A:$A,'Opportunity Scoring'!$B:$B),"")</f>
        <v/>
      </c>
      <c r="D383" s="3" t="n"/>
      <c r="E383" s="3" t="n"/>
      <c r="F383" s="3">
        <f>IFERROR(XLOOKUP(B383,'Opportunity Scoring'!$A:$A,'Opportunity Scoring'!$D:$D),"")</f>
        <v/>
      </c>
      <c r="G383" s="3" t="n"/>
      <c r="H383" s="3" t="n"/>
      <c r="I383" s="3" t="n"/>
      <c r="J383" s="3" t="n"/>
      <c r="K383" s="3" t="n"/>
      <c r="L383" s="3" t="n"/>
      <c r="M383" s="3" t="n"/>
      <c r="N383" s="3" t="n"/>
      <c r="O383" s="3" t="n"/>
      <c r="P383" s="3" t="n"/>
      <c r="Q383" s="3" t="n"/>
      <c r="R383" s="3" t="n"/>
    </row>
    <row r="384" ht="25" customHeight="1">
      <c r="A384" s="2">
        <f>IF(B384="","","DS-"&amp;TEXT(ROW()-1,"0000"))</f>
        <v/>
      </c>
      <c r="B384" s="2" t="n"/>
      <c r="C384" s="2">
        <f>IFERROR(XLOOKUP(B384,'Opportunity Scoring'!$A:$A,'Opportunity Scoring'!$B:$B),"")</f>
        <v/>
      </c>
      <c r="D384" s="2" t="n"/>
      <c r="E384" s="2" t="n"/>
      <c r="F384" s="2">
        <f>IFERROR(XLOOKUP(B384,'Opportunity Scoring'!$A:$A,'Opportunity Scoring'!$D:$D),"")</f>
        <v/>
      </c>
      <c r="G384" s="2" t="n"/>
      <c r="H384" s="2" t="n"/>
      <c r="I384" s="2" t="n"/>
      <c r="J384" s="2" t="n"/>
      <c r="K384" s="2" t="n"/>
      <c r="L384" s="2" t="n"/>
      <c r="M384" s="2" t="n"/>
      <c r="N384" s="2" t="n"/>
      <c r="O384" s="2" t="n"/>
      <c r="P384" s="2" t="n"/>
      <c r="Q384" s="2" t="n"/>
      <c r="R384" s="2" t="n"/>
    </row>
    <row r="385" ht="25" customHeight="1">
      <c r="A385" s="3">
        <f>IF(B385="","","DS-"&amp;TEXT(ROW()-1,"0000"))</f>
        <v/>
      </c>
      <c r="B385" s="3" t="n"/>
      <c r="C385" s="3">
        <f>IFERROR(XLOOKUP(B385,'Opportunity Scoring'!$A:$A,'Opportunity Scoring'!$B:$B),"")</f>
        <v/>
      </c>
      <c r="D385" s="3" t="n"/>
      <c r="E385" s="3" t="n"/>
      <c r="F385" s="3">
        <f>IFERROR(XLOOKUP(B385,'Opportunity Scoring'!$A:$A,'Opportunity Scoring'!$D:$D),"")</f>
        <v/>
      </c>
      <c r="G385" s="3" t="n"/>
      <c r="H385" s="3" t="n"/>
      <c r="I385" s="3" t="n"/>
      <c r="J385" s="3" t="n"/>
      <c r="K385" s="3" t="n"/>
      <c r="L385" s="3" t="n"/>
      <c r="M385" s="3" t="n"/>
      <c r="N385" s="3" t="n"/>
      <c r="O385" s="3" t="n"/>
      <c r="P385" s="3" t="n"/>
      <c r="Q385" s="3" t="n"/>
      <c r="R385" s="3" t="n"/>
    </row>
    <row r="386" ht="25" customHeight="1">
      <c r="A386" s="2">
        <f>IF(B386="","","DS-"&amp;TEXT(ROW()-1,"0000"))</f>
        <v/>
      </c>
      <c r="B386" s="2" t="n"/>
      <c r="C386" s="2">
        <f>IFERROR(XLOOKUP(B386,'Opportunity Scoring'!$A:$A,'Opportunity Scoring'!$B:$B),"")</f>
        <v/>
      </c>
      <c r="D386" s="2" t="n"/>
      <c r="E386" s="2" t="n"/>
      <c r="F386" s="2">
        <f>IFERROR(XLOOKUP(B386,'Opportunity Scoring'!$A:$A,'Opportunity Scoring'!$D:$D),"")</f>
        <v/>
      </c>
      <c r="G386" s="2" t="n"/>
      <c r="H386" s="2" t="n"/>
      <c r="I386" s="2" t="n"/>
      <c r="J386" s="2" t="n"/>
      <c r="K386" s="2" t="n"/>
      <c r="L386" s="2" t="n"/>
      <c r="M386" s="2" t="n"/>
      <c r="N386" s="2" t="n"/>
      <c r="O386" s="2" t="n"/>
      <c r="P386" s="2" t="n"/>
      <c r="Q386" s="2" t="n"/>
      <c r="R386" s="2" t="n"/>
    </row>
    <row r="387" ht="25" customHeight="1">
      <c r="A387" s="3">
        <f>IF(B387="","","DS-"&amp;TEXT(ROW()-1,"0000"))</f>
        <v/>
      </c>
      <c r="B387" s="3" t="n"/>
      <c r="C387" s="3">
        <f>IFERROR(XLOOKUP(B387,'Opportunity Scoring'!$A:$A,'Opportunity Scoring'!$B:$B),"")</f>
        <v/>
      </c>
      <c r="D387" s="3" t="n"/>
      <c r="E387" s="3" t="n"/>
      <c r="F387" s="3">
        <f>IFERROR(XLOOKUP(B387,'Opportunity Scoring'!$A:$A,'Opportunity Scoring'!$D:$D),"")</f>
        <v/>
      </c>
      <c r="G387" s="3" t="n"/>
      <c r="H387" s="3" t="n"/>
      <c r="I387" s="3" t="n"/>
      <c r="J387" s="3" t="n"/>
      <c r="K387" s="3" t="n"/>
      <c r="L387" s="3" t="n"/>
      <c r="M387" s="3" t="n"/>
      <c r="N387" s="3" t="n"/>
      <c r="O387" s="3" t="n"/>
      <c r="P387" s="3" t="n"/>
      <c r="Q387" s="3" t="n"/>
      <c r="R387" s="3" t="n"/>
    </row>
    <row r="388" ht="25" customHeight="1">
      <c r="A388" s="2">
        <f>IF(B388="","","DS-"&amp;TEXT(ROW()-1,"0000"))</f>
        <v/>
      </c>
      <c r="B388" s="2" t="n"/>
      <c r="C388" s="2">
        <f>IFERROR(XLOOKUP(B388,'Opportunity Scoring'!$A:$A,'Opportunity Scoring'!$B:$B),"")</f>
        <v/>
      </c>
      <c r="D388" s="2" t="n"/>
      <c r="E388" s="2" t="n"/>
      <c r="F388" s="2">
        <f>IFERROR(XLOOKUP(B388,'Opportunity Scoring'!$A:$A,'Opportunity Scoring'!$D:$D),"")</f>
        <v/>
      </c>
      <c r="G388" s="2" t="n"/>
      <c r="H388" s="2" t="n"/>
      <c r="I388" s="2" t="n"/>
      <c r="J388" s="2" t="n"/>
      <c r="K388" s="2" t="n"/>
      <c r="L388" s="2" t="n"/>
      <c r="M388" s="2" t="n"/>
      <c r="N388" s="2" t="n"/>
      <c r="O388" s="2" t="n"/>
      <c r="P388" s="2" t="n"/>
      <c r="Q388" s="2" t="n"/>
      <c r="R388" s="2" t="n"/>
    </row>
    <row r="389" ht="25" customHeight="1">
      <c r="A389" s="3">
        <f>IF(B389="","","DS-"&amp;TEXT(ROW()-1,"0000"))</f>
        <v/>
      </c>
      <c r="B389" s="3" t="n"/>
      <c r="C389" s="3">
        <f>IFERROR(XLOOKUP(B389,'Opportunity Scoring'!$A:$A,'Opportunity Scoring'!$B:$B),"")</f>
        <v/>
      </c>
      <c r="D389" s="3" t="n"/>
      <c r="E389" s="3" t="n"/>
      <c r="F389" s="3">
        <f>IFERROR(XLOOKUP(B389,'Opportunity Scoring'!$A:$A,'Opportunity Scoring'!$D:$D),"")</f>
        <v/>
      </c>
      <c r="G389" s="3" t="n"/>
      <c r="H389" s="3" t="n"/>
      <c r="I389" s="3" t="n"/>
      <c r="J389" s="3" t="n"/>
      <c r="K389" s="3" t="n"/>
      <c r="L389" s="3" t="n"/>
      <c r="M389" s="3" t="n"/>
      <c r="N389" s="3" t="n"/>
      <c r="O389" s="3" t="n"/>
      <c r="P389" s="3" t="n"/>
      <c r="Q389" s="3" t="n"/>
      <c r="R389" s="3" t="n"/>
    </row>
    <row r="390" ht="25" customHeight="1">
      <c r="A390" s="2">
        <f>IF(B390="","","DS-"&amp;TEXT(ROW()-1,"0000"))</f>
        <v/>
      </c>
      <c r="B390" s="2" t="n"/>
      <c r="C390" s="2">
        <f>IFERROR(XLOOKUP(B390,'Opportunity Scoring'!$A:$A,'Opportunity Scoring'!$B:$B),"")</f>
        <v/>
      </c>
      <c r="D390" s="2" t="n"/>
      <c r="E390" s="2" t="n"/>
      <c r="F390" s="2">
        <f>IFERROR(XLOOKUP(B390,'Opportunity Scoring'!$A:$A,'Opportunity Scoring'!$D:$D),"")</f>
        <v/>
      </c>
      <c r="G390" s="2" t="n"/>
      <c r="H390" s="2" t="n"/>
      <c r="I390" s="2" t="n"/>
      <c r="J390" s="2" t="n"/>
      <c r="K390" s="2" t="n"/>
      <c r="L390" s="2" t="n"/>
      <c r="M390" s="2" t="n"/>
      <c r="N390" s="2" t="n"/>
      <c r="O390" s="2" t="n"/>
      <c r="P390" s="2" t="n"/>
      <c r="Q390" s="2" t="n"/>
      <c r="R390" s="2" t="n"/>
    </row>
    <row r="391" ht="25" customHeight="1">
      <c r="A391" s="3">
        <f>IF(B391="","","DS-"&amp;TEXT(ROW()-1,"0000"))</f>
        <v/>
      </c>
      <c r="B391" s="3" t="n"/>
      <c r="C391" s="3">
        <f>IFERROR(XLOOKUP(B391,'Opportunity Scoring'!$A:$A,'Opportunity Scoring'!$B:$B),"")</f>
        <v/>
      </c>
      <c r="D391" s="3" t="n"/>
      <c r="E391" s="3" t="n"/>
      <c r="F391" s="3">
        <f>IFERROR(XLOOKUP(B391,'Opportunity Scoring'!$A:$A,'Opportunity Scoring'!$D:$D),"")</f>
        <v/>
      </c>
      <c r="G391" s="3" t="n"/>
      <c r="H391" s="3" t="n"/>
      <c r="I391" s="3" t="n"/>
      <c r="J391" s="3" t="n"/>
      <c r="K391" s="3" t="n"/>
      <c r="L391" s="3" t="n"/>
      <c r="M391" s="3" t="n"/>
      <c r="N391" s="3" t="n"/>
      <c r="O391" s="3" t="n"/>
      <c r="P391" s="3" t="n"/>
      <c r="Q391" s="3" t="n"/>
      <c r="R391" s="3" t="n"/>
    </row>
    <row r="392" ht="25" customHeight="1">
      <c r="A392" s="2">
        <f>IF(B392="","","DS-"&amp;TEXT(ROW()-1,"0000"))</f>
        <v/>
      </c>
      <c r="B392" s="2" t="n"/>
      <c r="C392" s="2">
        <f>IFERROR(XLOOKUP(B392,'Opportunity Scoring'!$A:$A,'Opportunity Scoring'!$B:$B),"")</f>
        <v/>
      </c>
      <c r="D392" s="2" t="n"/>
      <c r="E392" s="2" t="n"/>
      <c r="F392" s="2">
        <f>IFERROR(XLOOKUP(B392,'Opportunity Scoring'!$A:$A,'Opportunity Scoring'!$D:$D),"")</f>
        <v/>
      </c>
      <c r="G392" s="2" t="n"/>
      <c r="H392" s="2" t="n"/>
      <c r="I392" s="2" t="n"/>
      <c r="J392" s="2" t="n"/>
      <c r="K392" s="2" t="n"/>
      <c r="L392" s="2" t="n"/>
      <c r="M392" s="2" t="n"/>
      <c r="N392" s="2" t="n"/>
      <c r="O392" s="2" t="n"/>
      <c r="P392" s="2" t="n"/>
      <c r="Q392" s="2" t="n"/>
      <c r="R392" s="2" t="n"/>
    </row>
    <row r="393" ht="25" customHeight="1">
      <c r="A393" s="3">
        <f>IF(B393="","","DS-"&amp;TEXT(ROW()-1,"0000"))</f>
        <v/>
      </c>
      <c r="B393" s="3" t="n"/>
      <c r="C393" s="3">
        <f>IFERROR(XLOOKUP(B393,'Opportunity Scoring'!$A:$A,'Opportunity Scoring'!$B:$B),"")</f>
        <v/>
      </c>
      <c r="D393" s="3" t="n"/>
      <c r="E393" s="3" t="n"/>
      <c r="F393" s="3">
        <f>IFERROR(XLOOKUP(B393,'Opportunity Scoring'!$A:$A,'Opportunity Scoring'!$D:$D),"")</f>
        <v/>
      </c>
      <c r="G393" s="3" t="n"/>
      <c r="H393" s="3" t="n"/>
      <c r="I393" s="3" t="n"/>
      <c r="J393" s="3" t="n"/>
      <c r="K393" s="3" t="n"/>
      <c r="L393" s="3" t="n"/>
      <c r="M393" s="3" t="n"/>
      <c r="N393" s="3" t="n"/>
      <c r="O393" s="3" t="n"/>
      <c r="P393" s="3" t="n"/>
      <c r="Q393" s="3" t="n"/>
      <c r="R393" s="3" t="n"/>
    </row>
    <row r="394" ht="25" customHeight="1">
      <c r="A394" s="2">
        <f>IF(B394="","","DS-"&amp;TEXT(ROW()-1,"0000"))</f>
        <v/>
      </c>
      <c r="B394" s="2" t="n"/>
      <c r="C394" s="2">
        <f>IFERROR(XLOOKUP(B394,'Opportunity Scoring'!$A:$A,'Opportunity Scoring'!$B:$B),"")</f>
        <v/>
      </c>
      <c r="D394" s="2" t="n"/>
      <c r="E394" s="2" t="n"/>
      <c r="F394" s="2">
        <f>IFERROR(XLOOKUP(B394,'Opportunity Scoring'!$A:$A,'Opportunity Scoring'!$D:$D),"")</f>
        <v/>
      </c>
      <c r="G394" s="2" t="n"/>
      <c r="H394" s="2" t="n"/>
      <c r="I394" s="2" t="n"/>
      <c r="J394" s="2" t="n"/>
      <c r="K394" s="2" t="n"/>
      <c r="L394" s="2" t="n"/>
      <c r="M394" s="2" t="n"/>
      <c r="N394" s="2" t="n"/>
      <c r="O394" s="2" t="n"/>
      <c r="P394" s="2" t="n"/>
      <c r="Q394" s="2" t="n"/>
      <c r="R394" s="2" t="n"/>
    </row>
    <row r="395" ht="25" customHeight="1">
      <c r="A395" s="3">
        <f>IF(B395="","","DS-"&amp;TEXT(ROW()-1,"0000"))</f>
        <v/>
      </c>
      <c r="B395" s="3" t="n"/>
      <c r="C395" s="3">
        <f>IFERROR(XLOOKUP(B395,'Opportunity Scoring'!$A:$A,'Opportunity Scoring'!$B:$B),"")</f>
        <v/>
      </c>
      <c r="D395" s="3" t="n"/>
      <c r="E395" s="3" t="n"/>
      <c r="F395" s="3">
        <f>IFERROR(XLOOKUP(B395,'Opportunity Scoring'!$A:$A,'Opportunity Scoring'!$D:$D),"")</f>
        <v/>
      </c>
      <c r="G395" s="3" t="n"/>
      <c r="H395" s="3" t="n"/>
      <c r="I395" s="3" t="n"/>
      <c r="J395" s="3" t="n"/>
      <c r="K395" s="3" t="n"/>
      <c r="L395" s="3" t="n"/>
      <c r="M395" s="3" t="n"/>
      <c r="N395" s="3" t="n"/>
      <c r="O395" s="3" t="n"/>
      <c r="P395" s="3" t="n"/>
      <c r="Q395" s="3" t="n"/>
      <c r="R395" s="3" t="n"/>
    </row>
    <row r="396" ht="25" customHeight="1">
      <c r="A396" s="2">
        <f>IF(B396="","","DS-"&amp;TEXT(ROW()-1,"0000"))</f>
        <v/>
      </c>
      <c r="B396" s="2" t="n"/>
      <c r="C396" s="2">
        <f>IFERROR(XLOOKUP(B396,'Opportunity Scoring'!$A:$A,'Opportunity Scoring'!$B:$B),"")</f>
        <v/>
      </c>
      <c r="D396" s="2" t="n"/>
      <c r="E396" s="2" t="n"/>
      <c r="F396" s="2">
        <f>IFERROR(XLOOKUP(B396,'Opportunity Scoring'!$A:$A,'Opportunity Scoring'!$D:$D),"")</f>
        <v/>
      </c>
      <c r="G396" s="2" t="n"/>
      <c r="H396" s="2" t="n"/>
      <c r="I396" s="2" t="n"/>
      <c r="J396" s="2" t="n"/>
      <c r="K396" s="2" t="n"/>
      <c r="L396" s="2" t="n"/>
      <c r="M396" s="2" t="n"/>
      <c r="N396" s="2" t="n"/>
      <c r="O396" s="2" t="n"/>
      <c r="P396" s="2" t="n"/>
      <c r="Q396" s="2" t="n"/>
      <c r="R396" s="2" t="n"/>
    </row>
    <row r="397" ht="25" customHeight="1">
      <c r="A397" s="3">
        <f>IF(B397="","","DS-"&amp;TEXT(ROW()-1,"0000"))</f>
        <v/>
      </c>
      <c r="B397" s="3" t="n"/>
      <c r="C397" s="3">
        <f>IFERROR(XLOOKUP(B397,'Opportunity Scoring'!$A:$A,'Opportunity Scoring'!$B:$B),"")</f>
        <v/>
      </c>
      <c r="D397" s="3" t="n"/>
      <c r="E397" s="3" t="n"/>
      <c r="F397" s="3">
        <f>IFERROR(XLOOKUP(B397,'Opportunity Scoring'!$A:$A,'Opportunity Scoring'!$D:$D),"")</f>
        <v/>
      </c>
      <c r="G397" s="3" t="n"/>
      <c r="H397" s="3" t="n"/>
      <c r="I397" s="3" t="n"/>
      <c r="J397" s="3" t="n"/>
      <c r="K397" s="3" t="n"/>
      <c r="L397" s="3" t="n"/>
      <c r="M397" s="3" t="n"/>
      <c r="N397" s="3" t="n"/>
      <c r="O397" s="3" t="n"/>
      <c r="P397" s="3" t="n"/>
      <c r="Q397" s="3" t="n"/>
      <c r="R397" s="3" t="n"/>
    </row>
    <row r="398" ht="25" customHeight="1">
      <c r="A398" s="2">
        <f>IF(B398="","","DS-"&amp;TEXT(ROW()-1,"0000"))</f>
        <v/>
      </c>
      <c r="B398" s="2" t="n"/>
      <c r="C398" s="2">
        <f>IFERROR(XLOOKUP(B398,'Opportunity Scoring'!$A:$A,'Opportunity Scoring'!$B:$B),"")</f>
        <v/>
      </c>
      <c r="D398" s="2" t="n"/>
      <c r="E398" s="2" t="n"/>
      <c r="F398" s="2">
        <f>IFERROR(XLOOKUP(B398,'Opportunity Scoring'!$A:$A,'Opportunity Scoring'!$D:$D),"")</f>
        <v/>
      </c>
      <c r="G398" s="2" t="n"/>
      <c r="H398" s="2" t="n"/>
      <c r="I398" s="2" t="n"/>
      <c r="J398" s="2" t="n"/>
      <c r="K398" s="2" t="n"/>
      <c r="L398" s="2" t="n"/>
      <c r="M398" s="2" t="n"/>
      <c r="N398" s="2" t="n"/>
      <c r="O398" s="2" t="n"/>
      <c r="P398" s="2" t="n"/>
      <c r="Q398" s="2" t="n"/>
      <c r="R398" s="2" t="n"/>
    </row>
    <row r="399" ht="25" customHeight="1">
      <c r="A399" s="3">
        <f>IF(B399="","","DS-"&amp;TEXT(ROW()-1,"0000"))</f>
        <v/>
      </c>
      <c r="B399" s="3" t="n"/>
      <c r="C399" s="3">
        <f>IFERROR(XLOOKUP(B399,'Opportunity Scoring'!$A:$A,'Opportunity Scoring'!$B:$B),"")</f>
        <v/>
      </c>
      <c r="D399" s="3" t="n"/>
      <c r="E399" s="3" t="n"/>
      <c r="F399" s="3">
        <f>IFERROR(XLOOKUP(B399,'Opportunity Scoring'!$A:$A,'Opportunity Scoring'!$D:$D),"")</f>
        <v/>
      </c>
      <c r="G399" s="3" t="n"/>
      <c r="H399" s="3" t="n"/>
      <c r="I399" s="3" t="n"/>
      <c r="J399" s="3" t="n"/>
      <c r="K399" s="3" t="n"/>
      <c r="L399" s="3" t="n"/>
      <c r="M399" s="3" t="n"/>
      <c r="N399" s="3" t="n"/>
      <c r="O399" s="3" t="n"/>
      <c r="P399" s="3" t="n"/>
      <c r="Q399" s="3" t="n"/>
      <c r="R399" s="3" t="n"/>
    </row>
    <row r="400" ht="25" customHeight="1">
      <c r="A400" s="2">
        <f>IF(B400="","","DS-"&amp;TEXT(ROW()-1,"0000"))</f>
        <v/>
      </c>
      <c r="B400" s="2" t="n"/>
      <c r="C400" s="2">
        <f>IFERROR(XLOOKUP(B400,'Opportunity Scoring'!$A:$A,'Opportunity Scoring'!$B:$B),"")</f>
        <v/>
      </c>
      <c r="D400" s="2" t="n"/>
      <c r="E400" s="2" t="n"/>
      <c r="F400" s="2">
        <f>IFERROR(XLOOKUP(B400,'Opportunity Scoring'!$A:$A,'Opportunity Scoring'!$D:$D),"")</f>
        <v/>
      </c>
      <c r="G400" s="2" t="n"/>
      <c r="H400" s="2" t="n"/>
      <c r="I400" s="2" t="n"/>
      <c r="J400" s="2" t="n"/>
      <c r="K400" s="2" t="n"/>
      <c r="L400" s="2" t="n"/>
      <c r="M400" s="2" t="n"/>
      <c r="N400" s="2" t="n"/>
      <c r="O400" s="2" t="n"/>
      <c r="P400" s="2" t="n"/>
      <c r="Q400" s="2" t="n"/>
      <c r="R400" s="2" t="n"/>
    </row>
    <row r="401" ht="25" customHeight="1">
      <c r="A401" s="3">
        <f>IF(B401="","","DS-"&amp;TEXT(ROW()-1,"0000"))</f>
        <v/>
      </c>
      <c r="B401" s="3" t="n"/>
      <c r="C401" s="3">
        <f>IFERROR(XLOOKUP(B401,'Opportunity Scoring'!$A:$A,'Opportunity Scoring'!$B:$B),"")</f>
        <v/>
      </c>
      <c r="D401" s="3" t="n"/>
      <c r="E401" s="3" t="n"/>
      <c r="F401" s="3">
        <f>IFERROR(XLOOKUP(B401,'Opportunity Scoring'!$A:$A,'Opportunity Scoring'!$D:$D),"")</f>
        <v/>
      </c>
      <c r="G401" s="3" t="n"/>
      <c r="H401" s="3" t="n"/>
      <c r="I401" s="3" t="n"/>
      <c r="J401" s="3" t="n"/>
      <c r="K401" s="3" t="n"/>
      <c r="L401" s="3" t="n"/>
      <c r="M401" s="3" t="n"/>
      <c r="N401" s="3" t="n"/>
      <c r="O401" s="3" t="n"/>
      <c r="P401" s="3" t="n"/>
      <c r="Q401" s="3" t="n"/>
      <c r="R401" s="3" t="n"/>
    </row>
    <row r="402" ht="25" customHeight="1">
      <c r="A402" s="2">
        <f>IF(B402="","","DS-"&amp;TEXT(ROW()-1,"0000"))</f>
        <v/>
      </c>
      <c r="B402" s="2" t="n"/>
      <c r="C402" s="2">
        <f>IFERROR(XLOOKUP(B402,'Opportunity Scoring'!$A:$A,'Opportunity Scoring'!$B:$B),"")</f>
        <v/>
      </c>
      <c r="D402" s="2" t="n"/>
      <c r="E402" s="2" t="n"/>
      <c r="F402" s="2">
        <f>IFERROR(XLOOKUP(B402,'Opportunity Scoring'!$A:$A,'Opportunity Scoring'!$D:$D),"")</f>
        <v/>
      </c>
      <c r="G402" s="2" t="n"/>
      <c r="H402" s="2" t="n"/>
      <c r="I402" s="2" t="n"/>
      <c r="J402" s="2" t="n"/>
      <c r="K402" s="2" t="n"/>
      <c r="L402" s="2" t="n"/>
      <c r="M402" s="2" t="n"/>
      <c r="N402" s="2" t="n"/>
      <c r="O402" s="2" t="n"/>
      <c r="P402" s="2" t="n"/>
      <c r="Q402" s="2" t="n"/>
      <c r="R402" s="2" t="n"/>
    </row>
    <row r="403" ht="25" customHeight="1">
      <c r="A403" s="3">
        <f>IF(B403="","","DS-"&amp;TEXT(ROW()-1,"0000"))</f>
        <v/>
      </c>
      <c r="B403" s="3" t="n"/>
      <c r="C403" s="3">
        <f>IFERROR(XLOOKUP(B403,'Opportunity Scoring'!$A:$A,'Opportunity Scoring'!$B:$B),"")</f>
        <v/>
      </c>
      <c r="D403" s="3" t="n"/>
      <c r="E403" s="3" t="n"/>
      <c r="F403" s="3">
        <f>IFERROR(XLOOKUP(B403,'Opportunity Scoring'!$A:$A,'Opportunity Scoring'!$D:$D),"")</f>
        <v/>
      </c>
      <c r="G403" s="3" t="n"/>
      <c r="H403" s="3" t="n"/>
      <c r="I403" s="3" t="n"/>
      <c r="J403" s="3" t="n"/>
      <c r="K403" s="3" t="n"/>
      <c r="L403" s="3" t="n"/>
      <c r="M403" s="3" t="n"/>
      <c r="N403" s="3" t="n"/>
      <c r="O403" s="3" t="n"/>
      <c r="P403" s="3" t="n"/>
      <c r="Q403" s="3" t="n"/>
      <c r="R403" s="3" t="n"/>
    </row>
    <row r="404" ht="25" customHeight="1">
      <c r="A404" s="2">
        <f>IF(B404="","","DS-"&amp;TEXT(ROW()-1,"0000"))</f>
        <v/>
      </c>
      <c r="B404" s="2" t="n"/>
      <c r="C404" s="2">
        <f>IFERROR(XLOOKUP(B404,'Opportunity Scoring'!$A:$A,'Opportunity Scoring'!$B:$B),"")</f>
        <v/>
      </c>
      <c r="D404" s="2" t="n"/>
      <c r="E404" s="2" t="n"/>
      <c r="F404" s="2">
        <f>IFERROR(XLOOKUP(B404,'Opportunity Scoring'!$A:$A,'Opportunity Scoring'!$D:$D),"")</f>
        <v/>
      </c>
      <c r="G404" s="2" t="n"/>
      <c r="H404" s="2" t="n"/>
      <c r="I404" s="2" t="n"/>
      <c r="J404" s="2" t="n"/>
      <c r="K404" s="2" t="n"/>
      <c r="L404" s="2" t="n"/>
      <c r="M404" s="2" t="n"/>
      <c r="N404" s="2" t="n"/>
      <c r="O404" s="2" t="n"/>
      <c r="P404" s="2" t="n"/>
      <c r="Q404" s="2" t="n"/>
      <c r="R404" s="2" t="n"/>
    </row>
    <row r="405" ht="25" customHeight="1">
      <c r="A405" s="3">
        <f>IF(B405="","","DS-"&amp;TEXT(ROW()-1,"0000"))</f>
        <v/>
      </c>
      <c r="B405" s="3" t="n"/>
      <c r="C405" s="3">
        <f>IFERROR(XLOOKUP(B405,'Opportunity Scoring'!$A:$A,'Opportunity Scoring'!$B:$B),"")</f>
        <v/>
      </c>
      <c r="D405" s="3" t="n"/>
      <c r="E405" s="3" t="n"/>
      <c r="F405" s="3">
        <f>IFERROR(XLOOKUP(B405,'Opportunity Scoring'!$A:$A,'Opportunity Scoring'!$D:$D),"")</f>
        <v/>
      </c>
      <c r="G405" s="3" t="n"/>
      <c r="H405" s="3" t="n"/>
      <c r="I405" s="3" t="n"/>
      <c r="J405" s="3" t="n"/>
      <c r="K405" s="3" t="n"/>
      <c r="L405" s="3" t="n"/>
      <c r="M405" s="3" t="n"/>
      <c r="N405" s="3" t="n"/>
      <c r="O405" s="3" t="n"/>
      <c r="P405" s="3" t="n"/>
      <c r="Q405" s="3" t="n"/>
      <c r="R405" s="3" t="n"/>
    </row>
    <row r="406" ht="25" customHeight="1">
      <c r="A406" s="2">
        <f>IF(B406="","","DS-"&amp;TEXT(ROW()-1,"0000"))</f>
        <v/>
      </c>
      <c r="B406" s="2" t="n"/>
      <c r="C406" s="2">
        <f>IFERROR(XLOOKUP(B406,'Opportunity Scoring'!$A:$A,'Opportunity Scoring'!$B:$B),"")</f>
        <v/>
      </c>
      <c r="D406" s="2" t="n"/>
      <c r="E406" s="2" t="n"/>
      <c r="F406" s="2">
        <f>IFERROR(XLOOKUP(B406,'Opportunity Scoring'!$A:$A,'Opportunity Scoring'!$D:$D),"")</f>
        <v/>
      </c>
      <c r="G406" s="2" t="n"/>
      <c r="H406" s="2" t="n"/>
      <c r="I406" s="2" t="n"/>
      <c r="J406" s="2" t="n"/>
      <c r="K406" s="2" t="n"/>
      <c r="L406" s="2" t="n"/>
      <c r="M406" s="2" t="n"/>
      <c r="N406" s="2" t="n"/>
      <c r="O406" s="2" t="n"/>
      <c r="P406" s="2" t="n"/>
      <c r="Q406" s="2" t="n"/>
      <c r="R406" s="2" t="n"/>
    </row>
    <row r="407" ht="25" customHeight="1">
      <c r="A407" s="3">
        <f>IF(B407="","","DS-"&amp;TEXT(ROW()-1,"0000"))</f>
        <v/>
      </c>
      <c r="B407" s="3" t="n"/>
      <c r="C407" s="3">
        <f>IFERROR(XLOOKUP(B407,'Opportunity Scoring'!$A:$A,'Opportunity Scoring'!$B:$B),"")</f>
        <v/>
      </c>
      <c r="D407" s="3" t="n"/>
      <c r="E407" s="3" t="n"/>
      <c r="F407" s="3">
        <f>IFERROR(XLOOKUP(B407,'Opportunity Scoring'!$A:$A,'Opportunity Scoring'!$D:$D),"")</f>
        <v/>
      </c>
      <c r="G407" s="3" t="n"/>
      <c r="H407" s="3" t="n"/>
      <c r="I407" s="3" t="n"/>
      <c r="J407" s="3" t="n"/>
      <c r="K407" s="3" t="n"/>
      <c r="L407" s="3" t="n"/>
      <c r="M407" s="3" t="n"/>
      <c r="N407" s="3" t="n"/>
      <c r="O407" s="3" t="n"/>
      <c r="P407" s="3" t="n"/>
      <c r="Q407" s="3" t="n"/>
      <c r="R407" s="3" t="n"/>
    </row>
    <row r="408" ht="25" customHeight="1">
      <c r="A408" s="2">
        <f>IF(B408="","","DS-"&amp;TEXT(ROW()-1,"0000"))</f>
        <v/>
      </c>
      <c r="B408" s="2" t="n"/>
      <c r="C408" s="2">
        <f>IFERROR(XLOOKUP(B408,'Opportunity Scoring'!$A:$A,'Opportunity Scoring'!$B:$B),"")</f>
        <v/>
      </c>
      <c r="D408" s="2" t="n"/>
      <c r="E408" s="2" t="n"/>
      <c r="F408" s="2">
        <f>IFERROR(XLOOKUP(B408,'Opportunity Scoring'!$A:$A,'Opportunity Scoring'!$D:$D),"")</f>
        <v/>
      </c>
      <c r="G408" s="2" t="n"/>
      <c r="H408" s="2" t="n"/>
      <c r="I408" s="2" t="n"/>
      <c r="J408" s="2" t="n"/>
      <c r="K408" s="2" t="n"/>
      <c r="L408" s="2" t="n"/>
      <c r="M408" s="2" t="n"/>
      <c r="N408" s="2" t="n"/>
      <c r="O408" s="2" t="n"/>
      <c r="P408" s="2" t="n"/>
      <c r="Q408" s="2" t="n"/>
      <c r="R408" s="2" t="n"/>
    </row>
    <row r="409" ht="25" customHeight="1">
      <c r="A409" s="3">
        <f>IF(B409="","","DS-"&amp;TEXT(ROW()-1,"0000"))</f>
        <v/>
      </c>
      <c r="B409" s="3" t="n"/>
      <c r="C409" s="3">
        <f>IFERROR(XLOOKUP(B409,'Opportunity Scoring'!$A:$A,'Opportunity Scoring'!$B:$B),"")</f>
        <v/>
      </c>
      <c r="D409" s="3" t="n"/>
      <c r="E409" s="3" t="n"/>
      <c r="F409" s="3">
        <f>IFERROR(XLOOKUP(B409,'Opportunity Scoring'!$A:$A,'Opportunity Scoring'!$D:$D),"")</f>
        <v/>
      </c>
      <c r="G409" s="3" t="n"/>
      <c r="H409" s="3" t="n"/>
      <c r="I409" s="3" t="n"/>
      <c r="J409" s="3" t="n"/>
      <c r="K409" s="3" t="n"/>
      <c r="L409" s="3" t="n"/>
      <c r="M409" s="3" t="n"/>
      <c r="N409" s="3" t="n"/>
      <c r="O409" s="3" t="n"/>
      <c r="P409" s="3" t="n"/>
      <c r="Q409" s="3" t="n"/>
      <c r="R409" s="3" t="n"/>
    </row>
    <row r="410" ht="25" customHeight="1">
      <c r="A410" s="2">
        <f>IF(B410="","","DS-"&amp;TEXT(ROW()-1,"0000"))</f>
        <v/>
      </c>
      <c r="B410" s="2" t="n"/>
      <c r="C410" s="2">
        <f>IFERROR(XLOOKUP(B410,'Opportunity Scoring'!$A:$A,'Opportunity Scoring'!$B:$B),"")</f>
        <v/>
      </c>
      <c r="D410" s="2" t="n"/>
      <c r="E410" s="2" t="n"/>
      <c r="F410" s="2">
        <f>IFERROR(XLOOKUP(B410,'Opportunity Scoring'!$A:$A,'Opportunity Scoring'!$D:$D),"")</f>
        <v/>
      </c>
      <c r="G410" s="2" t="n"/>
      <c r="H410" s="2" t="n"/>
      <c r="I410" s="2" t="n"/>
      <c r="J410" s="2" t="n"/>
      <c r="K410" s="2" t="n"/>
      <c r="L410" s="2" t="n"/>
      <c r="M410" s="2" t="n"/>
      <c r="N410" s="2" t="n"/>
      <c r="O410" s="2" t="n"/>
      <c r="P410" s="2" t="n"/>
      <c r="Q410" s="2" t="n"/>
      <c r="R410" s="2" t="n"/>
    </row>
    <row r="411" ht="25" customHeight="1">
      <c r="A411" s="3">
        <f>IF(B411="","","DS-"&amp;TEXT(ROW()-1,"0000"))</f>
        <v/>
      </c>
      <c r="B411" s="3" t="n"/>
      <c r="C411" s="3">
        <f>IFERROR(XLOOKUP(B411,'Opportunity Scoring'!$A:$A,'Opportunity Scoring'!$B:$B),"")</f>
        <v/>
      </c>
      <c r="D411" s="3" t="n"/>
      <c r="E411" s="3" t="n"/>
      <c r="F411" s="3">
        <f>IFERROR(XLOOKUP(B411,'Opportunity Scoring'!$A:$A,'Opportunity Scoring'!$D:$D),"")</f>
        <v/>
      </c>
      <c r="G411" s="3" t="n"/>
      <c r="H411" s="3" t="n"/>
      <c r="I411" s="3" t="n"/>
      <c r="J411" s="3" t="n"/>
      <c r="K411" s="3" t="n"/>
      <c r="L411" s="3" t="n"/>
      <c r="M411" s="3" t="n"/>
      <c r="N411" s="3" t="n"/>
      <c r="O411" s="3" t="n"/>
      <c r="P411" s="3" t="n"/>
      <c r="Q411" s="3" t="n"/>
      <c r="R411" s="3" t="n"/>
    </row>
    <row r="412" ht="25" customHeight="1">
      <c r="A412" s="2">
        <f>IF(B412="","","DS-"&amp;TEXT(ROW()-1,"0000"))</f>
        <v/>
      </c>
      <c r="B412" s="2" t="n"/>
      <c r="C412" s="2">
        <f>IFERROR(XLOOKUP(B412,'Opportunity Scoring'!$A:$A,'Opportunity Scoring'!$B:$B),"")</f>
        <v/>
      </c>
      <c r="D412" s="2" t="n"/>
      <c r="E412" s="2" t="n"/>
      <c r="F412" s="2">
        <f>IFERROR(XLOOKUP(B412,'Opportunity Scoring'!$A:$A,'Opportunity Scoring'!$D:$D),"")</f>
        <v/>
      </c>
      <c r="G412" s="2" t="n"/>
      <c r="H412" s="2" t="n"/>
      <c r="I412" s="2" t="n"/>
      <c r="J412" s="2" t="n"/>
      <c r="K412" s="2" t="n"/>
      <c r="L412" s="2" t="n"/>
      <c r="M412" s="2" t="n"/>
      <c r="N412" s="2" t="n"/>
      <c r="O412" s="2" t="n"/>
      <c r="P412" s="2" t="n"/>
      <c r="Q412" s="2" t="n"/>
      <c r="R412" s="2" t="n"/>
    </row>
    <row r="413" ht="25" customHeight="1">
      <c r="A413" s="3">
        <f>IF(B413="","","DS-"&amp;TEXT(ROW()-1,"0000"))</f>
        <v/>
      </c>
      <c r="B413" s="3" t="n"/>
      <c r="C413" s="3">
        <f>IFERROR(XLOOKUP(B413,'Opportunity Scoring'!$A:$A,'Opportunity Scoring'!$B:$B),"")</f>
        <v/>
      </c>
      <c r="D413" s="3" t="n"/>
      <c r="E413" s="3" t="n"/>
      <c r="F413" s="3">
        <f>IFERROR(XLOOKUP(B413,'Opportunity Scoring'!$A:$A,'Opportunity Scoring'!$D:$D),"")</f>
        <v/>
      </c>
      <c r="G413" s="3" t="n"/>
      <c r="H413" s="3" t="n"/>
      <c r="I413" s="3" t="n"/>
      <c r="J413" s="3" t="n"/>
      <c r="K413" s="3" t="n"/>
      <c r="L413" s="3" t="n"/>
      <c r="M413" s="3" t="n"/>
      <c r="N413" s="3" t="n"/>
      <c r="O413" s="3" t="n"/>
      <c r="P413" s="3" t="n"/>
      <c r="Q413" s="3" t="n"/>
      <c r="R413" s="3" t="n"/>
    </row>
    <row r="414" ht="25" customHeight="1">
      <c r="A414" s="2">
        <f>IF(B414="","","DS-"&amp;TEXT(ROW()-1,"0000"))</f>
        <v/>
      </c>
      <c r="B414" s="2" t="n"/>
      <c r="C414" s="2">
        <f>IFERROR(XLOOKUP(B414,'Opportunity Scoring'!$A:$A,'Opportunity Scoring'!$B:$B),"")</f>
        <v/>
      </c>
      <c r="D414" s="2" t="n"/>
      <c r="E414" s="2" t="n"/>
      <c r="F414" s="2">
        <f>IFERROR(XLOOKUP(B414,'Opportunity Scoring'!$A:$A,'Opportunity Scoring'!$D:$D),"")</f>
        <v/>
      </c>
      <c r="G414" s="2" t="n"/>
      <c r="H414" s="2" t="n"/>
      <c r="I414" s="2" t="n"/>
      <c r="J414" s="2" t="n"/>
      <c r="K414" s="2" t="n"/>
      <c r="L414" s="2" t="n"/>
      <c r="M414" s="2" t="n"/>
      <c r="N414" s="2" t="n"/>
      <c r="O414" s="2" t="n"/>
      <c r="P414" s="2" t="n"/>
      <c r="Q414" s="2" t="n"/>
      <c r="R414" s="2" t="n"/>
    </row>
    <row r="415" ht="25" customHeight="1">
      <c r="A415" s="3">
        <f>IF(B415="","","DS-"&amp;TEXT(ROW()-1,"0000"))</f>
        <v/>
      </c>
      <c r="B415" s="3" t="n"/>
      <c r="C415" s="3">
        <f>IFERROR(XLOOKUP(B415,'Opportunity Scoring'!$A:$A,'Opportunity Scoring'!$B:$B),"")</f>
        <v/>
      </c>
      <c r="D415" s="3" t="n"/>
      <c r="E415" s="3" t="n"/>
      <c r="F415" s="3">
        <f>IFERROR(XLOOKUP(B415,'Opportunity Scoring'!$A:$A,'Opportunity Scoring'!$D:$D),"")</f>
        <v/>
      </c>
      <c r="G415" s="3" t="n"/>
      <c r="H415" s="3" t="n"/>
      <c r="I415" s="3" t="n"/>
      <c r="J415" s="3" t="n"/>
      <c r="K415" s="3" t="n"/>
      <c r="L415" s="3" t="n"/>
      <c r="M415" s="3" t="n"/>
      <c r="N415" s="3" t="n"/>
      <c r="O415" s="3" t="n"/>
      <c r="P415" s="3" t="n"/>
      <c r="Q415" s="3" t="n"/>
      <c r="R415" s="3" t="n"/>
    </row>
    <row r="416" ht="25" customHeight="1">
      <c r="A416" s="2">
        <f>IF(B416="","","DS-"&amp;TEXT(ROW()-1,"0000"))</f>
        <v/>
      </c>
      <c r="B416" s="2" t="n"/>
      <c r="C416" s="2">
        <f>IFERROR(XLOOKUP(B416,'Opportunity Scoring'!$A:$A,'Opportunity Scoring'!$B:$B),"")</f>
        <v/>
      </c>
      <c r="D416" s="2" t="n"/>
      <c r="E416" s="2" t="n"/>
      <c r="F416" s="2">
        <f>IFERROR(XLOOKUP(B416,'Opportunity Scoring'!$A:$A,'Opportunity Scoring'!$D:$D),"")</f>
        <v/>
      </c>
      <c r="G416" s="2" t="n"/>
      <c r="H416" s="2" t="n"/>
      <c r="I416" s="2" t="n"/>
      <c r="J416" s="2" t="n"/>
      <c r="K416" s="2" t="n"/>
      <c r="L416" s="2" t="n"/>
      <c r="M416" s="2" t="n"/>
      <c r="N416" s="2" t="n"/>
      <c r="O416" s="2" t="n"/>
      <c r="P416" s="2" t="n"/>
      <c r="Q416" s="2" t="n"/>
      <c r="R416" s="2" t="n"/>
    </row>
    <row r="417" ht="25" customHeight="1">
      <c r="A417" s="3">
        <f>IF(B417="","","DS-"&amp;TEXT(ROW()-1,"0000"))</f>
        <v/>
      </c>
      <c r="B417" s="3" t="n"/>
      <c r="C417" s="3">
        <f>IFERROR(XLOOKUP(B417,'Opportunity Scoring'!$A:$A,'Opportunity Scoring'!$B:$B),"")</f>
        <v/>
      </c>
      <c r="D417" s="3" t="n"/>
      <c r="E417" s="3" t="n"/>
      <c r="F417" s="3">
        <f>IFERROR(XLOOKUP(B417,'Opportunity Scoring'!$A:$A,'Opportunity Scoring'!$D:$D),"")</f>
        <v/>
      </c>
      <c r="G417" s="3" t="n"/>
      <c r="H417" s="3" t="n"/>
      <c r="I417" s="3" t="n"/>
      <c r="J417" s="3" t="n"/>
      <c r="K417" s="3" t="n"/>
      <c r="L417" s="3" t="n"/>
      <c r="M417" s="3" t="n"/>
      <c r="N417" s="3" t="n"/>
      <c r="O417" s="3" t="n"/>
      <c r="P417" s="3" t="n"/>
      <c r="Q417" s="3" t="n"/>
      <c r="R417" s="3" t="n"/>
    </row>
    <row r="418" ht="25" customHeight="1">
      <c r="A418" s="2">
        <f>IF(B418="","","DS-"&amp;TEXT(ROW()-1,"0000"))</f>
        <v/>
      </c>
      <c r="B418" s="2" t="n"/>
      <c r="C418" s="2">
        <f>IFERROR(XLOOKUP(B418,'Opportunity Scoring'!$A:$A,'Opportunity Scoring'!$B:$B),"")</f>
        <v/>
      </c>
      <c r="D418" s="2" t="n"/>
      <c r="E418" s="2" t="n"/>
      <c r="F418" s="2">
        <f>IFERROR(XLOOKUP(B418,'Opportunity Scoring'!$A:$A,'Opportunity Scoring'!$D:$D),"")</f>
        <v/>
      </c>
      <c r="G418" s="2" t="n"/>
      <c r="H418" s="2" t="n"/>
      <c r="I418" s="2" t="n"/>
      <c r="J418" s="2" t="n"/>
      <c r="K418" s="2" t="n"/>
      <c r="L418" s="2" t="n"/>
      <c r="M418" s="2" t="n"/>
      <c r="N418" s="2" t="n"/>
      <c r="O418" s="2" t="n"/>
      <c r="P418" s="2" t="n"/>
      <c r="Q418" s="2" t="n"/>
      <c r="R418" s="2" t="n"/>
    </row>
    <row r="419" ht="25" customHeight="1">
      <c r="A419" s="3">
        <f>IF(B419="","","DS-"&amp;TEXT(ROW()-1,"0000"))</f>
        <v/>
      </c>
      <c r="B419" s="3" t="n"/>
      <c r="C419" s="3">
        <f>IFERROR(XLOOKUP(B419,'Opportunity Scoring'!$A:$A,'Opportunity Scoring'!$B:$B),"")</f>
        <v/>
      </c>
      <c r="D419" s="3" t="n"/>
      <c r="E419" s="3" t="n"/>
      <c r="F419" s="3">
        <f>IFERROR(XLOOKUP(B419,'Opportunity Scoring'!$A:$A,'Opportunity Scoring'!$D:$D),"")</f>
        <v/>
      </c>
      <c r="G419" s="3" t="n"/>
      <c r="H419" s="3" t="n"/>
      <c r="I419" s="3" t="n"/>
      <c r="J419" s="3" t="n"/>
      <c r="K419" s="3" t="n"/>
      <c r="L419" s="3" t="n"/>
      <c r="M419" s="3" t="n"/>
      <c r="N419" s="3" t="n"/>
      <c r="O419" s="3" t="n"/>
      <c r="P419" s="3" t="n"/>
      <c r="Q419" s="3" t="n"/>
      <c r="R419" s="3" t="n"/>
    </row>
    <row r="420" ht="25" customHeight="1">
      <c r="A420" s="2">
        <f>IF(B420="","","DS-"&amp;TEXT(ROW()-1,"0000"))</f>
        <v/>
      </c>
      <c r="B420" s="2" t="n"/>
      <c r="C420" s="2">
        <f>IFERROR(XLOOKUP(B420,'Opportunity Scoring'!$A:$A,'Opportunity Scoring'!$B:$B),"")</f>
        <v/>
      </c>
      <c r="D420" s="2" t="n"/>
      <c r="E420" s="2" t="n"/>
      <c r="F420" s="2">
        <f>IFERROR(XLOOKUP(B420,'Opportunity Scoring'!$A:$A,'Opportunity Scoring'!$D:$D),"")</f>
        <v/>
      </c>
      <c r="G420" s="2" t="n"/>
      <c r="H420" s="2" t="n"/>
      <c r="I420" s="2" t="n"/>
      <c r="J420" s="2" t="n"/>
      <c r="K420" s="2" t="n"/>
      <c r="L420" s="2" t="n"/>
      <c r="M420" s="2" t="n"/>
      <c r="N420" s="2" t="n"/>
      <c r="O420" s="2" t="n"/>
      <c r="P420" s="2" t="n"/>
      <c r="Q420" s="2" t="n"/>
      <c r="R420" s="2" t="n"/>
    </row>
    <row r="421" ht="25" customHeight="1">
      <c r="A421" s="3">
        <f>IF(B421="","","DS-"&amp;TEXT(ROW()-1,"0000"))</f>
        <v/>
      </c>
      <c r="B421" s="3" t="n"/>
      <c r="C421" s="3">
        <f>IFERROR(XLOOKUP(B421,'Opportunity Scoring'!$A:$A,'Opportunity Scoring'!$B:$B),"")</f>
        <v/>
      </c>
      <c r="D421" s="3" t="n"/>
      <c r="E421" s="3" t="n"/>
      <c r="F421" s="3">
        <f>IFERROR(XLOOKUP(B421,'Opportunity Scoring'!$A:$A,'Opportunity Scoring'!$D:$D),"")</f>
        <v/>
      </c>
      <c r="G421" s="3" t="n"/>
      <c r="H421" s="3" t="n"/>
      <c r="I421" s="3" t="n"/>
      <c r="J421" s="3" t="n"/>
      <c r="K421" s="3" t="n"/>
      <c r="L421" s="3" t="n"/>
      <c r="M421" s="3" t="n"/>
      <c r="N421" s="3" t="n"/>
      <c r="O421" s="3" t="n"/>
      <c r="P421" s="3" t="n"/>
      <c r="Q421" s="3" t="n"/>
      <c r="R421" s="3" t="n"/>
    </row>
    <row r="422" ht="25" customHeight="1">
      <c r="A422" s="2">
        <f>IF(B422="","","DS-"&amp;TEXT(ROW()-1,"0000"))</f>
        <v/>
      </c>
      <c r="B422" s="2" t="n"/>
      <c r="C422" s="2">
        <f>IFERROR(XLOOKUP(B422,'Opportunity Scoring'!$A:$A,'Opportunity Scoring'!$B:$B),"")</f>
        <v/>
      </c>
      <c r="D422" s="2" t="n"/>
      <c r="E422" s="2" t="n"/>
      <c r="F422" s="2">
        <f>IFERROR(XLOOKUP(B422,'Opportunity Scoring'!$A:$A,'Opportunity Scoring'!$D:$D),"")</f>
        <v/>
      </c>
      <c r="G422" s="2" t="n"/>
      <c r="H422" s="2" t="n"/>
      <c r="I422" s="2" t="n"/>
      <c r="J422" s="2" t="n"/>
      <c r="K422" s="2" t="n"/>
      <c r="L422" s="2" t="n"/>
      <c r="M422" s="2" t="n"/>
      <c r="N422" s="2" t="n"/>
      <c r="O422" s="2" t="n"/>
      <c r="P422" s="2" t="n"/>
      <c r="Q422" s="2" t="n"/>
      <c r="R422" s="2" t="n"/>
    </row>
    <row r="423" ht="25" customHeight="1">
      <c r="A423" s="3">
        <f>IF(B423="","","DS-"&amp;TEXT(ROW()-1,"0000"))</f>
        <v/>
      </c>
      <c r="B423" s="3" t="n"/>
      <c r="C423" s="3">
        <f>IFERROR(XLOOKUP(B423,'Opportunity Scoring'!$A:$A,'Opportunity Scoring'!$B:$B),"")</f>
        <v/>
      </c>
      <c r="D423" s="3" t="n"/>
      <c r="E423" s="3" t="n"/>
      <c r="F423" s="3">
        <f>IFERROR(XLOOKUP(B423,'Opportunity Scoring'!$A:$A,'Opportunity Scoring'!$D:$D),"")</f>
        <v/>
      </c>
      <c r="G423" s="3" t="n"/>
      <c r="H423" s="3" t="n"/>
      <c r="I423" s="3" t="n"/>
      <c r="J423" s="3" t="n"/>
      <c r="K423" s="3" t="n"/>
      <c r="L423" s="3" t="n"/>
      <c r="M423" s="3" t="n"/>
      <c r="N423" s="3" t="n"/>
      <c r="O423" s="3" t="n"/>
      <c r="P423" s="3" t="n"/>
      <c r="Q423" s="3" t="n"/>
      <c r="R423" s="3" t="n"/>
    </row>
    <row r="424" ht="25" customHeight="1">
      <c r="A424" s="2">
        <f>IF(B424="","","DS-"&amp;TEXT(ROW()-1,"0000"))</f>
        <v/>
      </c>
      <c r="B424" s="2" t="n"/>
      <c r="C424" s="2">
        <f>IFERROR(XLOOKUP(B424,'Opportunity Scoring'!$A:$A,'Opportunity Scoring'!$B:$B),"")</f>
        <v/>
      </c>
      <c r="D424" s="2" t="n"/>
      <c r="E424" s="2" t="n"/>
      <c r="F424" s="2">
        <f>IFERROR(XLOOKUP(B424,'Opportunity Scoring'!$A:$A,'Opportunity Scoring'!$D:$D),"")</f>
        <v/>
      </c>
      <c r="G424" s="2" t="n"/>
      <c r="H424" s="2" t="n"/>
      <c r="I424" s="2" t="n"/>
      <c r="J424" s="2" t="n"/>
      <c r="K424" s="2" t="n"/>
      <c r="L424" s="2" t="n"/>
      <c r="M424" s="2" t="n"/>
      <c r="N424" s="2" t="n"/>
      <c r="O424" s="2" t="n"/>
      <c r="P424" s="2" t="n"/>
      <c r="Q424" s="2" t="n"/>
      <c r="R424" s="2" t="n"/>
    </row>
    <row r="425" ht="25" customHeight="1">
      <c r="A425" s="3">
        <f>IF(B425="","","DS-"&amp;TEXT(ROW()-1,"0000"))</f>
        <v/>
      </c>
      <c r="B425" s="3" t="n"/>
      <c r="C425" s="3">
        <f>IFERROR(XLOOKUP(B425,'Opportunity Scoring'!$A:$A,'Opportunity Scoring'!$B:$B),"")</f>
        <v/>
      </c>
      <c r="D425" s="3" t="n"/>
      <c r="E425" s="3" t="n"/>
      <c r="F425" s="3">
        <f>IFERROR(XLOOKUP(B425,'Opportunity Scoring'!$A:$A,'Opportunity Scoring'!$D:$D),"")</f>
        <v/>
      </c>
      <c r="G425" s="3" t="n"/>
      <c r="H425" s="3" t="n"/>
      <c r="I425" s="3" t="n"/>
      <c r="J425" s="3" t="n"/>
      <c r="K425" s="3" t="n"/>
      <c r="L425" s="3" t="n"/>
      <c r="M425" s="3" t="n"/>
      <c r="N425" s="3" t="n"/>
      <c r="O425" s="3" t="n"/>
      <c r="P425" s="3" t="n"/>
      <c r="Q425" s="3" t="n"/>
      <c r="R425" s="3" t="n"/>
    </row>
    <row r="426" ht="25" customHeight="1">
      <c r="A426" s="2">
        <f>IF(B426="","","DS-"&amp;TEXT(ROW()-1,"0000"))</f>
        <v/>
      </c>
      <c r="B426" s="2" t="n"/>
      <c r="C426" s="2">
        <f>IFERROR(XLOOKUP(B426,'Opportunity Scoring'!$A:$A,'Opportunity Scoring'!$B:$B),"")</f>
        <v/>
      </c>
      <c r="D426" s="2" t="n"/>
      <c r="E426" s="2" t="n"/>
      <c r="F426" s="2">
        <f>IFERROR(XLOOKUP(B426,'Opportunity Scoring'!$A:$A,'Opportunity Scoring'!$D:$D),"")</f>
        <v/>
      </c>
      <c r="G426" s="2" t="n"/>
      <c r="H426" s="2" t="n"/>
      <c r="I426" s="2" t="n"/>
      <c r="J426" s="2" t="n"/>
      <c r="K426" s="2" t="n"/>
      <c r="L426" s="2" t="n"/>
      <c r="M426" s="2" t="n"/>
      <c r="N426" s="2" t="n"/>
      <c r="O426" s="2" t="n"/>
      <c r="P426" s="2" t="n"/>
      <c r="Q426" s="2" t="n"/>
      <c r="R426" s="2" t="n"/>
    </row>
    <row r="427" ht="25" customHeight="1">
      <c r="A427" s="3">
        <f>IF(B427="","","DS-"&amp;TEXT(ROW()-1,"0000"))</f>
        <v/>
      </c>
      <c r="B427" s="3" t="n"/>
      <c r="C427" s="3">
        <f>IFERROR(XLOOKUP(B427,'Opportunity Scoring'!$A:$A,'Opportunity Scoring'!$B:$B),"")</f>
        <v/>
      </c>
      <c r="D427" s="3" t="n"/>
      <c r="E427" s="3" t="n"/>
      <c r="F427" s="3">
        <f>IFERROR(XLOOKUP(B427,'Opportunity Scoring'!$A:$A,'Opportunity Scoring'!$D:$D),"")</f>
        <v/>
      </c>
      <c r="G427" s="3" t="n"/>
      <c r="H427" s="3" t="n"/>
      <c r="I427" s="3" t="n"/>
      <c r="J427" s="3" t="n"/>
      <c r="K427" s="3" t="n"/>
      <c r="L427" s="3" t="n"/>
      <c r="M427" s="3" t="n"/>
      <c r="N427" s="3" t="n"/>
      <c r="O427" s="3" t="n"/>
      <c r="P427" s="3" t="n"/>
      <c r="Q427" s="3" t="n"/>
      <c r="R427" s="3" t="n"/>
    </row>
    <row r="428" ht="25" customHeight="1">
      <c r="A428" s="2">
        <f>IF(B428="","","DS-"&amp;TEXT(ROW()-1,"0000"))</f>
        <v/>
      </c>
      <c r="B428" s="2" t="n"/>
      <c r="C428" s="2">
        <f>IFERROR(XLOOKUP(B428,'Opportunity Scoring'!$A:$A,'Opportunity Scoring'!$B:$B),"")</f>
        <v/>
      </c>
      <c r="D428" s="2" t="n"/>
      <c r="E428" s="2" t="n"/>
      <c r="F428" s="2">
        <f>IFERROR(XLOOKUP(B428,'Opportunity Scoring'!$A:$A,'Opportunity Scoring'!$D:$D),"")</f>
        <v/>
      </c>
      <c r="G428" s="2" t="n"/>
      <c r="H428" s="2" t="n"/>
      <c r="I428" s="2" t="n"/>
      <c r="J428" s="2" t="n"/>
      <c r="K428" s="2" t="n"/>
      <c r="L428" s="2" t="n"/>
      <c r="M428" s="2" t="n"/>
      <c r="N428" s="2" t="n"/>
      <c r="O428" s="2" t="n"/>
      <c r="P428" s="2" t="n"/>
      <c r="Q428" s="2" t="n"/>
      <c r="R428" s="2" t="n"/>
    </row>
    <row r="429" ht="25" customHeight="1">
      <c r="A429" s="3">
        <f>IF(B429="","","DS-"&amp;TEXT(ROW()-1,"0000"))</f>
        <v/>
      </c>
      <c r="B429" s="3" t="n"/>
      <c r="C429" s="3">
        <f>IFERROR(XLOOKUP(B429,'Opportunity Scoring'!$A:$A,'Opportunity Scoring'!$B:$B),"")</f>
        <v/>
      </c>
      <c r="D429" s="3" t="n"/>
      <c r="E429" s="3" t="n"/>
      <c r="F429" s="3">
        <f>IFERROR(XLOOKUP(B429,'Opportunity Scoring'!$A:$A,'Opportunity Scoring'!$D:$D),"")</f>
        <v/>
      </c>
      <c r="G429" s="3" t="n"/>
      <c r="H429" s="3" t="n"/>
      <c r="I429" s="3" t="n"/>
      <c r="J429" s="3" t="n"/>
      <c r="K429" s="3" t="n"/>
      <c r="L429" s="3" t="n"/>
      <c r="M429" s="3" t="n"/>
      <c r="N429" s="3" t="n"/>
      <c r="O429" s="3" t="n"/>
      <c r="P429" s="3" t="n"/>
      <c r="Q429" s="3" t="n"/>
      <c r="R429" s="3" t="n"/>
    </row>
    <row r="430" ht="25" customHeight="1">
      <c r="A430" s="2">
        <f>IF(B430="","","DS-"&amp;TEXT(ROW()-1,"0000"))</f>
        <v/>
      </c>
      <c r="B430" s="2" t="n"/>
      <c r="C430" s="2">
        <f>IFERROR(XLOOKUP(B430,'Opportunity Scoring'!$A:$A,'Opportunity Scoring'!$B:$B),"")</f>
        <v/>
      </c>
      <c r="D430" s="2" t="n"/>
      <c r="E430" s="2" t="n"/>
      <c r="F430" s="2">
        <f>IFERROR(XLOOKUP(B430,'Opportunity Scoring'!$A:$A,'Opportunity Scoring'!$D:$D),"")</f>
        <v/>
      </c>
      <c r="G430" s="2" t="n"/>
      <c r="H430" s="2" t="n"/>
      <c r="I430" s="2" t="n"/>
      <c r="J430" s="2" t="n"/>
      <c r="K430" s="2" t="n"/>
      <c r="L430" s="2" t="n"/>
      <c r="M430" s="2" t="n"/>
      <c r="N430" s="2" t="n"/>
      <c r="O430" s="2" t="n"/>
      <c r="P430" s="2" t="n"/>
      <c r="Q430" s="2" t="n"/>
      <c r="R430" s="2" t="n"/>
    </row>
    <row r="431" ht="25" customHeight="1">
      <c r="A431" s="3">
        <f>IF(B431="","","DS-"&amp;TEXT(ROW()-1,"0000"))</f>
        <v/>
      </c>
      <c r="B431" s="3" t="n"/>
      <c r="C431" s="3">
        <f>IFERROR(XLOOKUP(B431,'Opportunity Scoring'!$A:$A,'Opportunity Scoring'!$B:$B),"")</f>
        <v/>
      </c>
      <c r="D431" s="3" t="n"/>
      <c r="E431" s="3" t="n"/>
      <c r="F431" s="3">
        <f>IFERROR(XLOOKUP(B431,'Opportunity Scoring'!$A:$A,'Opportunity Scoring'!$D:$D),"")</f>
        <v/>
      </c>
      <c r="G431" s="3" t="n"/>
      <c r="H431" s="3" t="n"/>
      <c r="I431" s="3" t="n"/>
      <c r="J431" s="3" t="n"/>
      <c r="K431" s="3" t="n"/>
      <c r="L431" s="3" t="n"/>
      <c r="M431" s="3" t="n"/>
      <c r="N431" s="3" t="n"/>
      <c r="O431" s="3" t="n"/>
      <c r="P431" s="3" t="n"/>
      <c r="Q431" s="3" t="n"/>
      <c r="R431" s="3" t="n"/>
    </row>
    <row r="432" ht="25" customHeight="1">
      <c r="A432" s="2">
        <f>IF(B432="","","DS-"&amp;TEXT(ROW()-1,"0000"))</f>
        <v/>
      </c>
      <c r="B432" s="2" t="n"/>
      <c r="C432" s="2">
        <f>IFERROR(XLOOKUP(B432,'Opportunity Scoring'!$A:$A,'Opportunity Scoring'!$B:$B),"")</f>
        <v/>
      </c>
      <c r="D432" s="2" t="n"/>
      <c r="E432" s="2" t="n"/>
      <c r="F432" s="2">
        <f>IFERROR(XLOOKUP(B432,'Opportunity Scoring'!$A:$A,'Opportunity Scoring'!$D:$D),"")</f>
        <v/>
      </c>
      <c r="G432" s="2" t="n"/>
      <c r="H432" s="2" t="n"/>
      <c r="I432" s="2" t="n"/>
      <c r="J432" s="2" t="n"/>
      <c r="K432" s="2" t="n"/>
      <c r="L432" s="2" t="n"/>
      <c r="M432" s="2" t="n"/>
      <c r="N432" s="2" t="n"/>
      <c r="O432" s="2" t="n"/>
      <c r="P432" s="2" t="n"/>
      <c r="Q432" s="2" t="n"/>
      <c r="R432" s="2" t="n"/>
    </row>
    <row r="433" ht="25" customHeight="1">
      <c r="A433" s="3">
        <f>IF(B433="","","DS-"&amp;TEXT(ROW()-1,"0000"))</f>
        <v/>
      </c>
      <c r="B433" s="3" t="n"/>
      <c r="C433" s="3">
        <f>IFERROR(XLOOKUP(B433,'Opportunity Scoring'!$A:$A,'Opportunity Scoring'!$B:$B),"")</f>
        <v/>
      </c>
      <c r="D433" s="3" t="n"/>
      <c r="E433" s="3" t="n"/>
      <c r="F433" s="3">
        <f>IFERROR(XLOOKUP(B433,'Opportunity Scoring'!$A:$A,'Opportunity Scoring'!$D:$D),"")</f>
        <v/>
      </c>
      <c r="G433" s="3" t="n"/>
      <c r="H433" s="3" t="n"/>
      <c r="I433" s="3" t="n"/>
      <c r="J433" s="3" t="n"/>
      <c r="K433" s="3" t="n"/>
      <c r="L433" s="3" t="n"/>
      <c r="M433" s="3" t="n"/>
      <c r="N433" s="3" t="n"/>
      <c r="O433" s="3" t="n"/>
      <c r="P433" s="3" t="n"/>
      <c r="Q433" s="3" t="n"/>
      <c r="R433" s="3" t="n"/>
    </row>
    <row r="434" ht="25" customHeight="1">
      <c r="A434" s="2">
        <f>IF(B434="","","DS-"&amp;TEXT(ROW()-1,"0000"))</f>
        <v/>
      </c>
      <c r="B434" s="2" t="n"/>
      <c r="C434" s="2">
        <f>IFERROR(XLOOKUP(B434,'Opportunity Scoring'!$A:$A,'Opportunity Scoring'!$B:$B),"")</f>
        <v/>
      </c>
      <c r="D434" s="2" t="n"/>
      <c r="E434" s="2" t="n"/>
      <c r="F434" s="2">
        <f>IFERROR(XLOOKUP(B434,'Opportunity Scoring'!$A:$A,'Opportunity Scoring'!$D:$D),"")</f>
        <v/>
      </c>
      <c r="G434" s="2" t="n"/>
      <c r="H434" s="2" t="n"/>
      <c r="I434" s="2" t="n"/>
      <c r="J434" s="2" t="n"/>
      <c r="K434" s="2" t="n"/>
      <c r="L434" s="2" t="n"/>
      <c r="M434" s="2" t="n"/>
      <c r="N434" s="2" t="n"/>
      <c r="O434" s="2" t="n"/>
      <c r="P434" s="2" t="n"/>
      <c r="Q434" s="2" t="n"/>
      <c r="R434" s="2" t="n"/>
    </row>
    <row r="435" ht="25" customHeight="1">
      <c r="A435" s="3">
        <f>IF(B435="","","DS-"&amp;TEXT(ROW()-1,"0000"))</f>
        <v/>
      </c>
      <c r="B435" s="3" t="n"/>
      <c r="C435" s="3">
        <f>IFERROR(XLOOKUP(B435,'Opportunity Scoring'!$A:$A,'Opportunity Scoring'!$B:$B),"")</f>
        <v/>
      </c>
      <c r="D435" s="3" t="n"/>
      <c r="E435" s="3" t="n"/>
      <c r="F435" s="3">
        <f>IFERROR(XLOOKUP(B435,'Opportunity Scoring'!$A:$A,'Opportunity Scoring'!$D:$D),"")</f>
        <v/>
      </c>
      <c r="G435" s="3" t="n"/>
      <c r="H435" s="3" t="n"/>
      <c r="I435" s="3" t="n"/>
      <c r="J435" s="3" t="n"/>
      <c r="K435" s="3" t="n"/>
      <c r="L435" s="3" t="n"/>
      <c r="M435" s="3" t="n"/>
      <c r="N435" s="3" t="n"/>
      <c r="O435" s="3" t="n"/>
      <c r="P435" s="3" t="n"/>
      <c r="Q435" s="3" t="n"/>
      <c r="R435" s="3" t="n"/>
    </row>
    <row r="436" ht="25" customHeight="1">
      <c r="A436" s="2">
        <f>IF(B436="","","DS-"&amp;TEXT(ROW()-1,"0000"))</f>
        <v/>
      </c>
      <c r="B436" s="2" t="n"/>
      <c r="C436" s="2">
        <f>IFERROR(XLOOKUP(B436,'Opportunity Scoring'!$A:$A,'Opportunity Scoring'!$B:$B),"")</f>
        <v/>
      </c>
      <c r="D436" s="2" t="n"/>
      <c r="E436" s="2" t="n"/>
      <c r="F436" s="2">
        <f>IFERROR(XLOOKUP(B436,'Opportunity Scoring'!$A:$A,'Opportunity Scoring'!$D:$D),"")</f>
        <v/>
      </c>
      <c r="G436" s="2" t="n"/>
      <c r="H436" s="2" t="n"/>
      <c r="I436" s="2" t="n"/>
      <c r="J436" s="2" t="n"/>
      <c r="K436" s="2" t="n"/>
      <c r="L436" s="2" t="n"/>
      <c r="M436" s="2" t="n"/>
      <c r="N436" s="2" t="n"/>
      <c r="O436" s="2" t="n"/>
      <c r="P436" s="2" t="n"/>
      <c r="Q436" s="2" t="n"/>
      <c r="R436" s="2" t="n"/>
    </row>
    <row r="437" ht="25" customHeight="1">
      <c r="A437" s="3">
        <f>IF(B437="","","DS-"&amp;TEXT(ROW()-1,"0000"))</f>
        <v/>
      </c>
      <c r="B437" s="3" t="n"/>
      <c r="C437" s="3">
        <f>IFERROR(XLOOKUP(B437,'Opportunity Scoring'!$A:$A,'Opportunity Scoring'!$B:$B),"")</f>
        <v/>
      </c>
      <c r="D437" s="3" t="n"/>
      <c r="E437" s="3" t="n"/>
      <c r="F437" s="3">
        <f>IFERROR(XLOOKUP(B437,'Opportunity Scoring'!$A:$A,'Opportunity Scoring'!$D:$D),"")</f>
        <v/>
      </c>
      <c r="G437" s="3" t="n"/>
      <c r="H437" s="3" t="n"/>
      <c r="I437" s="3" t="n"/>
      <c r="J437" s="3" t="n"/>
      <c r="K437" s="3" t="n"/>
      <c r="L437" s="3" t="n"/>
      <c r="M437" s="3" t="n"/>
      <c r="N437" s="3" t="n"/>
      <c r="O437" s="3" t="n"/>
      <c r="P437" s="3" t="n"/>
      <c r="Q437" s="3" t="n"/>
      <c r="R437" s="3" t="n"/>
    </row>
    <row r="438" ht="25" customHeight="1">
      <c r="A438" s="2">
        <f>IF(B438="","","DS-"&amp;TEXT(ROW()-1,"0000"))</f>
        <v/>
      </c>
      <c r="B438" s="2" t="n"/>
      <c r="C438" s="2">
        <f>IFERROR(XLOOKUP(B438,'Opportunity Scoring'!$A:$A,'Opportunity Scoring'!$B:$B),"")</f>
        <v/>
      </c>
      <c r="D438" s="2" t="n"/>
      <c r="E438" s="2" t="n"/>
      <c r="F438" s="2">
        <f>IFERROR(XLOOKUP(B438,'Opportunity Scoring'!$A:$A,'Opportunity Scoring'!$D:$D),"")</f>
        <v/>
      </c>
      <c r="G438" s="2" t="n"/>
      <c r="H438" s="2" t="n"/>
      <c r="I438" s="2" t="n"/>
      <c r="J438" s="2" t="n"/>
      <c r="K438" s="2" t="n"/>
      <c r="L438" s="2" t="n"/>
      <c r="M438" s="2" t="n"/>
      <c r="N438" s="2" t="n"/>
      <c r="O438" s="2" t="n"/>
      <c r="P438" s="2" t="n"/>
      <c r="Q438" s="2" t="n"/>
      <c r="R438" s="2" t="n"/>
    </row>
    <row r="439" ht="25" customHeight="1">
      <c r="A439" s="3">
        <f>IF(B439="","","DS-"&amp;TEXT(ROW()-1,"0000"))</f>
        <v/>
      </c>
      <c r="B439" s="3" t="n"/>
      <c r="C439" s="3">
        <f>IFERROR(XLOOKUP(B439,'Opportunity Scoring'!$A:$A,'Opportunity Scoring'!$B:$B),"")</f>
        <v/>
      </c>
      <c r="D439" s="3" t="n"/>
      <c r="E439" s="3" t="n"/>
      <c r="F439" s="3">
        <f>IFERROR(XLOOKUP(B439,'Opportunity Scoring'!$A:$A,'Opportunity Scoring'!$D:$D),"")</f>
        <v/>
      </c>
      <c r="G439" s="3" t="n"/>
      <c r="H439" s="3" t="n"/>
      <c r="I439" s="3" t="n"/>
      <c r="J439" s="3" t="n"/>
      <c r="K439" s="3" t="n"/>
      <c r="L439" s="3" t="n"/>
      <c r="M439" s="3" t="n"/>
      <c r="N439" s="3" t="n"/>
      <c r="O439" s="3" t="n"/>
      <c r="P439" s="3" t="n"/>
      <c r="Q439" s="3" t="n"/>
      <c r="R439" s="3" t="n"/>
    </row>
    <row r="440" ht="25" customHeight="1">
      <c r="A440" s="2">
        <f>IF(B440="","","DS-"&amp;TEXT(ROW()-1,"0000"))</f>
        <v/>
      </c>
      <c r="B440" s="2" t="n"/>
      <c r="C440" s="2">
        <f>IFERROR(XLOOKUP(B440,'Opportunity Scoring'!$A:$A,'Opportunity Scoring'!$B:$B),"")</f>
        <v/>
      </c>
      <c r="D440" s="2" t="n"/>
      <c r="E440" s="2" t="n"/>
      <c r="F440" s="2">
        <f>IFERROR(XLOOKUP(B440,'Opportunity Scoring'!$A:$A,'Opportunity Scoring'!$D:$D),"")</f>
        <v/>
      </c>
      <c r="G440" s="2" t="n"/>
      <c r="H440" s="2" t="n"/>
      <c r="I440" s="2" t="n"/>
      <c r="J440" s="2" t="n"/>
      <c r="K440" s="2" t="n"/>
      <c r="L440" s="2" t="n"/>
      <c r="M440" s="2" t="n"/>
      <c r="N440" s="2" t="n"/>
      <c r="O440" s="2" t="n"/>
      <c r="P440" s="2" t="n"/>
      <c r="Q440" s="2" t="n"/>
      <c r="R440" s="2" t="n"/>
    </row>
    <row r="441" ht="25" customHeight="1">
      <c r="A441" s="3">
        <f>IF(B441="","","DS-"&amp;TEXT(ROW()-1,"0000"))</f>
        <v/>
      </c>
      <c r="B441" s="3" t="n"/>
      <c r="C441" s="3">
        <f>IFERROR(XLOOKUP(B441,'Opportunity Scoring'!$A:$A,'Opportunity Scoring'!$B:$B),"")</f>
        <v/>
      </c>
      <c r="D441" s="3" t="n"/>
      <c r="E441" s="3" t="n"/>
      <c r="F441" s="3">
        <f>IFERROR(XLOOKUP(B441,'Opportunity Scoring'!$A:$A,'Opportunity Scoring'!$D:$D),"")</f>
        <v/>
      </c>
      <c r="G441" s="3" t="n"/>
      <c r="H441" s="3" t="n"/>
      <c r="I441" s="3" t="n"/>
      <c r="J441" s="3" t="n"/>
      <c r="K441" s="3" t="n"/>
      <c r="L441" s="3" t="n"/>
      <c r="M441" s="3" t="n"/>
      <c r="N441" s="3" t="n"/>
      <c r="O441" s="3" t="n"/>
      <c r="P441" s="3" t="n"/>
      <c r="Q441" s="3" t="n"/>
      <c r="R441" s="3" t="n"/>
    </row>
    <row r="442" ht="25" customHeight="1">
      <c r="A442" s="2">
        <f>IF(B442="","","DS-"&amp;TEXT(ROW()-1,"0000"))</f>
        <v/>
      </c>
      <c r="B442" s="2" t="n"/>
      <c r="C442" s="2">
        <f>IFERROR(XLOOKUP(B442,'Opportunity Scoring'!$A:$A,'Opportunity Scoring'!$B:$B),"")</f>
        <v/>
      </c>
      <c r="D442" s="2" t="n"/>
      <c r="E442" s="2" t="n"/>
      <c r="F442" s="2">
        <f>IFERROR(XLOOKUP(B442,'Opportunity Scoring'!$A:$A,'Opportunity Scoring'!$D:$D),"")</f>
        <v/>
      </c>
      <c r="G442" s="2" t="n"/>
      <c r="H442" s="2" t="n"/>
      <c r="I442" s="2" t="n"/>
      <c r="J442" s="2" t="n"/>
      <c r="K442" s="2" t="n"/>
      <c r="L442" s="2" t="n"/>
      <c r="M442" s="2" t="n"/>
      <c r="N442" s="2" t="n"/>
      <c r="O442" s="2" t="n"/>
      <c r="P442" s="2" t="n"/>
      <c r="Q442" s="2" t="n"/>
      <c r="R442" s="2" t="n"/>
    </row>
    <row r="443" ht="25" customHeight="1">
      <c r="A443" s="3">
        <f>IF(B443="","","DS-"&amp;TEXT(ROW()-1,"0000"))</f>
        <v/>
      </c>
      <c r="B443" s="3" t="n"/>
      <c r="C443" s="3">
        <f>IFERROR(XLOOKUP(B443,'Opportunity Scoring'!$A:$A,'Opportunity Scoring'!$B:$B),"")</f>
        <v/>
      </c>
      <c r="D443" s="3" t="n"/>
      <c r="E443" s="3" t="n"/>
      <c r="F443" s="3">
        <f>IFERROR(XLOOKUP(B443,'Opportunity Scoring'!$A:$A,'Opportunity Scoring'!$D:$D),"")</f>
        <v/>
      </c>
      <c r="G443" s="3" t="n"/>
      <c r="H443" s="3" t="n"/>
      <c r="I443" s="3" t="n"/>
      <c r="J443" s="3" t="n"/>
      <c r="K443" s="3" t="n"/>
      <c r="L443" s="3" t="n"/>
      <c r="M443" s="3" t="n"/>
      <c r="N443" s="3" t="n"/>
      <c r="O443" s="3" t="n"/>
      <c r="P443" s="3" t="n"/>
      <c r="Q443" s="3" t="n"/>
      <c r="R443" s="3" t="n"/>
    </row>
    <row r="444" ht="25" customHeight="1">
      <c r="A444" s="2">
        <f>IF(B444="","","DS-"&amp;TEXT(ROW()-1,"0000"))</f>
        <v/>
      </c>
      <c r="B444" s="2" t="n"/>
      <c r="C444" s="2">
        <f>IFERROR(XLOOKUP(B444,'Opportunity Scoring'!$A:$A,'Opportunity Scoring'!$B:$B),"")</f>
        <v/>
      </c>
      <c r="D444" s="2" t="n"/>
      <c r="E444" s="2" t="n"/>
      <c r="F444" s="2">
        <f>IFERROR(XLOOKUP(B444,'Opportunity Scoring'!$A:$A,'Opportunity Scoring'!$D:$D),"")</f>
        <v/>
      </c>
      <c r="G444" s="2" t="n"/>
      <c r="H444" s="2" t="n"/>
      <c r="I444" s="2" t="n"/>
      <c r="J444" s="2" t="n"/>
      <c r="K444" s="2" t="n"/>
      <c r="L444" s="2" t="n"/>
      <c r="M444" s="2" t="n"/>
      <c r="N444" s="2" t="n"/>
      <c r="O444" s="2" t="n"/>
      <c r="P444" s="2" t="n"/>
      <c r="Q444" s="2" t="n"/>
      <c r="R444" s="2" t="n"/>
    </row>
    <row r="445" ht="25" customHeight="1">
      <c r="A445" s="3">
        <f>IF(B445="","","DS-"&amp;TEXT(ROW()-1,"0000"))</f>
        <v/>
      </c>
      <c r="B445" s="3" t="n"/>
      <c r="C445" s="3">
        <f>IFERROR(XLOOKUP(B445,'Opportunity Scoring'!$A:$A,'Opportunity Scoring'!$B:$B),"")</f>
        <v/>
      </c>
      <c r="D445" s="3" t="n"/>
      <c r="E445" s="3" t="n"/>
      <c r="F445" s="3">
        <f>IFERROR(XLOOKUP(B445,'Opportunity Scoring'!$A:$A,'Opportunity Scoring'!$D:$D),"")</f>
        <v/>
      </c>
      <c r="G445" s="3" t="n"/>
      <c r="H445" s="3" t="n"/>
      <c r="I445" s="3" t="n"/>
      <c r="J445" s="3" t="n"/>
      <c r="K445" s="3" t="n"/>
      <c r="L445" s="3" t="n"/>
      <c r="M445" s="3" t="n"/>
      <c r="N445" s="3" t="n"/>
      <c r="O445" s="3" t="n"/>
      <c r="P445" s="3" t="n"/>
      <c r="Q445" s="3" t="n"/>
      <c r="R445" s="3" t="n"/>
    </row>
    <row r="446" ht="25" customHeight="1">
      <c r="A446" s="2">
        <f>IF(B446="","","DS-"&amp;TEXT(ROW()-1,"0000"))</f>
        <v/>
      </c>
      <c r="B446" s="2" t="n"/>
      <c r="C446" s="2">
        <f>IFERROR(XLOOKUP(B446,'Opportunity Scoring'!$A:$A,'Opportunity Scoring'!$B:$B),"")</f>
        <v/>
      </c>
      <c r="D446" s="2" t="n"/>
      <c r="E446" s="2" t="n"/>
      <c r="F446" s="2">
        <f>IFERROR(XLOOKUP(B446,'Opportunity Scoring'!$A:$A,'Opportunity Scoring'!$D:$D),"")</f>
        <v/>
      </c>
      <c r="G446" s="2" t="n"/>
      <c r="H446" s="2" t="n"/>
      <c r="I446" s="2" t="n"/>
      <c r="J446" s="2" t="n"/>
      <c r="K446" s="2" t="n"/>
      <c r="L446" s="2" t="n"/>
      <c r="M446" s="2" t="n"/>
      <c r="N446" s="2" t="n"/>
      <c r="O446" s="2" t="n"/>
      <c r="P446" s="2" t="n"/>
      <c r="Q446" s="2" t="n"/>
      <c r="R446" s="2" t="n"/>
    </row>
    <row r="447" ht="25" customHeight="1">
      <c r="A447" s="3">
        <f>IF(B447="","","DS-"&amp;TEXT(ROW()-1,"0000"))</f>
        <v/>
      </c>
      <c r="B447" s="3" t="n"/>
      <c r="C447" s="3">
        <f>IFERROR(XLOOKUP(B447,'Opportunity Scoring'!$A:$A,'Opportunity Scoring'!$B:$B),"")</f>
        <v/>
      </c>
      <c r="D447" s="3" t="n"/>
      <c r="E447" s="3" t="n"/>
      <c r="F447" s="3">
        <f>IFERROR(XLOOKUP(B447,'Opportunity Scoring'!$A:$A,'Opportunity Scoring'!$D:$D),"")</f>
        <v/>
      </c>
      <c r="G447" s="3" t="n"/>
      <c r="H447" s="3" t="n"/>
      <c r="I447" s="3" t="n"/>
      <c r="J447" s="3" t="n"/>
      <c r="K447" s="3" t="n"/>
      <c r="L447" s="3" t="n"/>
      <c r="M447" s="3" t="n"/>
      <c r="N447" s="3" t="n"/>
      <c r="O447" s="3" t="n"/>
      <c r="P447" s="3" t="n"/>
      <c r="Q447" s="3" t="n"/>
      <c r="R447" s="3" t="n"/>
    </row>
    <row r="448" ht="25" customHeight="1">
      <c r="A448" s="2">
        <f>IF(B448="","","DS-"&amp;TEXT(ROW()-1,"0000"))</f>
        <v/>
      </c>
      <c r="B448" s="2" t="n"/>
      <c r="C448" s="2">
        <f>IFERROR(XLOOKUP(B448,'Opportunity Scoring'!$A:$A,'Opportunity Scoring'!$B:$B),"")</f>
        <v/>
      </c>
      <c r="D448" s="2" t="n"/>
      <c r="E448" s="2" t="n"/>
      <c r="F448" s="2">
        <f>IFERROR(XLOOKUP(B448,'Opportunity Scoring'!$A:$A,'Opportunity Scoring'!$D:$D),"")</f>
        <v/>
      </c>
      <c r="G448" s="2" t="n"/>
      <c r="H448" s="2" t="n"/>
      <c r="I448" s="2" t="n"/>
      <c r="J448" s="2" t="n"/>
      <c r="K448" s="2" t="n"/>
      <c r="L448" s="2" t="n"/>
      <c r="M448" s="2" t="n"/>
      <c r="N448" s="2" t="n"/>
      <c r="O448" s="2" t="n"/>
      <c r="P448" s="2" t="n"/>
      <c r="Q448" s="2" t="n"/>
      <c r="R448" s="2" t="n"/>
    </row>
    <row r="449" ht="25" customHeight="1">
      <c r="A449" s="3">
        <f>IF(B449="","","DS-"&amp;TEXT(ROW()-1,"0000"))</f>
        <v/>
      </c>
      <c r="B449" s="3" t="n"/>
      <c r="C449" s="3">
        <f>IFERROR(XLOOKUP(B449,'Opportunity Scoring'!$A:$A,'Opportunity Scoring'!$B:$B),"")</f>
        <v/>
      </c>
      <c r="D449" s="3" t="n"/>
      <c r="E449" s="3" t="n"/>
      <c r="F449" s="3">
        <f>IFERROR(XLOOKUP(B449,'Opportunity Scoring'!$A:$A,'Opportunity Scoring'!$D:$D),"")</f>
        <v/>
      </c>
      <c r="G449" s="3" t="n"/>
      <c r="H449" s="3" t="n"/>
      <c r="I449" s="3" t="n"/>
      <c r="J449" s="3" t="n"/>
      <c r="K449" s="3" t="n"/>
      <c r="L449" s="3" t="n"/>
      <c r="M449" s="3" t="n"/>
      <c r="N449" s="3" t="n"/>
      <c r="O449" s="3" t="n"/>
      <c r="P449" s="3" t="n"/>
      <c r="Q449" s="3" t="n"/>
      <c r="R449" s="3" t="n"/>
    </row>
    <row r="450" ht="25" customHeight="1">
      <c r="A450" s="2">
        <f>IF(B450="","","DS-"&amp;TEXT(ROW()-1,"0000"))</f>
        <v/>
      </c>
      <c r="B450" s="2" t="n"/>
      <c r="C450" s="2">
        <f>IFERROR(XLOOKUP(B450,'Opportunity Scoring'!$A:$A,'Opportunity Scoring'!$B:$B),"")</f>
        <v/>
      </c>
      <c r="D450" s="2" t="n"/>
      <c r="E450" s="2" t="n"/>
      <c r="F450" s="2">
        <f>IFERROR(XLOOKUP(B450,'Opportunity Scoring'!$A:$A,'Opportunity Scoring'!$D:$D),"")</f>
        <v/>
      </c>
      <c r="G450" s="2" t="n"/>
      <c r="H450" s="2" t="n"/>
      <c r="I450" s="2" t="n"/>
      <c r="J450" s="2" t="n"/>
      <c r="K450" s="2" t="n"/>
      <c r="L450" s="2" t="n"/>
      <c r="M450" s="2" t="n"/>
      <c r="N450" s="2" t="n"/>
      <c r="O450" s="2" t="n"/>
      <c r="P450" s="2" t="n"/>
      <c r="Q450" s="2" t="n"/>
      <c r="R450" s="2" t="n"/>
    </row>
    <row r="451" ht="25" customHeight="1">
      <c r="A451" s="3">
        <f>IF(B451="","","DS-"&amp;TEXT(ROW()-1,"0000"))</f>
        <v/>
      </c>
      <c r="B451" s="3" t="n"/>
      <c r="C451" s="3">
        <f>IFERROR(XLOOKUP(B451,'Opportunity Scoring'!$A:$A,'Opportunity Scoring'!$B:$B),"")</f>
        <v/>
      </c>
      <c r="D451" s="3" t="n"/>
      <c r="E451" s="3" t="n"/>
      <c r="F451" s="3">
        <f>IFERROR(XLOOKUP(B451,'Opportunity Scoring'!$A:$A,'Opportunity Scoring'!$D:$D),"")</f>
        <v/>
      </c>
      <c r="G451" s="3" t="n"/>
      <c r="H451" s="3" t="n"/>
      <c r="I451" s="3" t="n"/>
      <c r="J451" s="3" t="n"/>
      <c r="K451" s="3" t="n"/>
      <c r="L451" s="3" t="n"/>
      <c r="M451" s="3" t="n"/>
      <c r="N451" s="3" t="n"/>
      <c r="O451" s="3" t="n"/>
      <c r="P451" s="3" t="n"/>
      <c r="Q451" s="3" t="n"/>
      <c r="R451" s="3" t="n"/>
    </row>
    <row r="452" ht="25" customHeight="1">
      <c r="A452" s="2">
        <f>IF(B452="","","DS-"&amp;TEXT(ROW()-1,"0000"))</f>
        <v/>
      </c>
      <c r="B452" s="2" t="n"/>
      <c r="C452" s="2">
        <f>IFERROR(XLOOKUP(B452,'Opportunity Scoring'!$A:$A,'Opportunity Scoring'!$B:$B),"")</f>
        <v/>
      </c>
      <c r="D452" s="2" t="n"/>
      <c r="E452" s="2" t="n"/>
      <c r="F452" s="2">
        <f>IFERROR(XLOOKUP(B452,'Opportunity Scoring'!$A:$A,'Opportunity Scoring'!$D:$D),"")</f>
        <v/>
      </c>
      <c r="G452" s="2" t="n"/>
      <c r="H452" s="2" t="n"/>
      <c r="I452" s="2" t="n"/>
      <c r="J452" s="2" t="n"/>
      <c r="K452" s="2" t="n"/>
      <c r="L452" s="2" t="n"/>
      <c r="M452" s="2" t="n"/>
      <c r="N452" s="2" t="n"/>
      <c r="O452" s="2" t="n"/>
      <c r="P452" s="2" t="n"/>
      <c r="Q452" s="2" t="n"/>
      <c r="R452" s="2" t="n"/>
    </row>
    <row r="453" ht="25" customHeight="1">
      <c r="A453" s="3">
        <f>IF(B453="","","DS-"&amp;TEXT(ROW()-1,"0000"))</f>
        <v/>
      </c>
      <c r="B453" s="3" t="n"/>
      <c r="C453" s="3">
        <f>IFERROR(XLOOKUP(B453,'Opportunity Scoring'!$A:$A,'Opportunity Scoring'!$B:$B),"")</f>
        <v/>
      </c>
      <c r="D453" s="3" t="n"/>
      <c r="E453" s="3" t="n"/>
      <c r="F453" s="3">
        <f>IFERROR(XLOOKUP(B453,'Opportunity Scoring'!$A:$A,'Opportunity Scoring'!$D:$D),"")</f>
        <v/>
      </c>
      <c r="G453" s="3" t="n"/>
      <c r="H453" s="3" t="n"/>
      <c r="I453" s="3" t="n"/>
      <c r="J453" s="3" t="n"/>
      <c r="K453" s="3" t="n"/>
      <c r="L453" s="3" t="n"/>
      <c r="M453" s="3" t="n"/>
      <c r="N453" s="3" t="n"/>
      <c r="O453" s="3" t="n"/>
      <c r="P453" s="3" t="n"/>
      <c r="Q453" s="3" t="n"/>
      <c r="R453" s="3" t="n"/>
    </row>
    <row r="454" ht="25" customHeight="1">
      <c r="A454" s="2">
        <f>IF(B454="","","DS-"&amp;TEXT(ROW()-1,"0000"))</f>
        <v/>
      </c>
      <c r="B454" s="2" t="n"/>
      <c r="C454" s="2">
        <f>IFERROR(XLOOKUP(B454,'Opportunity Scoring'!$A:$A,'Opportunity Scoring'!$B:$B),"")</f>
        <v/>
      </c>
      <c r="D454" s="2" t="n"/>
      <c r="E454" s="2" t="n"/>
      <c r="F454" s="2">
        <f>IFERROR(XLOOKUP(B454,'Opportunity Scoring'!$A:$A,'Opportunity Scoring'!$D:$D),"")</f>
        <v/>
      </c>
      <c r="G454" s="2" t="n"/>
      <c r="H454" s="2" t="n"/>
      <c r="I454" s="2" t="n"/>
      <c r="J454" s="2" t="n"/>
      <c r="K454" s="2" t="n"/>
      <c r="L454" s="2" t="n"/>
      <c r="M454" s="2" t="n"/>
      <c r="N454" s="2" t="n"/>
      <c r="O454" s="2" t="n"/>
      <c r="P454" s="2" t="n"/>
      <c r="Q454" s="2" t="n"/>
      <c r="R454" s="2" t="n"/>
    </row>
    <row r="455" ht="25" customHeight="1">
      <c r="A455" s="3">
        <f>IF(B455="","","DS-"&amp;TEXT(ROW()-1,"0000"))</f>
        <v/>
      </c>
      <c r="B455" s="3" t="n"/>
      <c r="C455" s="3">
        <f>IFERROR(XLOOKUP(B455,'Opportunity Scoring'!$A:$A,'Opportunity Scoring'!$B:$B),"")</f>
        <v/>
      </c>
      <c r="D455" s="3" t="n"/>
      <c r="E455" s="3" t="n"/>
      <c r="F455" s="3">
        <f>IFERROR(XLOOKUP(B455,'Opportunity Scoring'!$A:$A,'Opportunity Scoring'!$D:$D),"")</f>
        <v/>
      </c>
      <c r="G455" s="3" t="n"/>
      <c r="H455" s="3" t="n"/>
      <c r="I455" s="3" t="n"/>
      <c r="J455" s="3" t="n"/>
      <c r="K455" s="3" t="n"/>
      <c r="L455" s="3" t="n"/>
      <c r="M455" s="3" t="n"/>
      <c r="N455" s="3" t="n"/>
      <c r="O455" s="3" t="n"/>
      <c r="P455" s="3" t="n"/>
      <c r="Q455" s="3" t="n"/>
      <c r="R455" s="3" t="n"/>
    </row>
    <row r="456" ht="25" customHeight="1">
      <c r="A456" s="2">
        <f>IF(B456="","","DS-"&amp;TEXT(ROW()-1,"0000"))</f>
        <v/>
      </c>
      <c r="B456" s="2" t="n"/>
      <c r="C456" s="2">
        <f>IFERROR(XLOOKUP(B456,'Opportunity Scoring'!$A:$A,'Opportunity Scoring'!$B:$B),"")</f>
        <v/>
      </c>
      <c r="D456" s="2" t="n"/>
      <c r="E456" s="2" t="n"/>
      <c r="F456" s="2">
        <f>IFERROR(XLOOKUP(B456,'Opportunity Scoring'!$A:$A,'Opportunity Scoring'!$D:$D),"")</f>
        <v/>
      </c>
      <c r="G456" s="2" t="n"/>
      <c r="H456" s="2" t="n"/>
      <c r="I456" s="2" t="n"/>
      <c r="J456" s="2" t="n"/>
      <c r="K456" s="2" t="n"/>
      <c r="L456" s="2" t="n"/>
      <c r="M456" s="2" t="n"/>
      <c r="N456" s="2" t="n"/>
      <c r="O456" s="2" t="n"/>
      <c r="P456" s="2" t="n"/>
      <c r="Q456" s="2" t="n"/>
      <c r="R456" s="2" t="n"/>
    </row>
    <row r="457" ht="25" customHeight="1">
      <c r="A457" s="3">
        <f>IF(B457="","","DS-"&amp;TEXT(ROW()-1,"0000"))</f>
        <v/>
      </c>
      <c r="B457" s="3" t="n"/>
      <c r="C457" s="3">
        <f>IFERROR(XLOOKUP(B457,'Opportunity Scoring'!$A:$A,'Opportunity Scoring'!$B:$B),"")</f>
        <v/>
      </c>
      <c r="D457" s="3" t="n"/>
      <c r="E457" s="3" t="n"/>
      <c r="F457" s="3">
        <f>IFERROR(XLOOKUP(B457,'Opportunity Scoring'!$A:$A,'Opportunity Scoring'!$D:$D),"")</f>
        <v/>
      </c>
      <c r="G457" s="3" t="n"/>
      <c r="H457" s="3" t="n"/>
      <c r="I457" s="3" t="n"/>
      <c r="J457" s="3" t="n"/>
      <c r="K457" s="3" t="n"/>
      <c r="L457" s="3" t="n"/>
      <c r="M457" s="3" t="n"/>
      <c r="N457" s="3" t="n"/>
      <c r="O457" s="3" t="n"/>
      <c r="P457" s="3" t="n"/>
      <c r="Q457" s="3" t="n"/>
      <c r="R457" s="3" t="n"/>
    </row>
    <row r="458" ht="25" customHeight="1">
      <c r="A458" s="2">
        <f>IF(B458="","","DS-"&amp;TEXT(ROW()-1,"0000"))</f>
        <v/>
      </c>
      <c r="B458" s="2" t="n"/>
      <c r="C458" s="2">
        <f>IFERROR(XLOOKUP(B458,'Opportunity Scoring'!$A:$A,'Opportunity Scoring'!$B:$B),"")</f>
        <v/>
      </c>
      <c r="D458" s="2" t="n"/>
      <c r="E458" s="2" t="n"/>
      <c r="F458" s="2">
        <f>IFERROR(XLOOKUP(B458,'Opportunity Scoring'!$A:$A,'Opportunity Scoring'!$D:$D),"")</f>
        <v/>
      </c>
      <c r="G458" s="2" t="n"/>
      <c r="H458" s="2" t="n"/>
      <c r="I458" s="2" t="n"/>
      <c r="J458" s="2" t="n"/>
      <c r="K458" s="2" t="n"/>
      <c r="L458" s="2" t="n"/>
      <c r="M458" s="2" t="n"/>
      <c r="N458" s="2" t="n"/>
      <c r="O458" s="2" t="n"/>
      <c r="P458" s="2" t="n"/>
      <c r="Q458" s="2" t="n"/>
      <c r="R458" s="2" t="n"/>
    </row>
    <row r="459" ht="25" customHeight="1">
      <c r="A459" s="3">
        <f>IF(B459="","","DS-"&amp;TEXT(ROW()-1,"0000"))</f>
        <v/>
      </c>
      <c r="B459" s="3" t="n"/>
      <c r="C459" s="3">
        <f>IFERROR(XLOOKUP(B459,'Opportunity Scoring'!$A:$A,'Opportunity Scoring'!$B:$B),"")</f>
        <v/>
      </c>
      <c r="D459" s="3" t="n"/>
      <c r="E459" s="3" t="n"/>
      <c r="F459" s="3">
        <f>IFERROR(XLOOKUP(B459,'Opportunity Scoring'!$A:$A,'Opportunity Scoring'!$D:$D),"")</f>
        <v/>
      </c>
      <c r="G459" s="3" t="n"/>
      <c r="H459" s="3" t="n"/>
      <c r="I459" s="3" t="n"/>
      <c r="J459" s="3" t="n"/>
      <c r="K459" s="3" t="n"/>
      <c r="L459" s="3" t="n"/>
      <c r="M459" s="3" t="n"/>
      <c r="N459" s="3" t="n"/>
      <c r="O459" s="3" t="n"/>
      <c r="P459" s="3" t="n"/>
      <c r="Q459" s="3" t="n"/>
      <c r="R459" s="3" t="n"/>
    </row>
    <row r="460" ht="25" customHeight="1">
      <c r="A460" s="2">
        <f>IF(B460="","","DS-"&amp;TEXT(ROW()-1,"0000"))</f>
        <v/>
      </c>
      <c r="B460" s="2" t="n"/>
      <c r="C460" s="2">
        <f>IFERROR(XLOOKUP(B460,'Opportunity Scoring'!$A:$A,'Opportunity Scoring'!$B:$B),"")</f>
        <v/>
      </c>
      <c r="D460" s="2" t="n"/>
      <c r="E460" s="2" t="n"/>
      <c r="F460" s="2">
        <f>IFERROR(XLOOKUP(B460,'Opportunity Scoring'!$A:$A,'Opportunity Scoring'!$D:$D),"")</f>
        <v/>
      </c>
      <c r="G460" s="2" t="n"/>
      <c r="H460" s="2" t="n"/>
      <c r="I460" s="2" t="n"/>
      <c r="J460" s="2" t="n"/>
      <c r="K460" s="2" t="n"/>
      <c r="L460" s="2" t="n"/>
      <c r="M460" s="2" t="n"/>
      <c r="N460" s="2" t="n"/>
      <c r="O460" s="2" t="n"/>
      <c r="P460" s="2" t="n"/>
      <c r="Q460" s="2" t="n"/>
      <c r="R460" s="2" t="n"/>
    </row>
    <row r="461" ht="25" customHeight="1">
      <c r="A461" s="3">
        <f>IF(B461="","","DS-"&amp;TEXT(ROW()-1,"0000"))</f>
        <v/>
      </c>
      <c r="B461" s="3" t="n"/>
      <c r="C461" s="3">
        <f>IFERROR(XLOOKUP(B461,'Opportunity Scoring'!$A:$A,'Opportunity Scoring'!$B:$B),"")</f>
        <v/>
      </c>
      <c r="D461" s="3" t="n"/>
      <c r="E461" s="3" t="n"/>
      <c r="F461" s="3">
        <f>IFERROR(XLOOKUP(B461,'Opportunity Scoring'!$A:$A,'Opportunity Scoring'!$D:$D),"")</f>
        <v/>
      </c>
      <c r="G461" s="3" t="n"/>
      <c r="H461" s="3" t="n"/>
      <c r="I461" s="3" t="n"/>
      <c r="J461" s="3" t="n"/>
      <c r="K461" s="3" t="n"/>
      <c r="L461" s="3" t="n"/>
      <c r="M461" s="3" t="n"/>
      <c r="N461" s="3" t="n"/>
      <c r="O461" s="3" t="n"/>
      <c r="P461" s="3" t="n"/>
      <c r="Q461" s="3" t="n"/>
      <c r="R461" s="3" t="n"/>
    </row>
    <row r="462" ht="25" customHeight="1">
      <c r="A462" s="2">
        <f>IF(B462="","","DS-"&amp;TEXT(ROW()-1,"0000"))</f>
        <v/>
      </c>
      <c r="B462" s="2" t="n"/>
      <c r="C462" s="2">
        <f>IFERROR(XLOOKUP(B462,'Opportunity Scoring'!$A:$A,'Opportunity Scoring'!$B:$B),"")</f>
        <v/>
      </c>
      <c r="D462" s="2" t="n"/>
      <c r="E462" s="2" t="n"/>
      <c r="F462" s="2">
        <f>IFERROR(XLOOKUP(B462,'Opportunity Scoring'!$A:$A,'Opportunity Scoring'!$D:$D),"")</f>
        <v/>
      </c>
      <c r="G462" s="2" t="n"/>
      <c r="H462" s="2" t="n"/>
      <c r="I462" s="2" t="n"/>
      <c r="J462" s="2" t="n"/>
      <c r="K462" s="2" t="n"/>
      <c r="L462" s="2" t="n"/>
      <c r="M462" s="2" t="n"/>
      <c r="N462" s="2" t="n"/>
      <c r="O462" s="2" t="n"/>
      <c r="P462" s="2" t="n"/>
      <c r="Q462" s="2" t="n"/>
      <c r="R462" s="2" t="n"/>
    </row>
    <row r="463" ht="25" customHeight="1">
      <c r="A463" s="3">
        <f>IF(B463="","","DS-"&amp;TEXT(ROW()-1,"0000"))</f>
        <v/>
      </c>
      <c r="B463" s="3" t="n"/>
      <c r="C463" s="3">
        <f>IFERROR(XLOOKUP(B463,'Opportunity Scoring'!$A:$A,'Opportunity Scoring'!$B:$B),"")</f>
        <v/>
      </c>
      <c r="D463" s="3" t="n"/>
      <c r="E463" s="3" t="n"/>
      <c r="F463" s="3">
        <f>IFERROR(XLOOKUP(B463,'Opportunity Scoring'!$A:$A,'Opportunity Scoring'!$D:$D),"")</f>
        <v/>
      </c>
      <c r="G463" s="3" t="n"/>
      <c r="H463" s="3" t="n"/>
      <c r="I463" s="3" t="n"/>
      <c r="J463" s="3" t="n"/>
      <c r="K463" s="3" t="n"/>
      <c r="L463" s="3" t="n"/>
      <c r="M463" s="3" t="n"/>
      <c r="N463" s="3" t="n"/>
      <c r="O463" s="3" t="n"/>
      <c r="P463" s="3" t="n"/>
      <c r="Q463" s="3" t="n"/>
      <c r="R463" s="3" t="n"/>
    </row>
    <row r="464" ht="25" customHeight="1">
      <c r="A464" s="2">
        <f>IF(B464="","","DS-"&amp;TEXT(ROW()-1,"0000"))</f>
        <v/>
      </c>
      <c r="B464" s="2" t="n"/>
      <c r="C464" s="2">
        <f>IFERROR(XLOOKUP(B464,'Opportunity Scoring'!$A:$A,'Opportunity Scoring'!$B:$B),"")</f>
        <v/>
      </c>
      <c r="D464" s="2" t="n"/>
      <c r="E464" s="2" t="n"/>
      <c r="F464" s="2">
        <f>IFERROR(XLOOKUP(B464,'Opportunity Scoring'!$A:$A,'Opportunity Scoring'!$D:$D),"")</f>
        <v/>
      </c>
      <c r="G464" s="2" t="n"/>
      <c r="H464" s="2" t="n"/>
      <c r="I464" s="2" t="n"/>
      <c r="J464" s="2" t="n"/>
      <c r="K464" s="2" t="n"/>
      <c r="L464" s="2" t="n"/>
      <c r="M464" s="2" t="n"/>
      <c r="N464" s="2" t="n"/>
      <c r="O464" s="2" t="n"/>
      <c r="P464" s="2" t="n"/>
      <c r="Q464" s="2" t="n"/>
      <c r="R464" s="2" t="n"/>
    </row>
    <row r="465" ht="25" customHeight="1">
      <c r="A465" s="3">
        <f>IF(B465="","","DS-"&amp;TEXT(ROW()-1,"0000"))</f>
        <v/>
      </c>
      <c r="B465" s="3" t="n"/>
      <c r="C465" s="3">
        <f>IFERROR(XLOOKUP(B465,'Opportunity Scoring'!$A:$A,'Opportunity Scoring'!$B:$B),"")</f>
        <v/>
      </c>
      <c r="D465" s="3" t="n"/>
      <c r="E465" s="3" t="n"/>
      <c r="F465" s="3">
        <f>IFERROR(XLOOKUP(B465,'Opportunity Scoring'!$A:$A,'Opportunity Scoring'!$D:$D),"")</f>
        <v/>
      </c>
      <c r="G465" s="3" t="n"/>
      <c r="H465" s="3" t="n"/>
      <c r="I465" s="3" t="n"/>
      <c r="J465" s="3" t="n"/>
      <c r="K465" s="3" t="n"/>
      <c r="L465" s="3" t="n"/>
      <c r="M465" s="3" t="n"/>
      <c r="N465" s="3" t="n"/>
      <c r="O465" s="3" t="n"/>
      <c r="P465" s="3" t="n"/>
      <c r="Q465" s="3" t="n"/>
      <c r="R465" s="3" t="n"/>
    </row>
    <row r="466" ht="25" customHeight="1">
      <c r="A466" s="2">
        <f>IF(B466="","","DS-"&amp;TEXT(ROW()-1,"0000"))</f>
        <v/>
      </c>
      <c r="B466" s="2" t="n"/>
      <c r="C466" s="2">
        <f>IFERROR(XLOOKUP(B466,'Opportunity Scoring'!$A:$A,'Opportunity Scoring'!$B:$B),"")</f>
        <v/>
      </c>
      <c r="D466" s="2" t="n"/>
      <c r="E466" s="2" t="n"/>
      <c r="F466" s="2">
        <f>IFERROR(XLOOKUP(B466,'Opportunity Scoring'!$A:$A,'Opportunity Scoring'!$D:$D),"")</f>
        <v/>
      </c>
      <c r="G466" s="2" t="n"/>
      <c r="H466" s="2" t="n"/>
      <c r="I466" s="2" t="n"/>
      <c r="J466" s="2" t="n"/>
      <c r="K466" s="2" t="n"/>
      <c r="L466" s="2" t="n"/>
      <c r="M466" s="2" t="n"/>
      <c r="N466" s="2" t="n"/>
      <c r="O466" s="2" t="n"/>
      <c r="P466" s="2" t="n"/>
      <c r="Q466" s="2" t="n"/>
      <c r="R466" s="2" t="n"/>
    </row>
    <row r="467" ht="25" customHeight="1">
      <c r="A467" s="3">
        <f>IF(B467="","","DS-"&amp;TEXT(ROW()-1,"0000"))</f>
        <v/>
      </c>
      <c r="B467" s="3" t="n"/>
      <c r="C467" s="3">
        <f>IFERROR(XLOOKUP(B467,'Opportunity Scoring'!$A:$A,'Opportunity Scoring'!$B:$B),"")</f>
        <v/>
      </c>
      <c r="D467" s="3" t="n"/>
      <c r="E467" s="3" t="n"/>
      <c r="F467" s="3">
        <f>IFERROR(XLOOKUP(B467,'Opportunity Scoring'!$A:$A,'Opportunity Scoring'!$D:$D),"")</f>
        <v/>
      </c>
      <c r="G467" s="3" t="n"/>
      <c r="H467" s="3" t="n"/>
      <c r="I467" s="3" t="n"/>
      <c r="J467" s="3" t="n"/>
      <c r="K467" s="3" t="n"/>
      <c r="L467" s="3" t="n"/>
      <c r="M467" s="3" t="n"/>
      <c r="N467" s="3" t="n"/>
      <c r="O467" s="3" t="n"/>
      <c r="P467" s="3" t="n"/>
      <c r="Q467" s="3" t="n"/>
      <c r="R467" s="3" t="n"/>
    </row>
    <row r="468" ht="25" customHeight="1">
      <c r="A468" s="2">
        <f>IF(B468="","","DS-"&amp;TEXT(ROW()-1,"0000"))</f>
        <v/>
      </c>
      <c r="B468" s="2" t="n"/>
      <c r="C468" s="2">
        <f>IFERROR(XLOOKUP(B468,'Opportunity Scoring'!$A:$A,'Opportunity Scoring'!$B:$B),"")</f>
        <v/>
      </c>
      <c r="D468" s="2" t="n"/>
      <c r="E468" s="2" t="n"/>
      <c r="F468" s="2">
        <f>IFERROR(XLOOKUP(B468,'Opportunity Scoring'!$A:$A,'Opportunity Scoring'!$D:$D),"")</f>
        <v/>
      </c>
      <c r="G468" s="2" t="n"/>
      <c r="H468" s="2" t="n"/>
      <c r="I468" s="2" t="n"/>
      <c r="J468" s="2" t="n"/>
      <c r="K468" s="2" t="n"/>
      <c r="L468" s="2" t="n"/>
      <c r="M468" s="2" t="n"/>
      <c r="N468" s="2" t="n"/>
      <c r="O468" s="2" t="n"/>
      <c r="P468" s="2" t="n"/>
      <c r="Q468" s="2" t="n"/>
      <c r="R468" s="2" t="n"/>
    </row>
    <row r="469" ht="25" customHeight="1">
      <c r="A469" s="3">
        <f>IF(B469="","","DS-"&amp;TEXT(ROW()-1,"0000"))</f>
        <v/>
      </c>
      <c r="B469" s="3" t="n"/>
      <c r="C469" s="3">
        <f>IFERROR(XLOOKUP(B469,'Opportunity Scoring'!$A:$A,'Opportunity Scoring'!$B:$B),"")</f>
        <v/>
      </c>
      <c r="D469" s="3" t="n"/>
      <c r="E469" s="3" t="n"/>
      <c r="F469" s="3">
        <f>IFERROR(XLOOKUP(B469,'Opportunity Scoring'!$A:$A,'Opportunity Scoring'!$D:$D),"")</f>
        <v/>
      </c>
      <c r="G469" s="3" t="n"/>
      <c r="H469" s="3" t="n"/>
      <c r="I469" s="3" t="n"/>
      <c r="J469" s="3" t="n"/>
      <c r="K469" s="3" t="n"/>
      <c r="L469" s="3" t="n"/>
      <c r="M469" s="3" t="n"/>
      <c r="N469" s="3" t="n"/>
      <c r="O469" s="3" t="n"/>
      <c r="P469" s="3" t="n"/>
      <c r="Q469" s="3" t="n"/>
      <c r="R469" s="3" t="n"/>
    </row>
    <row r="470" ht="25" customHeight="1">
      <c r="A470" s="2">
        <f>IF(B470="","","DS-"&amp;TEXT(ROW()-1,"0000"))</f>
        <v/>
      </c>
      <c r="B470" s="2" t="n"/>
      <c r="C470" s="2">
        <f>IFERROR(XLOOKUP(B470,'Opportunity Scoring'!$A:$A,'Opportunity Scoring'!$B:$B),"")</f>
        <v/>
      </c>
      <c r="D470" s="2" t="n"/>
      <c r="E470" s="2" t="n"/>
      <c r="F470" s="2">
        <f>IFERROR(XLOOKUP(B470,'Opportunity Scoring'!$A:$A,'Opportunity Scoring'!$D:$D),"")</f>
        <v/>
      </c>
      <c r="G470" s="2" t="n"/>
      <c r="H470" s="2" t="n"/>
      <c r="I470" s="2" t="n"/>
      <c r="J470" s="2" t="n"/>
      <c r="K470" s="2" t="n"/>
      <c r="L470" s="2" t="n"/>
      <c r="M470" s="2" t="n"/>
      <c r="N470" s="2" t="n"/>
      <c r="O470" s="2" t="n"/>
      <c r="P470" s="2" t="n"/>
      <c r="Q470" s="2" t="n"/>
      <c r="R470" s="2" t="n"/>
    </row>
    <row r="471" ht="25" customHeight="1">
      <c r="A471" s="3">
        <f>IF(B471="","","DS-"&amp;TEXT(ROW()-1,"0000"))</f>
        <v/>
      </c>
      <c r="B471" s="3" t="n"/>
      <c r="C471" s="3">
        <f>IFERROR(XLOOKUP(B471,'Opportunity Scoring'!$A:$A,'Opportunity Scoring'!$B:$B),"")</f>
        <v/>
      </c>
      <c r="D471" s="3" t="n"/>
      <c r="E471" s="3" t="n"/>
      <c r="F471" s="3">
        <f>IFERROR(XLOOKUP(B471,'Opportunity Scoring'!$A:$A,'Opportunity Scoring'!$D:$D),"")</f>
        <v/>
      </c>
      <c r="G471" s="3" t="n"/>
      <c r="H471" s="3" t="n"/>
      <c r="I471" s="3" t="n"/>
      <c r="J471" s="3" t="n"/>
      <c r="K471" s="3" t="n"/>
      <c r="L471" s="3" t="n"/>
      <c r="M471" s="3" t="n"/>
      <c r="N471" s="3" t="n"/>
      <c r="O471" s="3" t="n"/>
      <c r="P471" s="3" t="n"/>
      <c r="Q471" s="3" t="n"/>
      <c r="R471" s="3" t="n"/>
    </row>
    <row r="472" ht="25" customHeight="1">
      <c r="A472" s="2">
        <f>IF(B472="","","DS-"&amp;TEXT(ROW()-1,"0000"))</f>
        <v/>
      </c>
      <c r="B472" s="2" t="n"/>
      <c r="C472" s="2">
        <f>IFERROR(XLOOKUP(B472,'Opportunity Scoring'!$A:$A,'Opportunity Scoring'!$B:$B),"")</f>
        <v/>
      </c>
      <c r="D472" s="2" t="n"/>
      <c r="E472" s="2" t="n"/>
      <c r="F472" s="2">
        <f>IFERROR(XLOOKUP(B472,'Opportunity Scoring'!$A:$A,'Opportunity Scoring'!$D:$D),"")</f>
        <v/>
      </c>
      <c r="G472" s="2" t="n"/>
      <c r="H472" s="2" t="n"/>
      <c r="I472" s="2" t="n"/>
      <c r="J472" s="2" t="n"/>
      <c r="K472" s="2" t="n"/>
      <c r="L472" s="2" t="n"/>
      <c r="M472" s="2" t="n"/>
      <c r="N472" s="2" t="n"/>
      <c r="O472" s="2" t="n"/>
      <c r="P472" s="2" t="n"/>
      <c r="Q472" s="2" t="n"/>
      <c r="R472" s="2" t="n"/>
    </row>
    <row r="473" ht="25" customHeight="1">
      <c r="A473" s="3">
        <f>IF(B473="","","DS-"&amp;TEXT(ROW()-1,"0000"))</f>
        <v/>
      </c>
      <c r="B473" s="3" t="n"/>
      <c r="C473" s="3">
        <f>IFERROR(XLOOKUP(B473,'Opportunity Scoring'!$A:$A,'Opportunity Scoring'!$B:$B),"")</f>
        <v/>
      </c>
      <c r="D473" s="3" t="n"/>
      <c r="E473" s="3" t="n"/>
      <c r="F473" s="3">
        <f>IFERROR(XLOOKUP(B473,'Opportunity Scoring'!$A:$A,'Opportunity Scoring'!$D:$D),"")</f>
        <v/>
      </c>
      <c r="G473" s="3" t="n"/>
      <c r="H473" s="3" t="n"/>
      <c r="I473" s="3" t="n"/>
      <c r="J473" s="3" t="n"/>
      <c r="K473" s="3" t="n"/>
      <c r="L473" s="3" t="n"/>
      <c r="M473" s="3" t="n"/>
      <c r="N473" s="3" t="n"/>
      <c r="O473" s="3" t="n"/>
      <c r="P473" s="3" t="n"/>
      <c r="Q473" s="3" t="n"/>
      <c r="R473" s="3" t="n"/>
    </row>
    <row r="474" ht="25" customHeight="1">
      <c r="A474" s="2">
        <f>IF(B474="","","DS-"&amp;TEXT(ROW()-1,"0000"))</f>
        <v/>
      </c>
      <c r="B474" s="2" t="n"/>
      <c r="C474" s="2">
        <f>IFERROR(XLOOKUP(B474,'Opportunity Scoring'!$A:$A,'Opportunity Scoring'!$B:$B),"")</f>
        <v/>
      </c>
      <c r="D474" s="2" t="n"/>
      <c r="E474" s="2" t="n"/>
      <c r="F474" s="2">
        <f>IFERROR(XLOOKUP(B474,'Opportunity Scoring'!$A:$A,'Opportunity Scoring'!$D:$D),"")</f>
        <v/>
      </c>
      <c r="G474" s="2" t="n"/>
      <c r="H474" s="2" t="n"/>
      <c r="I474" s="2" t="n"/>
      <c r="J474" s="2" t="n"/>
      <c r="K474" s="2" t="n"/>
      <c r="L474" s="2" t="n"/>
      <c r="M474" s="2" t="n"/>
      <c r="N474" s="2" t="n"/>
      <c r="O474" s="2" t="n"/>
      <c r="P474" s="2" t="n"/>
      <c r="Q474" s="2" t="n"/>
      <c r="R474" s="2" t="n"/>
    </row>
    <row r="475" ht="25" customHeight="1">
      <c r="A475" s="3">
        <f>IF(B475="","","DS-"&amp;TEXT(ROW()-1,"0000"))</f>
        <v/>
      </c>
      <c r="B475" s="3" t="n"/>
      <c r="C475" s="3">
        <f>IFERROR(XLOOKUP(B475,'Opportunity Scoring'!$A:$A,'Opportunity Scoring'!$B:$B),"")</f>
        <v/>
      </c>
      <c r="D475" s="3" t="n"/>
      <c r="E475" s="3" t="n"/>
      <c r="F475" s="3">
        <f>IFERROR(XLOOKUP(B475,'Opportunity Scoring'!$A:$A,'Opportunity Scoring'!$D:$D),"")</f>
        <v/>
      </c>
      <c r="G475" s="3" t="n"/>
      <c r="H475" s="3" t="n"/>
      <c r="I475" s="3" t="n"/>
      <c r="J475" s="3" t="n"/>
      <c r="K475" s="3" t="n"/>
      <c r="L475" s="3" t="n"/>
      <c r="M475" s="3" t="n"/>
      <c r="N475" s="3" t="n"/>
      <c r="O475" s="3" t="n"/>
      <c r="P475" s="3" t="n"/>
      <c r="Q475" s="3" t="n"/>
      <c r="R475" s="3" t="n"/>
    </row>
    <row r="476" ht="25" customHeight="1">
      <c r="A476" s="2">
        <f>IF(B476="","","DS-"&amp;TEXT(ROW()-1,"0000"))</f>
        <v/>
      </c>
      <c r="B476" s="2" t="n"/>
      <c r="C476" s="2">
        <f>IFERROR(XLOOKUP(B476,'Opportunity Scoring'!$A:$A,'Opportunity Scoring'!$B:$B),"")</f>
        <v/>
      </c>
      <c r="D476" s="2" t="n"/>
      <c r="E476" s="2" t="n"/>
      <c r="F476" s="2">
        <f>IFERROR(XLOOKUP(B476,'Opportunity Scoring'!$A:$A,'Opportunity Scoring'!$D:$D),"")</f>
        <v/>
      </c>
      <c r="G476" s="2" t="n"/>
      <c r="H476" s="2" t="n"/>
      <c r="I476" s="2" t="n"/>
      <c r="J476" s="2" t="n"/>
      <c r="K476" s="2" t="n"/>
      <c r="L476" s="2" t="n"/>
      <c r="M476" s="2" t="n"/>
      <c r="N476" s="2" t="n"/>
      <c r="O476" s="2" t="n"/>
      <c r="P476" s="2" t="n"/>
      <c r="Q476" s="2" t="n"/>
      <c r="R476" s="2" t="n"/>
    </row>
    <row r="477" ht="25" customHeight="1">
      <c r="A477" s="3">
        <f>IF(B477="","","DS-"&amp;TEXT(ROW()-1,"0000"))</f>
        <v/>
      </c>
      <c r="B477" s="3" t="n"/>
      <c r="C477" s="3">
        <f>IFERROR(XLOOKUP(B477,'Opportunity Scoring'!$A:$A,'Opportunity Scoring'!$B:$B),"")</f>
        <v/>
      </c>
      <c r="D477" s="3" t="n"/>
      <c r="E477" s="3" t="n"/>
      <c r="F477" s="3">
        <f>IFERROR(XLOOKUP(B477,'Opportunity Scoring'!$A:$A,'Opportunity Scoring'!$D:$D),"")</f>
        <v/>
      </c>
      <c r="G477" s="3" t="n"/>
      <c r="H477" s="3" t="n"/>
      <c r="I477" s="3" t="n"/>
      <c r="J477" s="3" t="n"/>
      <c r="K477" s="3" t="n"/>
      <c r="L477" s="3" t="n"/>
      <c r="M477" s="3" t="n"/>
      <c r="N477" s="3" t="n"/>
      <c r="O477" s="3" t="n"/>
      <c r="P477" s="3" t="n"/>
      <c r="Q477" s="3" t="n"/>
      <c r="R477" s="3" t="n"/>
    </row>
    <row r="478" ht="25" customHeight="1">
      <c r="A478" s="2">
        <f>IF(B478="","","DS-"&amp;TEXT(ROW()-1,"0000"))</f>
        <v/>
      </c>
      <c r="B478" s="2" t="n"/>
      <c r="C478" s="2">
        <f>IFERROR(XLOOKUP(B478,'Opportunity Scoring'!$A:$A,'Opportunity Scoring'!$B:$B),"")</f>
        <v/>
      </c>
      <c r="D478" s="2" t="n"/>
      <c r="E478" s="2" t="n"/>
      <c r="F478" s="2">
        <f>IFERROR(XLOOKUP(B478,'Opportunity Scoring'!$A:$A,'Opportunity Scoring'!$D:$D),"")</f>
        <v/>
      </c>
      <c r="G478" s="2" t="n"/>
      <c r="H478" s="2" t="n"/>
      <c r="I478" s="2" t="n"/>
      <c r="J478" s="2" t="n"/>
      <c r="K478" s="2" t="n"/>
      <c r="L478" s="2" t="n"/>
      <c r="M478" s="2" t="n"/>
      <c r="N478" s="2" t="n"/>
      <c r="O478" s="2" t="n"/>
      <c r="P478" s="2" t="n"/>
      <c r="Q478" s="2" t="n"/>
      <c r="R478" s="2" t="n"/>
    </row>
    <row r="479" ht="25" customHeight="1">
      <c r="A479" s="3">
        <f>IF(B479="","","DS-"&amp;TEXT(ROW()-1,"0000"))</f>
        <v/>
      </c>
      <c r="B479" s="3" t="n"/>
      <c r="C479" s="3">
        <f>IFERROR(XLOOKUP(B479,'Opportunity Scoring'!$A:$A,'Opportunity Scoring'!$B:$B),"")</f>
        <v/>
      </c>
      <c r="D479" s="3" t="n"/>
      <c r="E479" s="3" t="n"/>
      <c r="F479" s="3">
        <f>IFERROR(XLOOKUP(B479,'Opportunity Scoring'!$A:$A,'Opportunity Scoring'!$D:$D),"")</f>
        <v/>
      </c>
      <c r="G479" s="3" t="n"/>
      <c r="H479" s="3" t="n"/>
      <c r="I479" s="3" t="n"/>
      <c r="J479" s="3" t="n"/>
      <c r="K479" s="3" t="n"/>
      <c r="L479" s="3" t="n"/>
      <c r="M479" s="3" t="n"/>
      <c r="N479" s="3" t="n"/>
      <c r="O479" s="3" t="n"/>
      <c r="P479" s="3" t="n"/>
      <c r="Q479" s="3" t="n"/>
      <c r="R479" s="3" t="n"/>
    </row>
    <row r="480" ht="25" customHeight="1">
      <c r="A480" s="2">
        <f>IF(B480="","","DS-"&amp;TEXT(ROW()-1,"0000"))</f>
        <v/>
      </c>
      <c r="B480" s="2" t="n"/>
      <c r="C480" s="2">
        <f>IFERROR(XLOOKUP(B480,'Opportunity Scoring'!$A:$A,'Opportunity Scoring'!$B:$B),"")</f>
        <v/>
      </c>
      <c r="D480" s="2" t="n"/>
      <c r="E480" s="2" t="n"/>
      <c r="F480" s="2">
        <f>IFERROR(XLOOKUP(B480,'Opportunity Scoring'!$A:$A,'Opportunity Scoring'!$D:$D),"")</f>
        <v/>
      </c>
      <c r="G480" s="2" t="n"/>
      <c r="H480" s="2" t="n"/>
      <c r="I480" s="2" t="n"/>
      <c r="J480" s="2" t="n"/>
      <c r="K480" s="2" t="n"/>
      <c r="L480" s="2" t="n"/>
      <c r="M480" s="2" t="n"/>
      <c r="N480" s="2" t="n"/>
      <c r="O480" s="2" t="n"/>
      <c r="P480" s="2" t="n"/>
      <c r="Q480" s="2" t="n"/>
      <c r="R480" s="2" t="n"/>
    </row>
    <row r="481" ht="25" customHeight="1">
      <c r="A481" s="3">
        <f>IF(B481="","","DS-"&amp;TEXT(ROW()-1,"0000"))</f>
        <v/>
      </c>
      <c r="B481" s="3" t="n"/>
      <c r="C481" s="3">
        <f>IFERROR(XLOOKUP(B481,'Opportunity Scoring'!$A:$A,'Opportunity Scoring'!$B:$B),"")</f>
        <v/>
      </c>
      <c r="D481" s="3" t="n"/>
      <c r="E481" s="3" t="n"/>
      <c r="F481" s="3">
        <f>IFERROR(XLOOKUP(B481,'Opportunity Scoring'!$A:$A,'Opportunity Scoring'!$D:$D),"")</f>
        <v/>
      </c>
      <c r="G481" s="3" t="n"/>
      <c r="H481" s="3" t="n"/>
      <c r="I481" s="3" t="n"/>
      <c r="J481" s="3" t="n"/>
      <c r="K481" s="3" t="n"/>
      <c r="L481" s="3" t="n"/>
      <c r="M481" s="3" t="n"/>
      <c r="N481" s="3" t="n"/>
      <c r="O481" s="3" t="n"/>
      <c r="P481" s="3" t="n"/>
      <c r="Q481" s="3" t="n"/>
      <c r="R481" s="3" t="n"/>
    </row>
    <row r="482" ht="25" customHeight="1">
      <c r="A482" s="2">
        <f>IF(B482="","","DS-"&amp;TEXT(ROW()-1,"0000"))</f>
        <v/>
      </c>
      <c r="B482" s="2" t="n"/>
      <c r="C482" s="2">
        <f>IFERROR(XLOOKUP(B482,'Opportunity Scoring'!$A:$A,'Opportunity Scoring'!$B:$B),"")</f>
        <v/>
      </c>
      <c r="D482" s="2" t="n"/>
      <c r="E482" s="2" t="n"/>
      <c r="F482" s="2">
        <f>IFERROR(XLOOKUP(B482,'Opportunity Scoring'!$A:$A,'Opportunity Scoring'!$D:$D),"")</f>
        <v/>
      </c>
      <c r="G482" s="2" t="n"/>
      <c r="H482" s="2" t="n"/>
      <c r="I482" s="2" t="n"/>
      <c r="J482" s="2" t="n"/>
      <c r="K482" s="2" t="n"/>
      <c r="L482" s="2" t="n"/>
      <c r="M482" s="2" t="n"/>
      <c r="N482" s="2" t="n"/>
      <c r="O482" s="2" t="n"/>
      <c r="P482" s="2" t="n"/>
      <c r="Q482" s="2" t="n"/>
      <c r="R482" s="2" t="n"/>
    </row>
    <row r="483" ht="25" customHeight="1">
      <c r="A483" s="3">
        <f>IF(B483="","","DS-"&amp;TEXT(ROW()-1,"0000"))</f>
        <v/>
      </c>
      <c r="B483" s="3" t="n"/>
      <c r="C483" s="3">
        <f>IFERROR(XLOOKUP(B483,'Opportunity Scoring'!$A:$A,'Opportunity Scoring'!$B:$B),"")</f>
        <v/>
      </c>
      <c r="D483" s="3" t="n"/>
      <c r="E483" s="3" t="n"/>
      <c r="F483" s="3">
        <f>IFERROR(XLOOKUP(B483,'Opportunity Scoring'!$A:$A,'Opportunity Scoring'!$D:$D),"")</f>
        <v/>
      </c>
      <c r="G483" s="3" t="n"/>
      <c r="H483" s="3" t="n"/>
      <c r="I483" s="3" t="n"/>
      <c r="J483" s="3" t="n"/>
      <c r="K483" s="3" t="n"/>
      <c r="L483" s="3" t="n"/>
      <c r="M483" s="3" t="n"/>
      <c r="N483" s="3" t="n"/>
      <c r="O483" s="3" t="n"/>
      <c r="P483" s="3" t="n"/>
      <c r="Q483" s="3" t="n"/>
      <c r="R483" s="3" t="n"/>
    </row>
    <row r="484" ht="25" customHeight="1">
      <c r="A484" s="2">
        <f>IF(B484="","","DS-"&amp;TEXT(ROW()-1,"0000"))</f>
        <v/>
      </c>
      <c r="B484" s="2" t="n"/>
      <c r="C484" s="2">
        <f>IFERROR(XLOOKUP(B484,'Opportunity Scoring'!$A:$A,'Opportunity Scoring'!$B:$B),"")</f>
        <v/>
      </c>
      <c r="D484" s="2" t="n"/>
      <c r="E484" s="2" t="n"/>
      <c r="F484" s="2">
        <f>IFERROR(XLOOKUP(B484,'Opportunity Scoring'!$A:$A,'Opportunity Scoring'!$D:$D),"")</f>
        <v/>
      </c>
      <c r="G484" s="2" t="n"/>
      <c r="H484" s="2" t="n"/>
      <c r="I484" s="2" t="n"/>
      <c r="J484" s="2" t="n"/>
      <c r="K484" s="2" t="n"/>
      <c r="L484" s="2" t="n"/>
      <c r="M484" s="2" t="n"/>
      <c r="N484" s="2" t="n"/>
      <c r="O484" s="2" t="n"/>
      <c r="P484" s="2" t="n"/>
      <c r="Q484" s="2" t="n"/>
      <c r="R484" s="2" t="n"/>
    </row>
    <row r="485" ht="25" customHeight="1">
      <c r="A485" s="3">
        <f>IF(B485="","","DS-"&amp;TEXT(ROW()-1,"0000"))</f>
        <v/>
      </c>
      <c r="B485" s="3" t="n"/>
      <c r="C485" s="3">
        <f>IFERROR(XLOOKUP(B485,'Opportunity Scoring'!$A:$A,'Opportunity Scoring'!$B:$B),"")</f>
        <v/>
      </c>
      <c r="D485" s="3" t="n"/>
      <c r="E485" s="3" t="n"/>
      <c r="F485" s="3">
        <f>IFERROR(XLOOKUP(B485,'Opportunity Scoring'!$A:$A,'Opportunity Scoring'!$D:$D),"")</f>
        <v/>
      </c>
      <c r="G485" s="3" t="n"/>
      <c r="H485" s="3" t="n"/>
      <c r="I485" s="3" t="n"/>
      <c r="J485" s="3" t="n"/>
      <c r="K485" s="3" t="n"/>
      <c r="L485" s="3" t="n"/>
      <c r="M485" s="3" t="n"/>
      <c r="N485" s="3" t="n"/>
      <c r="O485" s="3" t="n"/>
      <c r="P485" s="3" t="n"/>
      <c r="Q485" s="3" t="n"/>
      <c r="R485" s="3" t="n"/>
    </row>
    <row r="486" ht="25" customHeight="1">
      <c r="A486" s="2">
        <f>IF(B486="","","DS-"&amp;TEXT(ROW()-1,"0000"))</f>
        <v/>
      </c>
      <c r="B486" s="2" t="n"/>
      <c r="C486" s="2">
        <f>IFERROR(XLOOKUP(B486,'Opportunity Scoring'!$A:$A,'Opportunity Scoring'!$B:$B),"")</f>
        <v/>
      </c>
      <c r="D486" s="2" t="n"/>
      <c r="E486" s="2" t="n"/>
      <c r="F486" s="2">
        <f>IFERROR(XLOOKUP(B486,'Opportunity Scoring'!$A:$A,'Opportunity Scoring'!$D:$D),"")</f>
        <v/>
      </c>
      <c r="G486" s="2" t="n"/>
      <c r="H486" s="2" t="n"/>
      <c r="I486" s="2" t="n"/>
      <c r="J486" s="2" t="n"/>
      <c r="K486" s="2" t="n"/>
      <c r="L486" s="2" t="n"/>
      <c r="M486" s="2" t="n"/>
      <c r="N486" s="2" t="n"/>
      <c r="O486" s="2" t="n"/>
      <c r="P486" s="2" t="n"/>
      <c r="Q486" s="2" t="n"/>
      <c r="R486" s="2" t="n"/>
    </row>
    <row r="487" ht="25" customHeight="1">
      <c r="A487" s="3">
        <f>IF(B487="","","DS-"&amp;TEXT(ROW()-1,"0000"))</f>
        <v/>
      </c>
      <c r="B487" s="3" t="n"/>
      <c r="C487" s="3">
        <f>IFERROR(XLOOKUP(B487,'Opportunity Scoring'!$A:$A,'Opportunity Scoring'!$B:$B),"")</f>
        <v/>
      </c>
      <c r="D487" s="3" t="n"/>
      <c r="E487" s="3" t="n"/>
      <c r="F487" s="3">
        <f>IFERROR(XLOOKUP(B487,'Opportunity Scoring'!$A:$A,'Opportunity Scoring'!$D:$D),"")</f>
        <v/>
      </c>
      <c r="G487" s="3" t="n"/>
      <c r="H487" s="3" t="n"/>
      <c r="I487" s="3" t="n"/>
      <c r="J487" s="3" t="n"/>
      <c r="K487" s="3" t="n"/>
      <c r="L487" s="3" t="n"/>
      <c r="M487" s="3" t="n"/>
      <c r="N487" s="3" t="n"/>
      <c r="O487" s="3" t="n"/>
      <c r="P487" s="3" t="n"/>
      <c r="Q487" s="3" t="n"/>
      <c r="R487" s="3" t="n"/>
    </row>
    <row r="488" ht="25" customHeight="1">
      <c r="A488" s="2">
        <f>IF(B488="","","DS-"&amp;TEXT(ROW()-1,"0000"))</f>
        <v/>
      </c>
      <c r="B488" s="2" t="n"/>
      <c r="C488" s="2">
        <f>IFERROR(XLOOKUP(B488,'Opportunity Scoring'!$A:$A,'Opportunity Scoring'!$B:$B),"")</f>
        <v/>
      </c>
      <c r="D488" s="2" t="n"/>
      <c r="E488" s="2" t="n"/>
      <c r="F488" s="2">
        <f>IFERROR(XLOOKUP(B488,'Opportunity Scoring'!$A:$A,'Opportunity Scoring'!$D:$D),"")</f>
        <v/>
      </c>
      <c r="G488" s="2" t="n"/>
      <c r="H488" s="2" t="n"/>
      <c r="I488" s="2" t="n"/>
      <c r="J488" s="2" t="n"/>
      <c r="K488" s="2" t="n"/>
      <c r="L488" s="2" t="n"/>
      <c r="M488" s="2" t="n"/>
      <c r="N488" s="2" t="n"/>
      <c r="O488" s="2" t="n"/>
      <c r="P488" s="2" t="n"/>
      <c r="Q488" s="2" t="n"/>
      <c r="R488" s="2" t="n"/>
    </row>
    <row r="489" ht="25" customHeight="1">
      <c r="A489" s="3">
        <f>IF(B489="","","DS-"&amp;TEXT(ROW()-1,"0000"))</f>
        <v/>
      </c>
      <c r="B489" s="3" t="n"/>
      <c r="C489" s="3">
        <f>IFERROR(XLOOKUP(B489,'Opportunity Scoring'!$A:$A,'Opportunity Scoring'!$B:$B),"")</f>
        <v/>
      </c>
      <c r="D489" s="3" t="n"/>
      <c r="E489" s="3" t="n"/>
      <c r="F489" s="3">
        <f>IFERROR(XLOOKUP(B489,'Opportunity Scoring'!$A:$A,'Opportunity Scoring'!$D:$D),"")</f>
        <v/>
      </c>
      <c r="G489" s="3" t="n"/>
      <c r="H489" s="3" t="n"/>
      <c r="I489" s="3" t="n"/>
      <c r="J489" s="3" t="n"/>
      <c r="K489" s="3" t="n"/>
      <c r="L489" s="3" t="n"/>
      <c r="M489" s="3" t="n"/>
      <c r="N489" s="3" t="n"/>
      <c r="O489" s="3" t="n"/>
      <c r="P489" s="3" t="n"/>
      <c r="Q489" s="3" t="n"/>
      <c r="R489" s="3" t="n"/>
    </row>
    <row r="490" ht="25" customHeight="1">
      <c r="A490" s="2">
        <f>IF(B490="","","DS-"&amp;TEXT(ROW()-1,"0000"))</f>
        <v/>
      </c>
      <c r="B490" s="2" t="n"/>
      <c r="C490" s="2">
        <f>IFERROR(XLOOKUP(B490,'Opportunity Scoring'!$A:$A,'Opportunity Scoring'!$B:$B),"")</f>
        <v/>
      </c>
      <c r="D490" s="2" t="n"/>
      <c r="E490" s="2" t="n"/>
      <c r="F490" s="2">
        <f>IFERROR(XLOOKUP(B490,'Opportunity Scoring'!$A:$A,'Opportunity Scoring'!$D:$D),"")</f>
        <v/>
      </c>
      <c r="G490" s="2" t="n"/>
      <c r="H490" s="2" t="n"/>
      <c r="I490" s="2" t="n"/>
      <c r="J490" s="2" t="n"/>
      <c r="K490" s="2" t="n"/>
      <c r="L490" s="2" t="n"/>
      <c r="M490" s="2" t="n"/>
      <c r="N490" s="2" t="n"/>
      <c r="O490" s="2" t="n"/>
      <c r="P490" s="2" t="n"/>
      <c r="Q490" s="2" t="n"/>
      <c r="R490" s="2" t="n"/>
    </row>
    <row r="491" ht="25" customHeight="1">
      <c r="A491" s="3">
        <f>IF(B491="","","DS-"&amp;TEXT(ROW()-1,"0000"))</f>
        <v/>
      </c>
      <c r="B491" s="3" t="n"/>
      <c r="C491" s="3">
        <f>IFERROR(XLOOKUP(B491,'Opportunity Scoring'!$A:$A,'Opportunity Scoring'!$B:$B),"")</f>
        <v/>
      </c>
      <c r="D491" s="3" t="n"/>
      <c r="E491" s="3" t="n"/>
      <c r="F491" s="3">
        <f>IFERROR(XLOOKUP(B491,'Opportunity Scoring'!$A:$A,'Opportunity Scoring'!$D:$D),"")</f>
        <v/>
      </c>
      <c r="G491" s="3" t="n"/>
      <c r="H491" s="3" t="n"/>
      <c r="I491" s="3" t="n"/>
      <c r="J491" s="3" t="n"/>
      <c r="K491" s="3" t="n"/>
      <c r="L491" s="3" t="n"/>
      <c r="M491" s="3" t="n"/>
      <c r="N491" s="3" t="n"/>
      <c r="O491" s="3" t="n"/>
      <c r="P491" s="3" t="n"/>
      <c r="Q491" s="3" t="n"/>
      <c r="R491" s="3" t="n"/>
    </row>
    <row r="492" ht="25" customHeight="1">
      <c r="A492" s="2">
        <f>IF(B492="","","DS-"&amp;TEXT(ROW()-1,"0000"))</f>
        <v/>
      </c>
      <c r="B492" s="2" t="n"/>
      <c r="C492" s="2">
        <f>IFERROR(XLOOKUP(B492,'Opportunity Scoring'!$A:$A,'Opportunity Scoring'!$B:$B),"")</f>
        <v/>
      </c>
      <c r="D492" s="2" t="n"/>
      <c r="E492" s="2" t="n"/>
      <c r="F492" s="2">
        <f>IFERROR(XLOOKUP(B492,'Opportunity Scoring'!$A:$A,'Opportunity Scoring'!$D:$D),"")</f>
        <v/>
      </c>
      <c r="G492" s="2" t="n"/>
      <c r="H492" s="2" t="n"/>
      <c r="I492" s="2" t="n"/>
      <c r="J492" s="2" t="n"/>
      <c r="K492" s="2" t="n"/>
      <c r="L492" s="2" t="n"/>
      <c r="M492" s="2" t="n"/>
      <c r="N492" s="2" t="n"/>
      <c r="O492" s="2" t="n"/>
      <c r="P492" s="2" t="n"/>
      <c r="Q492" s="2" t="n"/>
      <c r="R492" s="2" t="n"/>
    </row>
    <row r="493" ht="25" customHeight="1">
      <c r="A493" s="3">
        <f>IF(B493="","","DS-"&amp;TEXT(ROW()-1,"0000"))</f>
        <v/>
      </c>
      <c r="B493" s="3" t="n"/>
      <c r="C493" s="3">
        <f>IFERROR(XLOOKUP(B493,'Opportunity Scoring'!$A:$A,'Opportunity Scoring'!$B:$B),"")</f>
        <v/>
      </c>
      <c r="D493" s="3" t="n"/>
      <c r="E493" s="3" t="n"/>
      <c r="F493" s="3">
        <f>IFERROR(XLOOKUP(B493,'Opportunity Scoring'!$A:$A,'Opportunity Scoring'!$D:$D),"")</f>
        <v/>
      </c>
      <c r="G493" s="3" t="n"/>
      <c r="H493" s="3" t="n"/>
      <c r="I493" s="3" t="n"/>
      <c r="J493" s="3" t="n"/>
      <c r="K493" s="3" t="n"/>
      <c r="L493" s="3" t="n"/>
      <c r="M493" s="3" t="n"/>
      <c r="N493" s="3" t="n"/>
      <c r="O493" s="3" t="n"/>
      <c r="P493" s="3" t="n"/>
      <c r="Q493" s="3" t="n"/>
      <c r="R493" s="3" t="n"/>
    </row>
    <row r="494" ht="25" customHeight="1">
      <c r="A494" s="2">
        <f>IF(B494="","","DS-"&amp;TEXT(ROW()-1,"0000"))</f>
        <v/>
      </c>
      <c r="B494" s="2" t="n"/>
      <c r="C494" s="2">
        <f>IFERROR(XLOOKUP(B494,'Opportunity Scoring'!$A:$A,'Opportunity Scoring'!$B:$B),"")</f>
        <v/>
      </c>
      <c r="D494" s="2" t="n"/>
      <c r="E494" s="2" t="n"/>
      <c r="F494" s="2">
        <f>IFERROR(XLOOKUP(B494,'Opportunity Scoring'!$A:$A,'Opportunity Scoring'!$D:$D),"")</f>
        <v/>
      </c>
      <c r="G494" s="2" t="n"/>
      <c r="H494" s="2" t="n"/>
      <c r="I494" s="2" t="n"/>
      <c r="J494" s="2" t="n"/>
      <c r="K494" s="2" t="n"/>
      <c r="L494" s="2" t="n"/>
      <c r="M494" s="2" t="n"/>
      <c r="N494" s="2" t="n"/>
      <c r="O494" s="2" t="n"/>
      <c r="P494" s="2" t="n"/>
      <c r="Q494" s="2" t="n"/>
      <c r="R494" s="2" t="n"/>
    </row>
    <row r="495" ht="25" customHeight="1">
      <c r="A495" s="3">
        <f>IF(B495="","","DS-"&amp;TEXT(ROW()-1,"0000"))</f>
        <v/>
      </c>
      <c r="B495" s="3" t="n"/>
      <c r="C495" s="3">
        <f>IFERROR(XLOOKUP(B495,'Opportunity Scoring'!$A:$A,'Opportunity Scoring'!$B:$B),"")</f>
        <v/>
      </c>
      <c r="D495" s="3" t="n"/>
      <c r="E495" s="3" t="n"/>
      <c r="F495" s="3">
        <f>IFERROR(XLOOKUP(B495,'Opportunity Scoring'!$A:$A,'Opportunity Scoring'!$D:$D),"")</f>
        <v/>
      </c>
      <c r="G495" s="3" t="n"/>
      <c r="H495" s="3" t="n"/>
      <c r="I495" s="3" t="n"/>
      <c r="J495" s="3" t="n"/>
      <c r="K495" s="3" t="n"/>
      <c r="L495" s="3" t="n"/>
      <c r="M495" s="3" t="n"/>
      <c r="N495" s="3" t="n"/>
      <c r="O495" s="3" t="n"/>
      <c r="P495" s="3" t="n"/>
      <c r="Q495" s="3" t="n"/>
      <c r="R495" s="3" t="n"/>
    </row>
    <row r="496" ht="25" customHeight="1">
      <c r="A496" s="2">
        <f>IF(B496="","","DS-"&amp;TEXT(ROW()-1,"0000"))</f>
        <v/>
      </c>
      <c r="B496" s="2" t="n"/>
      <c r="C496" s="2">
        <f>IFERROR(XLOOKUP(B496,'Opportunity Scoring'!$A:$A,'Opportunity Scoring'!$B:$B),"")</f>
        <v/>
      </c>
      <c r="D496" s="2" t="n"/>
      <c r="E496" s="2" t="n"/>
      <c r="F496" s="2">
        <f>IFERROR(XLOOKUP(B496,'Opportunity Scoring'!$A:$A,'Opportunity Scoring'!$D:$D),"")</f>
        <v/>
      </c>
      <c r="G496" s="2" t="n"/>
      <c r="H496" s="2" t="n"/>
      <c r="I496" s="2" t="n"/>
      <c r="J496" s="2" t="n"/>
      <c r="K496" s="2" t="n"/>
      <c r="L496" s="2" t="n"/>
      <c r="M496" s="2" t="n"/>
      <c r="N496" s="2" t="n"/>
      <c r="O496" s="2" t="n"/>
      <c r="P496" s="2" t="n"/>
      <c r="Q496" s="2" t="n"/>
      <c r="R496" s="2" t="n"/>
    </row>
    <row r="497" ht="25" customHeight="1">
      <c r="A497" s="3">
        <f>IF(B497="","","DS-"&amp;TEXT(ROW()-1,"0000"))</f>
        <v/>
      </c>
      <c r="B497" s="3" t="n"/>
      <c r="C497" s="3">
        <f>IFERROR(XLOOKUP(B497,'Opportunity Scoring'!$A:$A,'Opportunity Scoring'!$B:$B),"")</f>
        <v/>
      </c>
      <c r="D497" s="3" t="n"/>
      <c r="E497" s="3" t="n"/>
      <c r="F497" s="3">
        <f>IFERROR(XLOOKUP(B497,'Opportunity Scoring'!$A:$A,'Opportunity Scoring'!$D:$D),"")</f>
        <v/>
      </c>
      <c r="G497" s="3" t="n"/>
      <c r="H497" s="3" t="n"/>
      <c r="I497" s="3" t="n"/>
      <c r="J497" s="3" t="n"/>
      <c r="K497" s="3" t="n"/>
      <c r="L497" s="3" t="n"/>
      <c r="M497" s="3" t="n"/>
      <c r="N497" s="3" t="n"/>
      <c r="O497" s="3" t="n"/>
      <c r="P497" s="3" t="n"/>
      <c r="Q497" s="3" t="n"/>
      <c r="R497" s="3" t="n"/>
    </row>
    <row r="498" ht="25" customHeight="1">
      <c r="A498" s="2">
        <f>IF(B498="","","DS-"&amp;TEXT(ROW()-1,"0000"))</f>
        <v/>
      </c>
      <c r="B498" s="2" t="n"/>
      <c r="C498" s="2">
        <f>IFERROR(XLOOKUP(B498,'Opportunity Scoring'!$A:$A,'Opportunity Scoring'!$B:$B),"")</f>
        <v/>
      </c>
      <c r="D498" s="2" t="n"/>
      <c r="E498" s="2" t="n"/>
      <c r="F498" s="2">
        <f>IFERROR(XLOOKUP(B498,'Opportunity Scoring'!$A:$A,'Opportunity Scoring'!$D:$D),"")</f>
        <v/>
      </c>
      <c r="G498" s="2" t="n"/>
      <c r="H498" s="2" t="n"/>
      <c r="I498" s="2" t="n"/>
      <c r="J498" s="2" t="n"/>
      <c r="K498" s="2" t="n"/>
      <c r="L498" s="2" t="n"/>
      <c r="M498" s="2" t="n"/>
      <c r="N498" s="2" t="n"/>
      <c r="O498" s="2" t="n"/>
      <c r="P498" s="2" t="n"/>
      <c r="Q498" s="2" t="n"/>
      <c r="R498" s="2" t="n"/>
    </row>
    <row r="499" ht="25" customHeight="1">
      <c r="A499" s="3">
        <f>IF(B499="","","DS-"&amp;TEXT(ROW()-1,"0000"))</f>
        <v/>
      </c>
      <c r="B499" s="3" t="n"/>
      <c r="C499" s="3">
        <f>IFERROR(XLOOKUP(B499,'Opportunity Scoring'!$A:$A,'Opportunity Scoring'!$B:$B),"")</f>
        <v/>
      </c>
      <c r="D499" s="3" t="n"/>
      <c r="E499" s="3" t="n"/>
      <c r="F499" s="3">
        <f>IFERROR(XLOOKUP(B499,'Opportunity Scoring'!$A:$A,'Opportunity Scoring'!$D:$D),"")</f>
        <v/>
      </c>
      <c r="G499" s="3" t="n"/>
      <c r="H499" s="3" t="n"/>
      <c r="I499" s="3" t="n"/>
      <c r="J499" s="3" t="n"/>
      <c r="K499" s="3" t="n"/>
      <c r="L499" s="3" t="n"/>
      <c r="M499" s="3" t="n"/>
      <c r="N499" s="3" t="n"/>
      <c r="O499" s="3" t="n"/>
      <c r="P499" s="3" t="n"/>
      <c r="Q499" s="3" t="n"/>
      <c r="R499" s="3" t="n"/>
    </row>
    <row r="500" ht="25" customHeight="1">
      <c r="A500" s="2">
        <f>IF(B500="","","DS-"&amp;TEXT(ROW()-1,"0000"))</f>
        <v/>
      </c>
      <c r="B500" s="2" t="n"/>
      <c r="C500" s="2">
        <f>IFERROR(XLOOKUP(B500,'Opportunity Scoring'!$A:$A,'Opportunity Scoring'!$B:$B),"")</f>
        <v/>
      </c>
      <c r="D500" s="2" t="n"/>
      <c r="E500" s="2" t="n"/>
      <c r="F500" s="2">
        <f>IFERROR(XLOOKUP(B500,'Opportunity Scoring'!$A:$A,'Opportunity Scoring'!$D:$D),"")</f>
        <v/>
      </c>
      <c r="G500" s="2" t="n"/>
      <c r="H500" s="2" t="n"/>
      <c r="I500" s="2" t="n"/>
      <c r="J500" s="2" t="n"/>
      <c r="K500" s="2" t="n"/>
      <c r="L500" s="2" t="n"/>
      <c r="M500" s="2" t="n"/>
      <c r="N500" s="2" t="n"/>
      <c r="O500" s="2" t="n"/>
      <c r="P500" s="2" t="n"/>
      <c r="Q500" s="2" t="n"/>
      <c r="R500" s="2" t="n"/>
    </row>
    <row r="501" ht="25" customHeight="1">
      <c r="A501" s="3">
        <f>IF(B501="","","DS-"&amp;TEXT(ROW()-1,"0000"))</f>
        <v/>
      </c>
      <c r="B501" s="3" t="n"/>
      <c r="C501" s="3">
        <f>IFERROR(XLOOKUP(B501,'Opportunity Scoring'!$A:$A,'Opportunity Scoring'!$B:$B),"")</f>
        <v/>
      </c>
      <c r="D501" s="3" t="n"/>
      <c r="E501" s="3" t="n"/>
      <c r="F501" s="3">
        <f>IFERROR(XLOOKUP(B501,'Opportunity Scoring'!$A:$A,'Opportunity Scoring'!$D:$D),"")</f>
        <v/>
      </c>
      <c r="G501" s="3" t="n"/>
      <c r="H501" s="3" t="n"/>
      <c r="I501" s="3" t="n"/>
      <c r="J501" s="3" t="n"/>
      <c r="K501" s="3" t="n"/>
      <c r="L501" s="3" t="n"/>
      <c r="M501" s="3" t="n"/>
      <c r="N501" s="3" t="n"/>
      <c r="O501" s="3" t="n"/>
      <c r="P501" s="3" t="n"/>
      <c r="Q501" s="3" t="n"/>
      <c r="R501" s="3" t="n"/>
    </row>
  </sheetData>
  <autoFilter ref="A1:R1"/>
  <dataValidations count="2">
    <dataValidation sqref="G2:G501" showDropDown="0" showInputMessage="0" showErrorMessage="0" allowBlank="1" type="list">
      <formula1>"Intake Review,Live Workflow Walkthrough,Stakeholder Interview,Async Review,Prototype Scoping,Follow-up"</formula1>
    </dataValidation>
    <dataValidation sqref="M2:M501" showDropDown="0" showInputMessage="0" showErrorMessage="0" allowBlank="1" type="list">
      <formula1>'Lists &amp; Settings'!$D$2:$D$12</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9933CC"/>
    <outlinePr summaryBelow="1" summaryRight="1"/>
    <pageSetUpPr/>
  </sheetPr>
  <dimension ref="A1:S1001"/>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6" customWidth="1" min="4" max="4"/>
    <col width="18" customWidth="1" min="5" max="5"/>
    <col width="16" customWidth="1" min="6" max="6"/>
    <col width="40" customWidth="1" min="7" max="7"/>
    <col width="25" customWidth="1" min="8" max="8"/>
    <col width="30" customWidth="1" min="9" max="9"/>
    <col width="30" customWidth="1" min="10" max="10"/>
    <col width="30" customWidth="1" min="11" max="11"/>
    <col width="16" customWidth="1" min="12" max="12"/>
    <col width="35" customWidth="1" min="13" max="13"/>
    <col width="35" customWidth="1" min="14" max="14"/>
    <col width="20" customWidth="1" min="15" max="15"/>
    <col width="20" customWidth="1" min="16" max="16"/>
    <col width="20" customWidth="1" min="17" max="17"/>
    <col width="30" customWidth="1" min="18" max="18"/>
    <col width="30" customWidth="1" min="19" max="19"/>
  </cols>
  <sheetData>
    <row r="1">
      <c r="A1" s="1" t="inlineStr">
        <is>
          <t>Opportunity ID</t>
        </is>
      </c>
      <c r="B1" s="1" t="inlineStr">
        <is>
          <t>Discovery Session ID</t>
        </is>
      </c>
      <c r="C1" s="1" t="inlineStr">
        <is>
          <t>Discovery Date</t>
        </is>
      </c>
      <c r="D1" s="1" t="inlineStr">
        <is>
          <t>Facilitator</t>
        </is>
      </c>
      <c r="E1" s="1" t="inlineStr">
        <is>
          <t>Workflow Owner</t>
        </is>
      </c>
      <c r="F1" s="1" t="inlineStr">
        <is>
          <t>Current Workflow Step #</t>
        </is>
      </c>
      <c r="G1" s="1" t="inlineStr">
        <is>
          <t>Current Workflow Step Description</t>
        </is>
      </c>
      <c r="H1" s="1" t="inlineStr">
        <is>
          <t>Tool / System Used</t>
        </is>
      </c>
      <c r="I1" s="1" t="inlineStr">
        <is>
          <t>Input</t>
        </is>
      </c>
      <c r="J1" s="1" t="inlineStr">
        <is>
          <t>Output</t>
        </is>
      </c>
      <c r="K1" s="1" t="inlineStr">
        <is>
          <t>Manual Action Taken</t>
        </is>
      </c>
      <c r="L1" s="1" t="inlineStr">
        <is>
          <t>Time Spent on Step</t>
        </is>
      </c>
      <c r="M1" s="1" t="inlineStr">
        <is>
          <t>Pain Point Observed</t>
        </is>
      </c>
      <c r="N1" s="1" t="inlineStr">
        <is>
          <t>Error / Risk Point</t>
        </is>
      </c>
      <c r="O1" s="1" t="inlineStr">
        <is>
          <t>Human Judgment Required?</t>
        </is>
      </c>
      <c r="P1" s="1" t="inlineStr">
        <is>
          <t>Could This Be Automated?</t>
        </is>
      </c>
      <c r="Q1" s="1" t="inlineStr">
        <is>
          <t>Could This Be AI-Assisted?</t>
        </is>
      </c>
      <c r="R1" s="1" t="inlineStr">
        <is>
          <t>Dependency / Access Needed</t>
        </is>
      </c>
      <c r="S1" s="1" t="inlineStr">
        <is>
          <t>Notes</t>
        </is>
      </c>
    </row>
    <row r="2" ht="25" customHeight="1">
      <c r="A2" s="2" t="n"/>
      <c r="B2" s="2" t="n"/>
      <c r="C2" s="2" t="n"/>
      <c r="D2" s="2" t="n"/>
      <c r="E2" s="2" t="n"/>
      <c r="F2" s="2" t="n"/>
      <c r="G2" s="2" t="n"/>
      <c r="H2" s="2" t="n"/>
      <c r="I2" s="2" t="n"/>
      <c r="J2" s="2" t="n"/>
      <c r="K2" s="2" t="n"/>
      <c r="L2" s="2" t="n"/>
      <c r="M2" s="2" t="n"/>
      <c r="N2" s="2" t="n"/>
      <c r="O2" s="2" t="n"/>
      <c r="P2" s="2" t="n"/>
      <c r="Q2" s="2" t="n"/>
      <c r="R2" s="2" t="n"/>
      <c r="S2" s="2" t="n"/>
    </row>
    <row r="3" ht="25" customHeight="1">
      <c r="A3" s="3" t="n"/>
      <c r="B3" s="3" t="n"/>
      <c r="C3" s="3" t="n"/>
      <c r="D3" s="3" t="n"/>
      <c r="E3" s="3" t="n"/>
      <c r="F3" s="3" t="n"/>
      <c r="G3" s="3" t="n"/>
      <c r="H3" s="3" t="n"/>
      <c r="I3" s="3" t="n"/>
      <c r="J3" s="3" t="n"/>
      <c r="K3" s="3" t="n"/>
      <c r="L3" s="3" t="n"/>
      <c r="M3" s="3" t="n"/>
      <c r="N3" s="3" t="n"/>
      <c r="O3" s="3" t="n"/>
      <c r="P3" s="3" t="n"/>
      <c r="Q3" s="3" t="n"/>
      <c r="R3" s="3" t="n"/>
      <c r="S3" s="3" t="n"/>
    </row>
    <row r="4" ht="25" customHeight="1">
      <c r="A4" s="2" t="n"/>
      <c r="B4" s="2" t="n"/>
      <c r="C4" s="2" t="n"/>
      <c r="D4" s="2" t="n"/>
      <c r="E4" s="2" t="n"/>
      <c r="F4" s="2" t="n"/>
      <c r="G4" s="2" t="n"/>
      <c r="H4" s="2" t="n"/>
      <c r="I4" s="2" t="n"/>
      <c r="J4" s="2" t="n"/>
      <c r="K4" s="2" t="n"/>
      <c r="L4" s="2" t="n"/>
      <c r="M4" s="2" t="n"/>
      <c r="N4" s="2" t="n"/>
      <c r="O4" s="2" t="n"/>
      <c r="P4" s="2" t="n"/>
      <c r="Q4" s="2" t="n"/>
      <c r="R4" s="2" t="n"/>
      <c r="S4" s="2" t="n"/>
    </row>
    <row r="5" ht="25" customHeight="1">
      <c r="A5" s="3" t="n"/>
      <c r="B5" s="3" t="n"/>
      <c r="C5" s="3" t="n"/>
      <c r="D5" s="3" t="n"/>
      <c r="E5" s="3" t="n"/>
      <c r="F5" s="3" t="n"/>
      <c r="G5" s="3" t="n"/>
      <c r="H5" s="3" t="n"/>
      <c r="I5" s="3" t="n"/>
      <c r="J5" s="3" t="n"/>
      <c r="K5" s="3" t="n"/>
      <c r="L5" s="3" t="n"/>
      <c r="M5" s="3" t="n"/>
      <c r="N5" s="3" t="n"/>
      <c r="O5" s="3" t="n"/>
      <c r="P5" s="3" t="n"/>
      <c r="Q5" s="3" t="n"/>
      <c r="R5" s="3" t="n"/>
      <c r="S5" s="3" t="n"/>
    </row>
    <row r="6" ht="25" customHeight="1">
      <c r="A6" s="2" t="n"/>
      <c r="B6" s="2" t="n"/>
      <c r="C6" s="2" t="n"/>
      <c r="D6" s="2" t="n"/>
      <c r="E6" s="2" t="n"/>
      <c r="F6" s="2" t="n"/>
      <c r="G6" s="2" t="n"/>
      <c r="H6" s="2" t="n"/>
      <c r="I6" s="2" t="n"/>
      <c r="J6" s="2" t="n"/>
      <c r="K6" s="2" t="n"/>
      <c r="L6" s="2" t="n"/>
      <c r="M6" s="2" t="n"/>
      <c r="N6" s="2" t="n"/>
      <c r="O6" s="2" t="n"/>
      <c r="P6" s="2" t="n"/>
      <c r="Q6" s="2" t="n"/>
      <c r="R6" s="2" t="n"/>
      <c r="S6" s="2" t="n"/>
    </row>
    <row r="7" ht="25" customHeight="1">
      <c r="A7" s="3" t="n"/>
      <c r="B7" s="3" t="n"/>
      <c r="C7" s="3" t="n"/>
      <c r="D7" s="3" t="n"/>
      <c r="E7" s="3" t="n"/>
      <c r="F7" s="3" t="n"/>
      <c r="G7" s="3" t="n"/>
      <c r="H7" s="3" t="n"/>
      <c r="I7" s="3" t="n"/>
      <c r="J7" s="3" t="n"/>
      <c r="K7" s="3" t="n"/>
      <c r="L7" s="3" t="n"/>
      <c r="M7" s="3" t="n"/>
      <c r="N7" s="3" t="n"/>
      <c r="O7" s="3" t="n"/>
      <c r="P7" s="3" t="n"/>
      <c r="Q7" s="3" t="n"/>
      <c r="R7" s="3" t="n"/>
      <c r="S7" s="3" t="n"/>
    </row>
    <row r="8" ht="25" customHeight="1">
      <c r="A8" s="2" t="n"/>
      <c r="B8" s="2" t="n"/>
      <c r="C8" s="2" t="n"/>
      <c r="D8" s="2" t="n"/>
      <c r="E8" s="2" t="n"/>
      <c r="F8" s="2" t="n"/>
      <c r="G8" s="2" t="n"/>
      <c r="H8" s="2" t="n"/>
      <c r="I8" s="2" t="n"/>
      <c r="J8" s="2" t="n"/>
      <c r="K8" s="2" t="n"/>
      <c r="L8" s="2" t="n"/>
      <c r="M8" s="2" t="n"/>
      <c r="N8" s="2" t="n"/>
      <c r="O8" s="2" t="n"/>
      <c r="P8" s="2" t="n"/>
      <c r="Q8" s="2" t="n"/>
      <c r="R8" s="2" t="n"/>
      <c r="S8" s="2" t="n"/>
    </row>
    <row r="9" ht="25" customHeight="1">
      <c r="A9" s="3" t="n"/>
      <c r="B9" s="3" t="n"/>
      <c r="C9" s="3" t="n"/>
      <c r="D9" s="3" t="n"/>
      <c r="E9" s="3" t="n"/>
      <c r="F9" s="3" t="n"/>
      <c r="G9" s="3" t="n"/>
      <c r="H9" s="3" t="n"/>
      <c r="I9" s="3" t="n"/>
      <c r="J9" s="3" t="n"/>
      <c r="K9" s="3" t="n"/>
      <c r="L9" s="3" t="n"/>
      <c r="M9" s="3" t="n"/>
      <c r="N9" s="3" t="n"/>
      <c r="O9" s="3" t="n"/>
      <c r="P9" s="3" t="n"/>
      <c r="Q9" s="3" t="n"/>
      <c r="R9" s="3" t="n"/>
      <c r="S9" s="3" t="n"/>
    </row>
    <row r="10" ht="25" customHeight="1">
      <c r="A10" s="2" t="n"/>
      <c r="B10" s="2" t="n"/>
      <c r="C10" s="2" t="n"/>
      <c r="D10" s="2" t="n"/>
      <c r="E10" s="2" t="n"/>
      <c r="F10" s="2" t="n"/>
      <c r="G10" s="2" t="n"/>
      <c r="H10" s="2" t="n"/>
      <c r="I10" s="2" t="n"/>
      <c r="J10" s="2" t="n"/>
      <c r="K10" s="2" t="n"/>
      <c r="L10" s="2" t="n"/>
      <c r="M10" s="2" t="n"/>
      <c r="N10" s="2" t="n"/>
      <c r="O10" s="2" t="n"/>
      <c r="P10" s="2" t="n"/>
      <c r="Q10" s="2" t="n"/>
      <c r="R10" s="2" t="n"/>
      <c r="S10" s="2" t="n"/>
    </row>
    <row r="11" ht="25" customHeight="1">
      <c r="A11" s="3" t="n"/>
      <c r="B11" s="3" t="n"/>
      <c r="C11" s="3" t="n"/>
      <c r="D11" s="3" t="n"/>
      <c r="E11" s="3" t="n"/>
      <c r="F11" s="3" t="n"/>
      <c r="G11" s="3" t="n"/>
      <c r="H11" s="3" t="n"/>
      <c r="I11" s="3" t="n"/>
      <c r="J11" s="3" t="n"/>
      <c r="K11" s="3" t="n"/>
      <c r="L11" s="3" t="n"/>
      <c r="M11" s="3" t="n"/>
      <c r="N11" s="3" t="n"/>
      <c r="O11" s="3" t="n"/>
      <c r="P11" s="3" t="n"/>
      <c r="Q11" s="3" t="n"/>
      <c r="R11" s="3" t="n"/>
      <c r="S11" s="3" t="n"/>
    </row>
    <row r="12" ht="25" customHeight="1">
      <c r="A12" s="2" t="n"/>
      <c r="B12" s="2" t="n"/>
      <c r="C12" s="2" t="n"/>
      <c r="D12" s="2" t="n"/>
      <c r="E12" s="2" t="n"/>
      <c r="F12" s="2" t="n"/>
      <c r="G12" s="2" t="n"/>
      <c r="H12" s="2" t="n"/>
      <c r="I12" s="2" t="n"/>
      <c r="J12" s="2" t="n"/>
      <c r="K12" s="2" t="n"/>
      <c r="L12" s="2" t="n"/>
      <c r="M12" s="2" t="n"/>
      <c r="N12" s="2" t="n"/>
      <c r="O12" s="2" t="n"/>
      <c r="P12" s="2" t="n"/>
      <c r="Q12" s="2" t="n"/>
      <c r="R12" s="2" t="n"/>
      <c r="S12" s="2" t="n"/>
    </row>
    <row r="13" ht="25" customHeight="1">
      <c r="A13" s="3" t="n"/>
      <c r="B13" s="3" t="n"/>
      <c r="C13" s="3" t="n"/>
      <c r="D13" s="3" t="n"/>
      <c r="E13" s="3" t="n"/>
      <c r="F13" s="3" t="n"/>
      <c r="G13" s="3" t="n"/>
      <c r="H13" s="3" t="n"/>
      <c r="I13" s="3" t="n"/>
      <c r="J13" s="3" t="n"/>
      <c r="K13" s="3" t="n"/>
      <c r="L13" s="3" t="n"/>
      <c r="M13" s="3" t="n"/>
      <c r="N13" s="3" t="n"/>
      <c r="O13" s="3" t="n"/>
      <c r="P13" s="3" t="n"/>
      <c r="Q13" s="3" t="n"/>
      <c r="R13" s="3" t="n"/>
      <c r="S13" s="3" t="n"/>
    </row>
    <row r="14" ht="25" customHeight="1">
      <c r="A14" s="2" t="n"/>
      <c r="B14" s="2" t="n"/>
      <c r="C14" s="2" t="n"/>
      <c r="D14" s="2" t="n"/>
      <c r="E14" s="2" t="n"/>
      <c r="F14" s="2" t="n"/>
      <c r="G14" s="2" t="n"/>
      <c r="H14" s="2" t="n"/>
      <c r="I14" s="2" t="n"/>
      <c r="J14" s="2" t="n"/>
      <c r="K14" s="2" t="n"/>
      <c r="L14" s="2" t="n"/>
      <c r="M14" s="2" t="n"/>
      <c r="N14" s="2" t="n"/>
      <c r="O14" s="2" t="n"/>
      <c r="P14" s="2" t="n"/>
      <c r="Q14" s="2" t="n"/>
      <c r="R14" s="2" t="n"/>
      <c r="S14" s="2" t="n"/>
    </row>
    <row r="15" ht="25" customHeight="1">
      <c r="A15" s="3" t="n"/>
      <c r="B15" s="3" t="n"/>
      <c r="C15" s="3" t="n"/>
      <c r="D15" s="3" t="n"/>
      <c r="E15" s="3" t="n"/>
      <c r="F15" s="3" t="n"/>
      <c r="G15" s="3" t="n"/>
      <c r="H15" s="3" t="n"/>
      <c r="I15" s="3" t="n"/>
      <c r="J15" s="3" t="n"/>
      <c r="K15" s="3" t="n"/>
      <c r="L15" s="3" t="n"/>
      <c r="M15" s="3" t="n"/>
      <c r="N15" s="3" t="n"/>
      <c r="O15" s="3" t="n"/>
      <c r="P15" s="3" t="n"/>
      <c r="Q15" s="3" t="n"/>
      <c r="R15" s="3" t="n"/>
      <c r="S15" s="3" t="n"/>
    </row>
    <row r="16" ht="25" customHeight="1">
      <c r="A16" s="2" t="n"/>
      <c r="B16" s="2" t="n"/>
      <c r="C16" s="2" t="n"/>
      <c r="D16" s="2" t="n"/>
      <c r="E16" s="2" t="n"/>
      <c r="F16" s="2" t="n"/>
      <c r="G16" s="2" t="n"/>
      <c r="H16" s="2" t="n"/>
      <c r="I16" s="2" t="n"/>
      <c r="J16" s="2" t="n"/>
      <c r="K16" s="2" t="n"/>
      <c r="L16" s="2" t="n"/>
      <c r="M16" s="2" t="n"/>
      <c r="N16" s="2" t="n"/>
      <c r="O16" s="2" t="n"/>
      <c r="P16" s="2" t="n"/>
      <c r="Q16" s="2" t="n"/>
      <c r="R16" s="2" t="n"/>
      <c r="S16" s="2" t="n"/>
    </row>
    <row r="17" ht="25" customHeight="1">
      <c r="A17" s="3" t="n"/>
      <c r="B17" s="3" t="n"/>
      <c r="C17" s="3" t="n"/>
      <c r="D17" s="3" t="n"/>
      <c r="E17" s="3" t="n"/>
      <c r="F17" s="3" t="n"/>
      <c r="G17" s="3" t="n"/>
      <c r="H17" s="3" t="n"/>
      <c r="I17" s="3" t="n"/>
      <c r="J17" s="3" t="n"/>
      <c r="K17" s="3" t="n"/>
      <c r="L17" s="3" t="n"/>
      <c r="M17" s="3" t="n"/>
      <c r="N17" s="3" t="n"/>
      <c r="O17" s="3" t="n"/>
      <c r="P17" s="3" t="n"/>
      <c r="Q17" s="3" t="n"/>
      <c r="R17" s="3" t="n"/>
      <c r="S17" s="3" t="n"/>
    </row>
    <row r="18" ht="25" customHeight="1">
      <c r="A18" s="2" t="n"/>
      <c r="B18" s="2" t="n"/>
      <c r="C18" s="2" t="n"/>
      <c r="D18" s="2" t="n"/>
      <c r="E18" s="2" t="n"/>
      <c r="F18" s="2" t="n"/>
      <c r="G18" s="2" t="n"/>
      <c r="H18" s="2" t="n"/>
      <c r="I18" s="2" t="n"/>
      <c r="J18" s="2" t="n"/>
      <c r="K18" s="2" t="n"/>
      <c r="L18" s="2" t="n"/>
      <c r="M18" s="2" t="n"/>
      <c r="N18" s="2" t="n"/>
      <c r="O18" s="2" t="n"/>
      <c r="P18" s="2" t="n"/>
      <c r="Q18" s="2" t="n"/>
      <c r="R18" s="2" t="n"/>
      <c r="S18" s="2" t="n"/>
    </row>
    <row r="19" ht="25" customHeight="1">
      <c r="A19" s="3" t="n"/>
      <c r="B19" s="3" t="n"/>
      <c r="C19" s="3" t="n"/>
      <c r="D19" s="3" t="n"/>
      <c r="E19" s="3" t="n"/>
      <c r="F19" s="3" t="n"/>
      <c r="G19" s="3" t="n"/>
      <c r="H19" s="3" t="n"/>
      <c r="I19" s="3" t="n"/>
      <c r="J19" s="3" t="n"/>
      <c r="K19" s="3" t="n"/>
      <c r="L19" s="3" t="n"/>
      <c r="M19" s="3" t="n"/>
      <c r="N19" s="3" t="n"/>
      <c r="O19" s="3" t="n"/>
      <c r="P19" s="3" t="n"/>
      <c r="Q19" s="3" t="n"/>
      <c r="R19" s="3" t="n"/>
      <c r="S19" s="3" t="n"/>
    </row>
    <row r="20" ht="25" customHeight="1">
      <c r="A20" s="2" t="n"/>
      <c r="B20" s="2" t="n"/>
      <c r="C20" s="2" t="n"/>
      <c r="D20" s="2" t="n"/>
      <c r="E20" s="2" t="n"/>
      <c r="F20" s="2" t="n"/>
      <c r="G20" s="2" t="n"/>
      <c r="H20" s="2" t="n"/>
      <c r="I20" s="2" t="n"/>
      <c r="J20" s="2" t="n"/>
      <c r="K20" s="2" t="n"/>
      <c r="L20" s="2" t="n"/>
      <c r="M20" s="2" t="n"/>
      <c r="N20" s="2" t="n"/>
      <c r="O20" s="2" t="n"/>
      <c r="P20" s="2" t="n"/>
      <c r="Q20" s="2" t="n"/>
      <c r="R20" s="2" t="n"/>
      <c r="S20" s="2" t="n"/>
    </row>
    <row r="21" ht="25" customHeight="1">
      <c r="A21" s="3" t="n"/>
      <c r="B21" s="3" t="n"/>
      <c r="C21" s="3" t="n"/>
      <c r="D21" s="3" t="n"/>
      <c r="E21" s="3" t="n"/>
      <c r="F21" s="3" t="n"/>
      <c r="G21" s="3" t="n"/>
      <c r="H21" s="3" t="n"/>
      <c r="I21" s="3" t="n"/>
      <c r="J21" s="3" t="n"/>
      <c r="K21" s="3" t="n"/>
      <c r="L21" s="3" t="n"/>
      <c r="M21" s="3" t="n"/>
      <c r="N21" s="3" t="n"/>
      <c r="O21" s="3" t="n"/>
      <c r="P21" s="3" t="n"/>
      <c r="Q21" s="3" t="n"/>
      <c r="R21" s="3" t="n"/>
      <c r="S21" s="3" t="n"/>
    </row>
    <row r="22" ht="25" customHeight="1">
      <c r="A22" s="2" t="n"/>
      <c r="B22" s="2" t="n"/>
      <c r="C22" s="2" t="n"/>
      <c r="D22" s="2" t="n"/>
      <c r="E22" s="2" t="n"/>
      <c r="F22" s="2" t="n"/>
      <c r="G22" s="2" t="n"/>
      <c r="H22" s="2" t="n"/>
      <c r="I22" s="2" t="n"/>
      <c r="J22" s="2" t="n"/>
      <c r="K22" s="2" t="n"/>
      <c r="L22" s="2" t="n"/>
      <c r="M22" s="2" t="n"/>
      <c r="N22" s="2" t="n"/>
      <c r="O22" s="2" t="n"/>
      <c r="P22" s="2" t="n"/>
      <c r="Q22" s="2" t="n"/>
      <c r="R22" s="2" t="n"/>
      <c r="S22" s="2" t="n"/>
    </row>
    <row r="23" ht="25" customHeight="1">
      <c r="A23" s="3" t="n"/>
      <c r="B23" s="3" t="n"/>
      <c r="C23" s="3" t="n"/>
      <c r="D23" s="3" t="n"/>
      <c r="E23" s="3" t="n"/>
      <c r="F23" s="3" t="n"/>
      <c r="G23" s="3" t="n"/>
      <c r="H23" s="3" t="n"/>
      <c r="I23" s="3" t="n"/>
      <c r="J23" s="3" t="n"/>
      <c r="K23" s="3" t="n"/>
      <c r="L23" s="3" t="n"/>
      <c r="M23" s="3" t="n"/>
      <c r="N23" s="3" t="n"/>
      <c r="O23" s="3" t="n"/>
      <c r="P23" s="3" t="n"/>
      <c r="Q23" s="3" t="n"/>
      <c r="R23" s="3" t="n"/>
      <c r="S23" s="3" t="n"/>
    </row>
    <row r="24" ht="25" customHeight="1">
      <c r="A24" s="2" t="n"/>
      <c r="B24" s="2" t="n"/>
      <c r="C24" s="2" t="n"/>
      <c r="D24" s="2" t="n"/>
      <c r="E24" s="2" t="n"/>
      <c r="F24" s="2" t="n"/>
      <c r="G24" s="2" t="n"/>
      <c r="H24" s="2" t="n"/>
      <c r="I24" s="2" t="n"/>
      <c r="J24" s="2" t="n"/>
      <c r="K24" s="2" t="n"/>
      <c r="L24" s="2" t="n"/>
      <c r="M24" s="2" t="n"/>
      <c r="N24" s="2" t="n"/>
      <c r="O24" s="2" t="n"/>
      <c r="P24" s="2" t="n"/>
      <c r="Q24" s="2" t="n"/>
      <c r="R24" s="2" t="n"/>
      <c r="S24" s="2" t="n"/>
    </row>
    <row r="25" ht="25" customHeight="1">
      <c r="A25" s="3" t="n"/>
      <c r="B25" s="3" t="n"/>
      <c r="C25" s="3" t="n"/>
      <c r="D25" s="3" t="n"/>
      <c r="E25" s="3" t="n"/>
      <c r="F25" s="3" t="n"/>
      <c r="G25" s="3" t="n"/>
      <c r="H25" s="3" t="n"/>
      <c r="I25" s="3" t="n"/>
      <c r="J25" s="3" t="n"/>
      <c r="K25" s="3" t="n"/>
      <c r="L25" s="3" t="n"/>
      <c r="M25" s="3" t="n"/>
      <c r="N25" s="3" t="n"/>
      <c r="O25" s="3" t="n"/>
      <c r="P25" s="3" t="n"/>
      <c r="Q25" s="3" t="n"/>
      <c r="R25" s="3" t="n"/>
      <c r="S25" s="3" t="n"/>
    </row>
    <row r="26" ht="25" customHeight="1">
      <c r="A26" s="2" t="n"/>
      <c r="B26" s="2" t="n"/>
      <c r="C26" s="2" t="n"/>
      <c r="D26" s="2" t="n"/>
      <c r="E26" s="2" t="n"/>
      <c r="F26" s="2" t="n"/>
      <c r="G26" s="2" t="n"/>
      <c r="H26" s="2" t="n"/>
      <c r="I26" s="2" t="n"/>
      <c r="J26" s="2" t="n"/>
      <c r="K26" s="2" t="n"/>
      <c r="L26" s="2" t="n"/>
      <c r="M26" s="2" t="n"/>
      <c r="N26" s="2" t="n"/>
      <c r="O26" s="2" t="n"/>
      <c r="P26" s="2" t="n"/>
      <c r="Q26" s="2" t="n"/>
      <c r="R26" s="2" t="n"/>
      <c r="S26" s="2" t="n"/>
    </row>
    <row r="27" ht="25" customHeight="1">
      <c r="A27" s="3" t="n"/>
      <c r="B27" s="3" t="n"/>
      <c r="C27" s="3" t="n"/>
      <c r="D27" s="3" t="n"/>
      <c r="E27" s="3" t="n"/>
      <c r="F27" s="3" t="n"/>
      <c r="G27" s="3" t="n"/>
      <c r="H27" s="3" t="n"/>
      <c r="I27" s="3" t="n"/>
      <c r="J27" s="3" t="n"/>
      <c r="K27" s="3" t="n"/>
      <c r="L27" s="3" t="n"/>
      <c r="M27" s="3" t="n"/>
      <c r="N27" s="3" t="n"/>
      <c r="O27" s="3" t="n"/>
      <c r="P27" s="3" t="n"/>
      <c r="Q27" s="3" t="n"/>
      <c r="R27" s="3" t="n"/>
      <c r="S27" s="3" t="n"/>
    </row>
    <row r="28" ht="25" customHeight="1">
      <c r="A28" s="2" t="n"/>
      <c r="B28" s="2" t="n"/>
      <c r="C28" s="2" t="n"/>
      <c r="D28" s="2" t="n"/>
      <c r="E28" s="2" t="n"/>
      <c r="F28" s="2" t="n"/>
      <c r="G28" s="2" t="n"/>
      <c r="H28" s="2" t="n"/>
      <c r="I28" s="2" t="n"/>
      <c r="J28" s="2" t="n"/>
      <c r="K28" s="2" t="n"/>
      <c r="L28" s="2" t="n"/>
      <c r="M28" s="2" t="n"/>
      <c r="N28" s="2" t="n"/>
      <c r="O28" s="2" t="n"/>
      <c r="P28" s="2" t="n"/>
      <c r="Q28" s="2" t="n"/>
      <c r="R28" s="2" t="n"/>
      <c r="S28" s="2" t="n"/>
    </row>
    <row r="29" ht="25" customHeight="1">
      <c r="A29" s="3" t="n"/>
      <c r="B29" s="3" t="n"/>
      <c r="C29" s="3" t="n"/>
      <c r="D29" s="3" t="n"/>
      <c r="E29" s="3" t="n"/>
      <c r="F29" s="3" t="n"/>
      <c r="G29" s="3" t="n"/>
      <c r="H29" s="3" t="n"/>
      <c r="I29" s="3" t="n"/>
      <c r="J29" s="3" t="n"/>
      <c r="K29" s="3" t="n"/>
      <c r="L29" s="3" t="n"/>
      <c r="M29" s="3" t="n"/>
      <c r="N29" s="3" t="n"/>
      <c r="O29" s="3" t="n"/>
      <c r="P29" s="3" t="n"/>
      <c r="Q29" s="3" t="n"/>
      <c r="R29" s="3" t="n"/>
      <c r="S29" s="3" t="n"/>
    </row>
    <row r="30" ht="25" customHeight="1">
      <c r="A30" s="2" t="n"/>
      <c r="B30" s="2" t="n"/>
      <c r="C30" s="2" t="n"/>
      <c r="D30" s="2" t="n"/>
      <c r="E30" s="2" t="n"/>
      <c r="F30" s="2" t="n"/>
      <c r="G30" s="2" t="n"/>
      <c r="H30" s="2" t="n"/>
      <c r="I30" s="2" t="n"/>
      <c r="J30" s="2" t="n"/>
      <c r="K30" s="2" t="n"/>
      <c r="L30" s="2" t="n"/>
      <c r="M30" s="2" t="n"/>
      <c r="N30" s="2" t="n"/>
      <c r="O30" s="2" t="n"/>
      <c r="P30" s="2" t="n"/>
      <c r="Q30" s="2" t="n"/>
      <c r="R30" s="2" t="n"/>
      <c r="S30" s="2" t="n"/>
    </row>
    <row r="31" ht="25" customHeight="1">
      <c r="A31" s="3" t="n"/>
      <c r="B31" s="3" t="n"/>
      <c r="C31" s="3" t="n"/>
      <c r="D31" s="3" t="n"/>
      <c r="E31" s="3" t="n"/>
      <c r="F31" s="3" t="n"/>
      <c r="G31" s="3" t="n"/>
      <c r="H31" s="3" t="n"/>
      <c r="I31" s="3" t="n"/>
      <c r="J31" s="3" t="n"/>
      <c r="K31" s="3" t="n"/>
      <c r="L31" s="3" t="n"/>
      <c r="M31" s="3" t="n"/>
      <c r="N31" s="3" t="n"/>
      <c r="O31" s="3" t="n"/>
      <c r="P31" s="3" t="n"/>
      <c r="Q31" s="3" t="n"/>
      <c r="R31" s="3" t="n"/>
      <c r="S31" s="3" t="n"/>
    </row>
    <row r="32" ht="25" customHeight="1">
      <c r="A32" s="2" t="n"/>
      <c r="B32" s="2" t="n"/>
      <c r="C32" s="2" t="n"/>
      <c r="D32" s="2" t="n"/>
      <c r="E32" s="2" t="n"/>
      <c r="F32" s="2" t="n"/>
      <c r="G32" s="2" t="n"/>
      <c r="H32" s="2" t="n"/>
      <c r="I32" s="2" t="n"/>
      <c r="J32" s="2" t="n"/>
      <c r="K32" s="2" t="n"/>
      <c r="L32" s="2" t="n"/>
      <c r="M32" s="2" t="n"/>
      <c r="N32" s="2" t="n"/>
      <c r="O32" s="2" t="n"/>
      <c r="P32" s="2" t="n"/>
      <c r="Q32" s="2" t="n"/>
      <c r="R32" s="2" t="n"/>
      <c r="S32" s="2" t="n"/>
    </row>
    <row r="33" ht="25" customHeight="1">
      <c r="A33" s="3" t="n"/>
      <c r="B33" s="3" t="n"/>
      <c r="C33" s="3" t="n"/>
      <c r="D33" s="3" t="n"/>
      <c r="E33" s="3" t="n"/>
      <c r="F33" s="3" t="n"/>
      <c r="G33" s="3" t="n"/>
      <c r="H33" s="3" t="n"/>
      <c r="I33" s="3" t="n"/>
      <c r="J33" s="3" t="n"/>
      <c r="K33" s="3" t="n"/>
      <c r="L33" s="3" t="n"/>
      <c r="M33" s="3" t="n"/>
      <c r="N33" s="3" t="n"/>
      <c r="O33" s="3" t="n"/>
      <c r="P33" s="3" t="n"/>
      <c r="Q33" s="3" t="n"/>
      <c r="R33" s="3" t="n"/>
      <c r="S33" s="3" t="n"/>
    </row>
    <row r="34" ht="25" customHeight="1">
      <c r="A34" s="2" t="n"/>
      <c r="B34" s="2" t="n"/>
      <c r="C34" s="2" t="n"/>
      <c r="D34" s="2" t="n"/>
      <c r="E34" s="2" t="n"/>
      <c r="F34" s="2" t="n"/>
      <c r="G34" s="2" t="n"/>
      <c r="H34" s="2" t="n"/>
      <c r="I34" s="2" t="n"/>
      <c r="J34" s="2" t="n"/>
      <c r="K34" s="2" t="n"/>
      <c r="L34" s="2" t="n"/>
      <c r="M34" s="2" t="n"/>
      <c r="N34" s="2" t="n"/>
      <c r="O34" s="2" t="n"/>
      <c r="P34" s="2" t="n"/>
      <c r="Q34" s="2" t="n"/>
      <c r="R34" s="2" t="n"/>
      <c r="S34" s="2" t="n"/>
    </row>
    <row r="35" ht="25" customHeight="1">
      <c r="A35" s="3" t="n"/>
      <c r="B35" s="3" t="n"/>
      <c r="C35" s="3" t="n"/>
      <c r="D35" s="3" t="n"/>
      <c r="E35" s="3" t="n"/>
      <c r="F35" s="3" t="n"/>
      <c r="G35" s="3" t="n"/>
      <c r="H35" s="3" t="n"/>
      <c r="I35" s="3" t="n"/>
      <c r="J35" s="3" t="n"/>
      <c r="K35" s="3" t="n"/>
      <c r="L35" s="3" t="n"/>
      <c r="M35" s="3" t="n"/>
      <c r="N35" s="3" t="n"/>
      <c r="O35" s="3" t="n"/>
      <c r="P35" s="3" t="n"/>
      <c r="Q35" s="3" t="n"/>
      <c r="R35" s="3" t="n"/>
      <c r="S35" s="3" t="n"/>
    </row>
    <row r="36" ht="25" customHeight="1">
      <c r="A36" s="2" t="n"/>
      <c r="B36" s="2" t="n"/>
      <c r="C36" s="2" t="n"/>
      <c r="D36" s="2" t="n"/>
      <c r="E36" s="2" t="n"/>
      <c r="F36" s="2" t="n"/>
      <c r="G36" s="2" t="n"/>
      <c r="H36" s="2" t="n"/>
      <c r="I36" s="2" t="n"/>
      <c r="J36" s="2" t="n"/>
      <c r="K36" s="2" t="n"/>
      <c r="L36" s="2" t="n"/>
      <c r="M36" s="2" t="n"/>
      <c r="N36" s="2" t="n"/>
      <c r="O36" s="2" t="n"/>
      <c r="P36" s="2" t="n"/>
      <c r="Q36" s="2" t="n"/>
      <c r="R36" s="2" t="n"/>
      <c r="S36" s="2" t="n"/>
    </row>
    <row r="37" ht="25" customHeight="1">
      <c r="A37" s="3" t="n"/>
      <c r="B37" s="3" t="n"/>
      <c r="C37" s="3" t="n"/>
      <c r="D37" s="3" t="n"/>
      <c r="E37" s="3" t="n"/>
      <c r="F37" s="3" t="n"/>
      <c r="G37" s="3" t="n"/>
      <c r="H37" s="3" t="n"/>
      <c r="I37" s="3" t="n"/>
      <c r="J37" s="3" t="n"/>
      <c r="K37" s="3" t="n"/>
      <c r="L37" s="3" t="n"/>
      <c r="M37" s="3" t="n"/>
      <c r="N37" s="3" t="n"/>
      <c r="O37" s="3" t="n"/>
      <c r="P37" s="3" t="n"/>
      <c r="Q37" s="3" t="n"/>
      <c r="R37" s="3" t="n"/>
      <c r="S37" s="3" t="n"/>
    </row>
    <row r="38" ht="25" customHeight="1">
      <c r="A38" s="2" t="n"/>
      <c r="B38" s="2" t="n"/>
      <c r="C38" s="2" t="n"/>
      <c r="D38" s="2" t="n"/>
      <c r="E38" s="2" t="n"/>
      <c r="F38" s="2" t="n"/>
      <c r="G38" s="2" t="n"/>
      <c r="H38" s="2" t="n"/>
      <c r="I38" s="2" t="n"/>
      <c r="J38" s="2" t="n"/>
      <c r="K38" s="2" t="n"/>
      <c r="L38" s="2" t="n"/>
      <c r="M38" s="2" t="n"/>
      <c r="N38" s="2" t="n"/>
      <c r="O38" s="2" t="n"/>
      <c r="P38" s="2" t="n"/>
      <c r="Q38" s="2" t="n"/>
      <c r="R38" s="2" t="n"/>
      <c r="S38" s="2" t="n"/>
    </row>
    <row r="39" ht="25" customHeight="1">
      <c r="A39" s="3" t="n"/>
      <c r="B39" s="3" t="n"/>
      <c r="C39" s="3" t="n"/>
      <c r="D39" s="3" t="n"/>
      <c r="E39" s="3" t="n"/>
      <c r="F39" s="3" t="n"/>
      <c r="G39" s="3" t="n"/>
      <c r="H39" s="3" t="n"/>
      <c r="I39" s="3" t="n"/>
      <c r="J39" s="3" t="n"/>
      <c r="K39" s="3" t="n"/>
      <c r="L39" s="3" t="n"/>
      <c r="M39" s="3" t="n"/>
      <c r="N39" s="3" t="n"/>
      <c r="O39" s="3" t="n"/>
      <c r="P39" s="3" t="n"/>
      <c r="Q39" s="3" t="n"/>
      <c r="R39" s="3" t="n"/>
      <c r="S39" s="3" t="n"/>
    </row>
    <row r="40" ht="25" customHeight="1">
      <c r="A40" s="2" t="n"/>
      <c r="B40" s="2" t="n"/>
      <c r="C40" s="2" t="n"/>
      <c r="D40" s="2" t="n"/>
      <c r="E40" s="2" t="n"/>
      <c r="F40" s="2" t="n"/>
      <c r="G40" s="2" t="n"/>
      <c r="H40" s="2" t="n"/>
      <c r="I40" s="2" t="n"/>
      <c r="J40" s="2" t="n"/>
      <c r="K40" s="2" t="n"/>
      <c r="L40" s="2" t="n"/>
      <c r="M40" s="2" t="n"/>
      <c r="N40" s="2" t="n"/>
      <c r="O40" s="2" t="n"/>
      <c r="P40" s="2" t="n"/>
      <c r="Q40" s="2" t="n"/>
      <c r="R40" s="2" t="n"/>
      <c r="S40" s="2" t="n"/>
    </row>
    <row r="41" ht="25" customHeight="1">
      <c r="A41" s="3" t="n"/>
      <c r="B41" s="3" t="n"/>
      <c r="C41" s="3" t="n"/>
      <c r="D41" s="3" t="n"/>
      <c r="E41" s="3" t="n"/>
      <c r="F41" s="3" t="n"/>
      <c r="G41" s="3" t="n"/>
      <c r="H41" s="3" t="n"/>
      <c r="I41" s="3" t="n"/>
      <c r="J41" s="3" t="n"/>
      <c r="K41" s="3" t="n"/>
      <c r="L41" s="3" t="n"/>
      <c r="M41" s="3" t="n"/>
      <c r="N41" s="3" t="n"/>
      <c r="O41" s="3" t="n"/>
      <c r="P41" s="3" t="n"/>
      <c r="Q41" s="3" t="n"/>
      <c r="R41" s="3" t="n"/>
      <c r="S41" s="3" t="n"/>
    </row>
    <row r="42" ht="25" customHeight="1">
      <c r="A42" s="2" t="n"/>
      <c r="B42" s="2" t="n"/>
      <c r="C42" s="2" t="n"/>
      <c r="D42" s="2" t="n"/>
      <c r="E42" s="2" t="n"/>
      <c r="F42" s="2" t="n"/>
      <c r="G42" s="2" t="n"/>
      <c r="H42" s="2" t="n"/>
      <c r="I42" s="2" t="n"/>
      <c r="J42" s="2" t="n"/>
      <c r="K42" s="2" t="n"/>
      <c r="L42" s="2" t="n"/>
      <c r="M42" s="2" t="n"/>
      <c r="N42" s="2" t="n"/>
      <c r="O42" s="2" t="n"/>
      <c r="P42" s="2" t="n"/>
      <c r="Q42" s="2" t="n"/>
      <c r="R42" s="2" t="n"/>
      <c r="S42" s="2" t="n"/>
    </row>
    <row r="43" ht="25" customHeight="1">
      <c r="A43" s="3" t="n"/>
      <c r="B43" s="3" t="n"/>
      <c r="C43" s="3" t="n"/>
      <c r="D43" s="3" t="n"/>
      <c r="E43" s="3" t="n"/>
      <c r="F43" s="3" t="n"/>
      <c r="G43" s="3" t="n"/>
      <c r="H43" s="3" t="n"/>
      <c r="I43" s="3" t="n"/>
      <c r="J43" s="3" t="n"/>
      <c r="K43" s="3" t="n"/>
      <c r="L43" s="3" t="n"/>
      <c r="M43" s="3" t="n"/>
      <c r="N43" s="3" t="n"/>
      <c r="O43" s="3" t="n"/>
      <c r="P43" s="3" t="n"/>
      <c r="Q43" s="3" t="n"/>
      <c r="R43" s="3" t="n"/>
      <c r="S43" s="3" t="n"/>
    </row>
    <row r="44" ht="25" customHeight="1">
      <c r="A44" s="2" t="n"/>
      <c r="B44" s="2" t="n"/>
      <c r="C44" s="2" t="n"/>
      <c r="D44" s="2" t="n"/>
      <c r="E44" s="2" t="n"/>
      <c r="F44" s="2" t="n"/>
      <c r="G44" s="2" t="n"/>
      <c r="H44" s="2" t="n"/>
      <c r="I44" s="2" t="n"/>
      <c r="J44" s="2" t="n"/>
      <c r="K44" s="2" t="n"/>
      <c r="L44" s="2" t="n"/>
      <c r="M44" s="2" t="n"/>
      <c r="N44" s="2" t="n"/>
      <c r="O44" s="2" t="n"/>
      <c r="P44" s="2" t="n"/>
      <c r="Q44" s="2" t="n"/>
      <c r="R44" s="2" t="n"/>
      <c r="S44" s="2" t="n"/>
    </row>
    <row r="45" ht="25" customHeight="1">
      <c r="A45" s="3" t="n"/>
      <c r="B45" s="3" t="n"/>
      <c r="C45" s="3" t="n"/>
      <c r="D45" s="3" t="n"/>
      <c r="E45" s="3" t="n"/>
      <c r="F45" s="3" t="n"/>
      <c r="G45" s="3" t="n"/>
      <c r="H45" s="3" t="n"/>
      <c r="I45" s="3" t="n"/>
      <c r="J45" s="3" t="n"/>
      <c r="K45" s="3" t="n"/>
      <c r="L45" s="3" t="n"/>
      <c r="M45" s="3" t="n"/>
      <c r="N45" s="3" t="n"/>
      <c r="O45" s="3" t="n"/>
      <c r="P45" s="3" t="n"/>
      <c r="Q45" s="3" t="n"/>
      <c r="R45" s="3" t="n"/>
      <c r="S45" s="3" t="n"/>
    </row>
    <row r="46" ht="25" customHeight="1">
      <c r="A46" s="2" t="n"/>
      <c r="B46" s="2" t="n"/>
      <c r="C46" s="2" t="n"/>
      <c r="D46" s="2" t="n"/>
      <c r="E46" s="2" t="n"/>
      <c r="F46" s="2" t="n"/>
      <c r="G46" s="2" t="n"/>
      <c r="H46" s="2" t="n"/>
      <c r="I46" s="2" t="n"/>
      <c r="J46" s="2" t="n"/>
      <c r="K46" s="2" t="n"/>
      <c r="L46" s="2" t="n"/>
      <c r="M46" s="2" t="n"/>
      <c r="N46" s="2" t="n"/>
      <c r="O46" s="2" t="n"/>
      <c r="P46" s="2" t="n"/>
      <c r="Q46" s="2" t="n"/>
      <c r="R46" s="2" t="n"/>
      <c r="S46" s="2" t="n"/>
    </row>
    <row r="47" ht="25" customHeight="1">
      <c r="A47" s="3" t="n"/>
      <c r="B47" s="3" t="n"/>
      <c r="C47" s="3" t="n"/>
      <c r="D47" s="3" t="n"/>
      <c r="E47" s="3" t="n"/>
      <c r="F47" s="3" t="n"/>
      <c r="G47" s="3" t="n"/>
      <c r="H47" s="3" t="n"/>
      <c r="I47" s="3" t="n"/>
      <c r="J47" s="3" t="n"/>
      <c r="K47" s="3" t="n"/>
      <c r="L47" s="3" t="n"/>
      <c r="M47" s="3" t="n"/>
      <c r="N47" s="3" t="n"/>
      <c r="O47" s="3" t="n"/>
      <c r="P47" s="3" t="n"/>
      <c r="Q47" s="3" t="n"/>
      <c r="R47" s="3" t="n"/>
      <c r="S47" s="3" t="n"/>
    </row>
    <row r="48" ht="25" customHeight="1">
      <c r="A48" s="2" t="n"/>
      <c r="B48" s="2" t="n"/>
      <c r="C48" s="2" t="n"/>
      <c r="D48" s="2" t="n"/>
      <c r="E48" s="2" t="n"/>
      <c r="F48" s="2" t="n"/>
      <c r="G48" s="2" t="n"/>
      <c r="H48" s="2" t="n"/>
      <c r="I48" s="2" t="n"/>
      <c r="J48" s="2" t="n"/>
      <c r="K48" s="2" t="n"/>
      <c r="L48" s="2" t="n"/>
      <c r="M48" s="2" t="n"/>
      <c r="N48" s="2" t="n"/>
      <c r="O48" s="2" t="n"/>
      <c r="P48" s="2" t="n"/>
      <c r="Q48" s="2" t="n"/>
      <c r="R48" s="2" t="n"/>
      <c r="S48" s="2" t="n"/>
    </row>
    <row r="49" ht="25" customHeight="1">
      <c r="A49" s="3" t="n"/>
      <c r="B49" s="3" t="n"/>
      <c r="C49" s="3" t="n"/>
      <c r="D49" s="3" t="n"/>
      <c r="E49" s="3" t="n"/>
      <c r="F49" s="3" t="n"/>
      <c r="G49" s="3" t="n"/>
      <c r="H49" s="3" t="n"/>
      <c r="I49" s="3" t="n"/>
      <c r="J49" s="3" t="n"/>
      <c r="K49" s="3" t="n"/>
      <c r="L49" s="3" t="n"/>
      <c r="M49" s="3" t="n"/>
      <c r="N49" s="3" t="n"/>
      <c r="O49" s="3" t="n"/>
      <c r="P49" s="3" t="n"/>
      <c r="Q49" s="3" t="n"/>
      <c r="R49" s="3" t="n"/>
      <c r="S49" s="3" t="n"/>
    </row>
    <row r="50" ht="25" customHeight="1">
      <c r="A50" s="2" t="n"/>
      <c r="B50" s="2" t="n"/>
      <c r="C50" s="2" t="n"/>
      <c r="D50" s="2" t="n"/>
      <c r="E50" s="2" t="n"/>
      <c r="F50" s="2" t="n"/>
      <c r="G50" s="2" t="n"/>
      <c r="H50" s="2" t="n"/>
      <c r="I50" s="2" t="n"/>
      <c r="J50" s="2" t="n"/>
      <c r="K50" s="2" t="n"/>
      <c r="L50" s="2" t="n"/>
      <c r="M50" s="2" t="n"/>
      <c r="N50" s="2" t="n"/>
      <c r="O50" s="2" t="n"/>
      <c r="P50" s="2" t="n"/>
      <c r="Q50" s="2" t="n"/>
      <c r="R50" s="2" t="n"/>
      <c r="S50" s="2" t="n"/>
    </row>
    <row r="51" ht="25" customHeight="1">
      <c r="A51" s="3" t="n"/>
      <c r="B51" s="3" t="n"/>
      <c r="C51" s="3" t="n"/>
      <c r="D51" s="3" t="n"/>
      <c r="E51" s="3" t="n"/>
      <c r="F51" s="3" t="n"/>
      <c r="G51" s="3" t="n"/>
      <c r="H51" s="3" t="n"/>
      <c r="I51" s="3" t="n"/>
      <c r="J51" s="3" t="n"/>
      <c r="K51" s="3" t="n"/>
      <c r="L51" s="3" t="n"/>
      <c r="M51" s="3" t="n"/>
      <c r="N51" s="3" t="n"/>
      <c r="O51" s="3" t="n"/>
      <c r="P51" s="3" t="n"/>
      <c r="Q51" s="3" t="n"/>
      <c r="R51" s="3" t="n"/>
      <c r="S51" s="3" t="n"/>
    </row>
    <row r="52" ht="25" customHeight="1">
      <c r="A52" s="2" t="n"/>
      <c r="B52" s="2" t="n"/>
      <c r="C52" s="2" t="n"/>
      <c r="D52" s="2" t="n"/>
      <c r="E52" s="2" t="n"/>
      <c r="F52" s="2" t="n"/>
      <c r="G52" s="2" t="n"/>
      <c r="H52" s="2" t="n"/>
      <c r="I52" s="2" t="n"/>
      <c r="J52" s="2" t="n"/>
      <c r="K52" s="2" t="n"/>
      <c r="L52" s="2" t="n"/>
      <c r="M52" s="2" t="n"/>
      <c r="N52" s="2" t="n"/>
      <c r="O52" s="2" t="n"/>
      <c r="P52" s="2" t="n"/>
      <c r="Q52" s="2" t="n"/>
      <c r="R52" s="2" t="n"/>
      <c r="S52" s="2" t="n"/>
    </row>
    <row r="53" ht="25" customHeight="1">
      <c r="A53" s="3" t="n"/>
      <c r="B53" s="3" t="n"/>
      <c r="C53" s="3" t="n"/>
      <c r="D53" s="3" t="n"/>
      <c r="E53" s="3" t="n"/>
      <c r="F53" s="3" t="n"/>
      <c r="G53" s="3" t="n"/>
      <c r="H53" s="3" t="n"/>
      <c r="I53" s="3" t="n"/>
      <c r="J53" s="3" t="n"/>
      <c r="K53" s="3" t="n"/>
      <c r="L53" s="3" t="n"/>
      <c r="M53" s="3" t="n"/>
      <c r="N53" s="3" t="n"/>
      <c r="O53" s="3" t="n"/>
      <c r="P53" s="3" t="n"/>
      <c r="Q53" s="3" t="n"/>
      <c r="R53" s="3" t="n"/>
      <c r="S53" s="3" t="n"/>
    </row>
    <row r="54" ht="25" customHeight="1">
      <c r="A54" s="2" t="n"/>
      <c r="B54" s="2" t="n"/>
      <c r="C54" s="2" t="n"/>
      <c r="D54" s="2" t="n"/>
      <c r="E54" s="2" t="n"/>
      <c r="F54" s="2" t="n"/>
      <c r="G54" s="2" t="n"/>
      <c r="H54" s="2" t="n"/>
      <c r="I54" s="2" t="n"/>
      <c r="J54" s="2" t="n"/>
      <c r="K54" s="2" t="n"/>
      <c r="L54" s="2" t="n"/>
      <c r="M54" s="2" t="n"/>
      <c r="N54" s="2" t="n"/>
      <c r="O54" s="2" t="n"/>
      <c r="P54" s="2" t="n"/>
      <c r="Q54" s="2" t="n"/>
      <c r="R54" s="2" t="n"/>
      <c r="S54" s="2" t="n"/>
    </row>
    <row r="55" ht="25" customHeight="1">
      <c r="A55" s="3" t="n"/>
      <c r="B55" s="3" t="n"/>
      <c r="C55" s="3" t="n"/>
      <c r="D55" s="3" t="n"/>
      <c r="E55" s="3" t="n"/>
      <c r="F55" s="3" t="n"/>
      <c r="G55" s="3" t="n"/>
      <c r="H55" s="3" t="n"/>
      <c r="I55" s="3" t="n"/>
      <c r="J55" s="3" t="n"/>
      <c r="K55" s="3" t="n"/>
      <c r="L55" s="3" t="n"/>
      <c r="M55" s="3" t="n"/>
      <c r="N55" s="3" t="n"/>
      <c r="O55" s="3" t="n"/>
      <c r="P55" s="3" t="n"/>
      <c r="Q55" s="3" t="n"/>
      <c r="R55" s="3" t="n"/>
      <c r="S55" s="3" t="n"/>
    </row>
    <row r="56" ht="25" customHeight="1">
      <c r="A56" s="2" t="n"/>
      <c r="B56" s="2" t="n"/>
      <c r="C56" s="2" t="n"/>
      <c r="D56" s="2" t="n"/>
      <c r="E56" s="2" t="n"/>
      <c r="F56" s="2" t="n"/>
      <c r="G56" s="2" t="n"/>
      <c r="H56" s="2" t="n"/>
      <c r="I56" s="2" t="n"/>
      <c r="J56" s="2" t="n"/>
      <c r="K56" s="2" t="n"/>
      <c r="L56" s="2" t="n"/>
      <c r="M56" s="2" t="n"/>
      <c r="N56" s="2" t="n"/>
      <c r="O56" s="2" t="n"/>
      <c r="P56" s="2" t="n"/>
      <c r="Q56" s="2" t="n"/>
      <c r="R56" s="2" t="n"/>
      <c r="S56" s="2" t="n"/>
    </row>
    <row r="57" ht="25" customHeight="1">
      <c r="A57" s="3" t="n"/>
      <c r="B57" s="3" t="n"/>
      <c r="C57" s="3" t="n"/>
      <c r="D57" s="3" t="n"/>
      <c r="E57" s="3" t="n"/>
      <c r="F57" s="3" t="n"/>
      <c r="G57" s="3" t="n"/>
      <c r="H57" s="3" t="n"/>
      <c r="I57" s="3" t="n"/>
      <c r="J57" s="3" t="n"/>
      <c r="K57" s="3" t="n"/>
      <c r="L57" s="3" t="n"/>
      <c r="M57" s="3" t="n"/>
      <c r="N57" s="3" t="n"/>
      <c r="O57" s="3" t="n"/>
      <c r="P57" s="3" t="n"/>
      <c r="Q57" s="3" t="n"/>
      <c r="R57" s="3" t="n"/>
      <c r="S57" s="3" t="n"/>
    </row>
    <row r="58" ht="25" customHeight="1">
      <c r="A58" s="2" t="n"/>
      <c r="B58" s="2" t="n"/>
      <c r="C58" s="2" t="n"/>
      <c r="D58" s="2" t="n"/>
      <c r="E58" s="2" t="n"/>
      <c r="F58" s="2" t="n"/>
      <c r="G58" s="2" t="n"/>
      <c r="H58" s="2" t="n"/>
      <c r="I58" s="2" t="n"/>
      <c r="J58" s="2" t="n"/>
      <c r="K58" s="2" t="n"/>
      <c r="L58" s="2" t="n"/>
      <c r="M58" s="2" t="n"/>
      <c r="N58" s="2" t="n"/>
      <c r="O58" s="2" t="n"/>
      <c r="P58" s="2" t="n"/>
      <c r="Q58" s="2" t="n"/>
      <c r="R58" s="2" t="n"/>
      <c r="S58" s="2" t="n"/>
    </row>
    <row r="59" ht="25" customHeight="1">
      <c r="A59" s="3" t="n"/>
      <c r="B59" s="3" t="n"/>
      <c r="C59" s="3" t="n"/>
      <c r="D59" s="3" t="n"/>
      <c r="E59" s="3" t="n"/>
      <c r="F59" s="3" t="n"/>
      <c r="G59" s="3" t="n"/>
      <c r="H59" s="3" t="n"/>
      <c r="I59" s="3" t="n"/>
      <c r="J59" s="3" t="n"/>
      <c r="K59" s="3" t="n"/>
      <c r="L59" s="3" t="n"/>
      <c r="M59" s="3" t="n"/>
      <c r="N59" s="3" t="n"/>
      <c r="O59" s="3" t="n"/>
      <c r="P59" s="3" t="n"/>
      <c r="Q59" s="3" t="n"/>
      <c r="R59" s="3" t="n"/>
      <c r="S59" s="3" t="n"/>
    </row>
    <row r="60" ht="25" customHeight="1">
      <c r="A60" s="2" t="n"/>
      <c r="B60" s="2" t="n"/>
      <c r="C60" s="2" t="n"/>
      <c r="D60" s="2" t="n"/>
      <c r="E60" s="2" t="n"/>
      <c r="F60" s="2" t="n"/>
      <c r="G60" s="2" t="n"/>
      <c r="H60" s="2" t="n"/>
      <c r="I60" s="2" t="n"/>
      <c r="J60" s="2" t="n"/>
      <c r="K60" s="2" t="n"/>
      <c r="L60" s="2" t="n"/>
      <c r="M60" s="2" t="n"/>
      <c r="N60" s="2" t="n"/>
      <c r="O60" s="2" t="n"/>
      <c r="P60" s="2" t="n"/>
      <c r="Q60" s="2" t="n"/>
      <c r="R60" s="2" t="n"/>
      <c r="S60" s="2" t="n"/>
    </row>
    <row r="61" ht="25" customHeight="1">
      <c r="A61" s="3" t="n"/>
      <c r="B61" s="3" t="n"/>
      <c r="C61" s="3" t="n"/>
      <c r="D61" s="3" t="n"/>
      <c r="E61" s="3" t="n"/>
      <c r="F61" s="3" t="n"/>
      <c r="G61" s="3" t="n"/>
      <c r="H61" s="3" t="n"/>
      <c r="I61" s="3" t="n"/>
      <c r="J61" s="3" t="n"/>
      <c r="K61" s="3" t="n"/>
      <c r="L61" s="3" t="n"/>
      <c r="M61" s="3" t="n"/>
      <c r="N61" s="3" t="n"/>
      <c r="O61" s="3" t="n"/>
      <c r="P61" s="3" t="n"/>
      <c r="Q61" s="3" t="n"/>
      <c r="R61" s="3" t="n"/>
      <c r="S61" s="3" t="n"/>
    </row>
    <row r="62" ht="25" customHeight="1">
      <c r="A62" s="2" t="n"/>
      <c r="B62" s="2" t="n"/>
      <c r="C62" s="2" t="n"/>
      <c r="D62" s="2" t="n"/>
      <c r="E62" s="2" t="n"/>
      <c r="F62" s="2" t="n"/>
      <c r="G62" s="2" t="n"/>
      <c r="H62" s="2" t="n"/>
      <c r="I62" s="2" t="n"/>
      <c r="J62" s="2" t="n"/>
      <c r="K62" s="2" t="n"/>
      <c r="L62" s="2" t="n"/>
      <c r="M62" s="2" t="n"/>
      <c r="N62" s="2" t="n"/>
      <c r="O62" s="2" t="n"/>
      <c r="P62" s="2" t="n"/>
      <c r="Q62" s="2" t="n"/>
      <c r="R62" s="2" t="n"/>
      <c r="S62" s="2" t="n"/>
    </row>
    <row r="63" ht="25" customHeight="1">
      <c r="A63" s="3" t="n"/>
      <c r="B63" s="3" t="n"/>
      <c r="C63" s="3" t="n"/>
      <c r="D63" s="3" t="n"/>
      <c r="E63" s="3" t="n"/>
      <c r="F63" s="3" t="n"/>
      <c r="G63" s="3" t="n"/>
      <c r="H63" s="3" t="n"/>
      <c r="I63" s="3" t="n"/>
      <c r="J63" s="3" t="n"/>
      <c r="K63" s="3" t="n"/>
      <c r="L63" s="3" t="n"/>
      <c r="M63" s="3" t="n"/>
      <c r="N63" s="3" t="n"/>
      <c r="O63" s="3" t="n"/>
      <c r="P63" s="3" t="n"/>
      <c r="Q63" s="3" t="n"/>
      <c r="R63" s="3" t="n"/>
      <c r="S63" s="3" t="n"/>
    </row>
    <row r="64" ht="25" customHeight="1">
      <c r="A64" s="2" t="n"/>
      <c r="B64" s="2" t="n"/>
      <c r="C64" s="2" t="n"/>
      <c r="D64" s="2" t="n"/>
      <c r="E64" s="2" t="n"/>
      <c r="F64" s="2" t="n"/>
      <c r="G64" s="2" t="n"/>
      <c r="H64" s="2" t="n"/>
      <c r="I64" s="2" t="n"/>
      <c r="J64" s="2" t="n"/>
      <c r="K64" s="2" t="n"/>
      <c r="L64" s="2" t="n"/>
      <c r="M64" s="2" t="n"/>
      <c r="N64" s="2" t="n"/>
      <c r="O64" s="2" t="n"/>
      <c r="P64" s="2" t="n"/>
      <c r="Q64" s="2" t="n"/>
      <c r="R64" s="2" t="n"/>
      <c r="S64" s="2" t="n"/>
    </row>
    <row r="65" ht="25" customHeight="1">
      <c r="A65" s="3" t="n"/>
      <c r="B65" s="3" t="n"/>
      <c r="C65" s="3" t="n"/>
      <c r="D65" s="3" t="n"/>
      <c r="E65" s="3" t="n"/>
      <c r="F65" s="3" t="n"/>
      <c r="G65" s="3" t="n"/>
      <c r="H65" s="3" t="n"/>
      <c r="I65" s="3" t="n"/>
      <c r="J65" s="3" t="n"/>
      <c r="K65" s="3" t="n"/>
      <c r="L65" s="3" t="n"/>
      <c r="M65" s="3" t="n"/>
      <c r="N65" s="3" t="n"/>
      <c r="O65" s="3" t="n"/>
      <c r="P65" s="3" t="n"/>
      <c r="Q65" s="3" t="n"/>
      <c r="R65" s="3" t="n"/>
      <c r="S65" s="3" t="n"/>
    </row>
    <row r="66" ht="25" customHeight="1">
      <c r="A66" s="2" t="n"/>
      <c r="B66" s="2" t="n"/>
      <c r="C66" s="2" t="n"/>
      <c r="D66" s="2" t="n"/>
      <c r="E66" s="2" t="n"/>
      <c r="F66" s="2" t="n"/>
      <c r="G66" s="2" t="n"/>
      <c r="H66" s="2" t="n"/>
      <c r="I66" s="2" t="n"/>
      <c r="J66" s="2" t="n"/>
      <c r="K66" s="2" t="n"/>
      <c r="L66" s="2" t="n"/>
      <c r="M66" s="2" t="n"/>
      <c r="N66" s="2" t="n"/>
      <c r="O66" s="2" t="n"/>
      <c r="P66" s="2" t="n"/>
      <c r="Q66" s="2" t="n"/>
      <c r="R66" s="2" t="n"/>
      <c r="S66" s="2" t="n"/>
    </row>
    <row r="67" ht="25" customHeight="1">
      <c r="A67" s="3" t="n"/>
      <c r="B67" s="3" t="n"/>
      <c r="C67" s="3" t="n"/>
      <c r="D67" s="3" t="n"/>
      <c r="E67" s="3" t="n"/>
      <c r="F67" s="3" t="n"/>
      <c r="G67" s="3" t="n"/>
      <c r="H67" s="3" t="n"/>
      <c r="I67" s="3" t="n"/>
      <c r="J67" s="3" t="n"/>
      <c r="K67" s="3" t="n"/>
      <c r="L67" s="3" t="n"/>
      <c r="M67" s="3" t="n"/>
      <c r="N67" s="3" t="n"/>
      <c r="O67" s="3" t="n"/>
      <c r="P67" s="3" t="n"/>
      <c r="Q67" s="3" t="n"/>
      <c r="R67" s="3" t="n"/>
      <c r="S67" s="3" t="n"/>
    </row>
    <row r="68" ht="25" customHeight="1">
      <c r="A68" s="2" t="n"/>
      <c r="B68" s="2" t="n"/>
      <c r="C68" s="2" t="n"/>
      <c r="D68" s="2" t="n"/>
      <c r="E68" s="2" t="n"/>
      <c r="F68" s="2" t="n"/>
      <c r="G68" s="2" t="n"/>
      <c r="H68" s="2" t="n"/>
      <c r="I68" s="2" t="n"/>
      <c r="J68" s="2" t="n"/>
      <c r="K68" s="2" t="n"/>
      <c r="L68" s="2" t="n"/>
      <c r="M68" s="2" t="n"/>
      <c r="N68" s="2" t="n"/>
      <c r="O68" s="2" t="n"/>
      <c r="P68" s="2" t="n"/>
      <c r="Q68" s="2" t="n"/>
      <c r="R68" s="2" t="n"/>
      <c r="S68" s="2" t="n"/>
    </row>
    <row r="69" ht="25" customHeight="1">
      <c r="A69" s="3" t="n"/>
      <c r="B69" s="3" t="n"/>
      <c r="C69" s="3" t="n"/>
      <c r="D69" s="3" t="n"/>
      <c r="E69" s="3" t="n"/>
      <c r="F69" s="3" t="n"/>
      <c r="G69" s="3" t="n"/>
      <c r="H69" s="3" t="n"/>
      <c r="I69" s="3" t="n"/>
      <c r="J69" s="3" t="n"/>
      <c r="K69" s="3" t="n"/>
      <c r="L69" s="3" t="n"/>
      <c r="M69" s="3" t="n"/>
      <c r="N69" s="3" t="n"/>
      <c r="O69" s="3" t="n"/>
      <c r="P69" s="3" t="n"/>
      <c r="Q69" s="3" t="n"/>
      <c r="R69" s="3" t="n"/>
      <c r="S69" s="3" t="n"/>
    </row>
    <row r="70" ht="25" customHeight="1">
      <c r="A70" s="2" t="n"/>
      <c r="B70" s="2" t="n"/>
      <c r="C70" s="2" t="n"/>
      <c r="D70" s="2" t="n"/>
      <c r="E70" s="2" t="n"/>
      <c r="F70" s="2" t="n"/>
      <c r="G70" s="2" t="n"/>
      <c r="H70" s="2" t="n"/>
      <c r="I70" s="2" t="n"/>
      <c r="J70" s="2" t="n"/>
      <c r="K70" s="2" t="n"/>
      <c r="L70" s="2" t="n"/>
      <c r="M70" s="2" t="n"/>
      <c r="N70" s="2" t="n"/>
      <c r="O70" s="2" t="n"/>
      <c r="P70" s="2" t="n"/>
      <c r="Q70" s="2" t="n"/>
      <c r="R70" s="2" t="n"/>
      <c r="S70" s="2" t="n"/>
    </row>
    <row r="71" ht="25" customHeight="1">
      <c r="A71" s="3" t="n"/>
      <c r="B71" s="3" t="n"/>
      <c r="C71" s="3" t="n"/>
      <c r="D71" s="3" t="n"/>
      <c r="E71" s="3" t="n"/>
      <c r="F71" s="3" t="n"/>
      <c r="G71" s="3" t="n"/>
      <c r="H71" s="3" t="n"/>
      <c r="I71" s="3" t="n"/>
      <c r="J71" s="3" t="n"/>
      <c r="K71" s="3" t="n"/>
      <c r="L71" s="3" t="n"/>
      <c r="M71" s="3" t="n"/>
      <c r="N71" s="3" t="n"/>
      <c r="O71" s="3" t="n"/>
      <c r="P71" s="3" t="n"/>
      <c r="Q71" s="3" t="n"/>
      <c r="R71" s="3" t="n"/>
      <c r="S71" s="3" t="n"/>
    </row>
    <row r="72" ht="25" customHeight="1">
      <c r="A72" s="2" t="n"/>
      <c r="B72" s="2" t="n"/>
      <c r="C72" s="2" t="n"/>
      <c r="D72" s="2" t="n"/>
      <c r="E72" s="2" t="n"/>
      <c r="F72" s="2" t="n"/>
      <c r="G72" s="2" t="n"/>
      <c r="H72" s="2" t="n"/>
      <c r="I72" s="2" t="n"/>
      <c r="J72" s="2" t="n"/>
      <c r="K72" s="2" t="n"/>
      <c r="L72" s="2" t="n"/>
      <c r="M72" s="2" t="n"/>
      <c r="N72" s="2" t="n"/>
      <c r="O72" s="2" t="n"/>
      <c r="P72" s="2" t="n"/>
      <c r="Q72" s="2" t="n"/>
      <c r="R72" s="2" t="n"/>
      <c r="S72" s="2" t="n"/>
    </row>
    <row r="73" ht="25" customHeight="1">
      <c r="A73" s="3" t="n"/>
      <c r="B73" s="3" t="n"/>
      <c r="C73" s="3" t="n"/>
      <c r="D73" s="3" t="n"/>
      <c r="E73" s="3" t="n"/>
      <c r="F73" s="3" t="n"/>
      <c r="G73" s="3" t="n"/>
      <c r="H73" s="3" t="n"/>
      <c r="I73" s="3" t="n"/>
      <c r="J73" s="3" t="n"/>
      <c r="K73" s="3" t="n"/>
      <c r="L73" s="3" t="n"/>
      <c r="M73" s="3" t="n"/>
      <c r="N73" s="3" t="n"/>
      <c r="O73" s="3" t="n"/>
      <c r="P73" s="3" t="n"/>
      <c r="Q73" s="3" t="n"/>
      <c r="R73" s="3" t="n"/>
      <c r="S73" s="3" t="n"/>
    </row>
    <row r="74" ht="25" customHeight="1">
      <c r="A74" s="2" t="n"/>
      <c r="B74" s="2" t="n"/>
      <c r="C74" s="2" t="n"/>
      <c r="D74" s="2" t="n"/>
      <c r="E74" s="2" t="n"/>
      <c r="F74" s="2" t="n"/>
      <c r="G74" s="2" t="n"/>
      <c r="H74" s="2" t="n"/>
      <c r="I74" s="2" t="n"/>
      <c r="J74" s="2" t="n"/>
      <c r="K74" s="2" t="n"/>
      <c r="L74" s="2" t="n"/>
      <c r="M74" s="2" t="n"/>
      <c r="N74" s="2" t="n"/>
      <c r="O74" s="2" t="n"/>
      <c r="P74" s="2" t="n"/>
      <c r="Q74" s="2" t="n"/>
      <c r="R74" s="2" t="n"/>
      <c r="S74" s="2" t="n"/>
    </row>
    <row r="75" ht="25" customHeight="1">
      <c r="A75" s="3" t="n"/>
      <c r="B75" s="3" t="n"/>
      <c r="C75" s="3" t="n"/>
      <c r="D75" s="3" t="n"/>
      <c r="E75" s="3" t="n"/>
      <c r="F75" s="3" t="n"/>
      <c r="G75" s="3" t="n"/>
      <c r="H75" s="3" t="n"/>
      <c r="I75" s="3" t="n"/>
      <c r="J75" s="3" t="n"/>
      <c r="K75" s="3" t="n"/>
      <c r="L75" s="3" t="n"/>
      <c r="M75" s="3" t="n"/>
      <c r="N75" s="3" t="n"/>
      <c r="O75" s="3" t="n"/>
      <c r="P75" s="3" t="n"/>
      <c r="Q75" s="3" t="n"/>
      <c r="R75" s="3" t="n"/>
      <c r="S75" s="3" t="n"/>
    </row>
    <row r="76" ht="25" customHeight="1">
      <c r="A76" s="2" t="n"/>
      <c r="B76" s="2" t="n"/>
      <c r="C76" s="2" t="n"/>
      <c r="D76" s="2" t="n"/>
      <c r="E76" s="2" t="n"/>
      <c r="F76" s="2" t="n"/>
      <c r="G76" s="2" t="n"/>
      <c r="H76" s="2" t="n"/>
      <c r="I76" s="2" t="n"/>
      <c r="J76" s="2" t="n"/>
      <c r="K76" s="2" t="n"/>
      <c r="L76" s="2" t="n"/>
      <c r="M76" s="2" t="n"/>
      <c r="N76" s="2" t="n"/>
      <c r="O76" s="2" t="n"/>
      <c r="P76" s="2" t="n"/>
      <c r="Q76" s="2" t="n"/>
      <c r="R76" s="2" t="n"/>
      <c r="S76" s="2" t="n"/>
    </row>
    <row r="77" ht="25" customHeight="1">
      <c r="A77" s="3" t="n"/>
      <c r="B77" s="3" t="n"/>
      <c r="C77" s="3" t="n"/>
      <c r="D77" s="3" t="n"/>
      <c r="E77" s="3" t="n"/>
      <c r="F77" s="3" t="n"/>
      <c r="G77" s="3" t="n"/>
      <c r="H77" s="3" t="n"/>
      <c r="I77" s="3" t="n"/>
      <c r="J77" s="3" t="n"/>
      <c r="K77" s="3" t="n"/>
      <c r="L77" s="3" t="n"/>
      <c r="M77" s="3" t="n"/>
      <c r="N77" s="3" t="n"/>
      <c r="O77" s="3" t="n"/>
      <c r="P77" s="3" t="n"/>
      <c r="Q77" s="3" t="n"/>
      <c r="R77" s="3" t="n"/>
      <c r="S77" s="3" t="n"/>
    </row>
    <row r="78" ht="25" customHeight="1">
      <c r="A78" s="2" t="n"/>
      <c r="B78" s="2" t="n"/>
      <c r="C78" s="2" t="n"/>
      <c r="D78" s="2" t="n"/>
      <c r="E78" s="2" t="n"/>
      <c r="F78" s="2" t="n"/>
      <c r="G78" s="2" t="n"/>
      <c r="H78" s="2" t="n"/>
      <c r="I78" s="2" t="n"/>
      <c r="J78" s="2" t="n"/>
      <c r="K78" s="2" t="n"/>
      <c r="L78" s="2" t="n"/>
      <c r="M78" s="2" t="n"/>
      <c r="N78" s="2" t="n"/>
      <c r="O78" s="2" t="n"/>
      <c r="P78" s="2" t="n"/>
      <c r="Q78" s="2" t="n"/>
      <c r="R78" s="2" t="n"/>
      <c r="S78" s="2" t="n"/>
    </row>
    <row r="79" ht="25" customHeight="1">
      <c r="A79" s="3" t="n"/>
      <c r="B79" s="3" t="n"/>
      <c r="C79" s="3" t="n"/>
      <c r="D79" s="3" t="n"/>
      <c r="E79" s="3" t="n"/>
      <c r="F79" s="3" t="n"/>
      <c r="G79" s="3" t="n"/>
      <c r="H79" s="3" t="n"/>
      <c r="I79" s="3" t="n"/>
      <c r="J79" s="3" t="n"/>
      <c r="K79" s="3" t="n"/>
      <c r="L79" s="3" t="n"/>
      <c r="M79" s="3" t="n"/>
      <c r="N79" s="3" t="n"/>
      <c r="O79" s="3" t="n"/>
      <c r="P79" s="3" t="n"/>
      <c r="Q79" s="3" t="n"/>
      <c r="R79" s="3" t="n"/>
      <c r="S79" s="3" t="n"/>
    </row>
    <row r="80" ht="25" customHeight="1">
      <c r="A80" s="2" t="n"/>
      <c r="B80" s="2" t="n"/>
      <c r="C80" s="2" t="n"/>
      <c r="D80" s="2" t="n"/>
      <c r="E80" s="2" t="n"/>
      <c r="F80" s="2" t="n"/>
      <c r="G80" s="2" t="n"/>
      <c r="H80" s="2" t="n"/>
      <c r="I80" s="2" t="n"/>
      <c r="J80" s="2" t="n"/>
      <c r="K80" s="2" t="n"/>
      <c r="L80" s="2" t="n"/>
      <c r="M80" s="2" t="n"/>
      <c r="N80" s="2" t="n"/>
      <c r="O80" s="2" t="n"/>
      <c r="P80" s="2" t="n"/>
      <c r="Q80" s="2" t="n"/>
      <c r="R80" s="2" t="n"/>
      <c r="S80" s="2" t="n"/>
    </row>
    <row r="81" ht="25" customHeight="1">
      <c r="A81" s="3" t="n"/>
      <c r="B81" s="3" t="n"/>
      <c r="C81" s="3" t="n"/>
      <c r="D81" s="3" t="n"/>
      <c r="E81" s="3" t="n"/>
      <c r="F81" s="3" t="n"/>
      <c r="G81" s="3" t="n"/>
      <c r="H81" s="3" t="n"/>
      <c r="I81" s="3" t="n"/>
      <c r="J81" s="3" t="n"/>
      <c r="K81" s="3" t="n"/>
      <c r="L81" s="3" t="n"/>
      <c r="M81" s="3" t="n"/>
      <c r="N81" s="3" t="n"/>
      <c r="O81" s="3" t="n"/>
      <c r="P81" s="3" t="n"/>
      <c r="Q81" s="3" t="n"/>
      <c r="R81" s="3" t="n"/>
      <c r="S81" s="3" t="n"/>
    </row>
    <row r="82" ht="25" customHeight="1">
      <c r="A82" s="2" t="n"/>
      <c r="B82" s="2" t="n"/>
      <c r="C82" s="2" t="n"/>
      <c r="D82" s="2" t="n"/>
      <c r="E82" s="2" t="n"/>
      <c r="F82" s="2" t="n"/>
      <c r="G82" s="2" t="n"/>
      <c r="H82" s="2" t="n"/>
      <c r="I82" s="2" t="n"/>
      <c r="J82" s="2" t="n"/>
      <c r="K82" s="2" t="n"/>
      <c r="L82" s="2" t="n"/>
      <c r="M82" s="2" t="n"/>
      <c r="N82" s="2" t="n"/>
      <c r="O82" s="2" t="n"/>
      <c r="P82" s="2" t="n"/>
      <c r="Q82" s="2" t="n"/>
      <c r="R82" s="2" t="n"/>
      <c r="S82" s="2" t="n"/>
    </row>
    <row r="83" ht="25" customHeight="1">
      <c r="A83" s="3" t="n"/>
      <c r="B83" s="3" t="n"/>
      <c r="C83" s="3" t="n"/>
      <c r="D83" s="3" t="n"/>
      <c r="E83" s="3" t="n"/>
      <c r="F83" s="3" t="n"/>
      <c r="G83" s="3" t="n"/>
      <c r="H83" s="3" t="n"/>
      <c r="I83" s="3" t="n"/>
      <c r="J83" s="3" t="n"/>
      <c r="K83" s="3" t="n"/>
      <c r="L83" s="3" t="n"/>
      <c r="M83" s="3" t="n"/>
      <c r="N83" s="3" t="n"/>
      <c r="O83" s="3" t="n"/>
      <c r="P83" s="3" t="n"/>
      <c r="Q83" s="3" t="n"/>
      <c r="R83" s="3" t="n"/>
      <c r="S83" s="3" t="n"/>
    </row>
    <row r="84" ht="25" customHeight="1">
      <c r="A84" s="2" t="n"/>
      <c r="B84" s="2" t="n"/>
      <c r="C84" s="2" t="n"/>
      <c r="D84" s="2" t="n"/>
      <c r="E84" s="2" t="n"/>
      <c r="F84" s="2" t="n"/>
      <c r="G84" s="2" t="n"/>
      <c r="H84" s="2" t="n"/>
      <c r="I84" s="2" t="n"/>
      <c r="J84" s="2" t="n"/>
      <c r="K84" s="2" t="n"/>
      <c r="L84" s="2" t="n"/>
      <c r="M84" s="2" t="n"/>
      <c r="N84" s="2" t="n"/>
      <c r="O84" s="2" t="n"/>
      <c r="P84" s="2" t="n"/>
      <c r="Q84" s="2" t="n"/>
      <c r="R84" s="2" t="n"/>
      <c r="S84" s="2" t="n"/>
    </row>
    <row r="85" ht="25" customHeight="1">
      <c r="A85" s="3" t="n"/>
      <c r="B85" s="3" t="n"/>
      <c r="C85" s="3" t="n"/>
      <c r="D85" s="3" t="n"/>
      <c r="E85" s="3" t="n"/>
      <c r="F85" s="3" t="n"/>
      <c r="G85" s="3" t="n"/>
      <c r="H85" s="3" t="n"/>
      <c r="I85" s="3" t="n"/>
      <c r="J85" s="3" t="n"/>
      <c r="K85" s="3" t="n"/>
      <c r="L85" s="3" t="n"/>
      <c r="M85" s="3" t="n"/>
      <c r="N85" s="3" t="n"/>
      <c r="O85" s="3" t="n"/>
      <c r="P85" s="3" t="n"/>
      <c r="Q85" s="3" t="n"/>
      <c r="R85" s="3" t="n"/>
      <c r="S85" s="3" t="n"/>
    </row>
    <row r="86" ht="25" customHeight="1">
      <c r="A86" s="2" t="n"/>
      <c r="B86" s="2" t="n"/>
      <c r="C86" s="2" t="n"/>
      <c r="D86" s="2" t="n"/>
      <c r="E86" s="2" t="n"/>
      <c r="F86" s="2" t="n"/>
      <c r="G86" s="2" t="n"/>
      <c r="H86" s="2" t="n"/>
      <c r="I86" s="2" t="n"/>
      <c r="J86" s="2" t="n"/>
      <c r="K86" s="2" t="n"/>
      <c r="L86" s="2" t="n"/>
      <c r="M86" s="2" t="n"/>
      <c r="N86" s="2" t="n"/>
      <c r="O86" s="2" t="n"/>
      <c r="P86" s="2" t="n"/>
      <c r="Q86" s="2" t="n"/>
      <c r="R86" s="2" t="n"/>
      <c r="S86" s="2" t="n"/>
    </row>
    <row r="87" ht="25" customHeight="1">
      <c r="A87" s="3" t="n"/>
      <c r="B87" s="3" t="n"/>
      <c r="C87" s="3" t="n"/>
      <c r="D87" s="3" t="n"/>
      <c r="E87" s="3" t="n"/>
      <c r="F87" s="3" t="n"/>
      <c r="G87" s="3" t="n"/>
      <c r="H87" s="3" t="n"/>
      <c r="I87" s="3" t="n"/>
      <c r="J87" s="3" t="n"/>
      <c r="K87" s="3" t="n"/>
      <c r="L87" s="3" t="n"/>
      <c r="M87" s="3" t="n"/>
      <c r="N87" s="3" t="n"/>
      <c r="O87" s="3" t="n"/>
      <c r="P87" s="3" t="n"/>
      <c r="Q87" s="3" t="n"/>
      <c r="R87" s="3" t="n"/>
      <c r="S87" s="3" t="n"/>
    </row>
    <row r="88" ht="25" customHeight="1">
      <c r="A88" s="2" t="n"/>
      <c r="B88" s="2" t="n"/>
      <c r="C88" s="2" t="n"/>
      <c r="D88" s="2" t="n"/>
      <c r="E88" s="2" t="n"/>
      <c r="F88" s="2" t="n"/>
      <c r="G88" s="2" t="n"/>
      <c r="H88" s="2" t="n"/>
      <c r="I88" s="2" t="n"/>
      <c r="J88" s="2" t="n"/>
      <c r="K88" s="2" t="n"/>
      <c r="L88" s="2" t="n"/>
      <c r="M88" s="2" t="n"/>
      <c r="N88" s="2" t="n"/>
      <c r="O88" s="2" t="n"/>
      <c r="P88" s="2" t="n"/>
      <c r="Q88" s="2" t="n"/>
      <c r="R88" s="2" t="n"/>
      <c r="S88" s="2" t="n"/>
    </row>
    <row r="89" ht="25" customHeight="1">
      <c r="A89" s="3" t="n"/>
      <c r="B89" s="3" t="n"/>
      <c r="C89" s="3" t="n"/>
      <c r="D89" s="3" t="n"/>
      <c r="E89" s="3" t="n"/>
      <c r="F89" s="3" t="n"/>
      <c r="G89" s="3" t="n"/>
      <c r="H89" s="3" t="n"/>
      <c r="I89" s="3" t="n"/>
      <c r="J89" s="3" t="n"/>
      <c r="K89" s="3" t="n"/>
      <c r="L89" s="3" t="n"/>
      <c r="M89" s="3" t="n"/>
      <c r="N89" s="3" t="n"/>
      <c r="O89" s="3" t="n"/>
      <c r="P89" s="3" t="n"/>
      <c r="Q89" s="3" t="n"/>
      <c r="R89" s="3" t="n"/>
      <c r="S89" s="3" t="n"/>
    </row>
    <row r="90" ht="25" customHeight="1">
      <c r="A90" s="2" t="n"/>
      <c r="B90" s="2" t="n"/>
      <c r="C90" s="2" t="n"/>
      <c r="D90" s="2" t="n"/>
      <c r="E90" s="2" t="n"/>
      <c r="F90" s="2" t="n"/>
      <c r="G90" s="2" t="n"/>
      <c r="H90" s="2" t="n"/>
      <c r="I90" s="2" t="n"/>
      <c r="J90" s="2" t="n"/>
      <c r="K90" s="2" t="n"/>
      <c r="L90" s="2" t="n"/>
      <c r="M90" s="2" t="n"/>
      <c r="N90" s="2" t="n"/>
      <c r="O90" s="2" t="n"/>
      <c r="P90" s="2" t="n"/>
      <c r="Q90" s="2" t="n"/>
      <c r="R90" s="2" t="n"/>
      <c r="S90" s="2" t="n"/>
    </row>
    <row r="91" ht="25" customHeight="1">
      <c r="A91" s="3" t="n"/>
      <c r="B91" s="3" t="n"/>
      <c r="C91" s="3" t="n"/>
      <c r="D91" s="3" t="n"/>
      <c r="E91" s="3" t="n"/>
      <c r="F91" s="3" t="n"/>
      <c r="G91" s="3" t="n"/>
      <c r="H91" s="3" t="n"/>
      <c r="I91" s="3" t="n"/>
      <c r="J91" s="3" t="n"/>
      <c r="K91" s="3" t="n"/>
      <c r="L91" s="3" t="n"/>
      <c r="M91" s="3" t="n"/>
      <c r="N91" s="3" t="n"/>
      <c r="O91" s="3" t="n"/>
      <c r="P91" s="3" t="n"/>
      <c r="Q91" s="3" t="n"/>
      <c r="R91" s="3" t="n"/>
      <c r="S91" s="3" t="n"/>
    </row>
    <row r="92" ht="25" customHeight="1">
      <c r="A92" s="2" t="n"/>
      <c r="B92" s="2" t="n"/>
      <c r="C92" s="2" t="n"/>
      <c r="D92" s="2" t="n"/>
      <c r="E92" s="2" t="n"/>
      <c r="F92" s="2" t="n"/>
      <c r="G92" s="2" t="n"/>
      <c r="H92" s="2" t="n"/>
      <c r="I92" s="2" t="n"/>
      <c r="J92" s="2" t="n"/>
      <c r="K92" s="2" t="n"/>
      <c r="L92" s="2" t="n"/>
      <c r="M92" s="2" t="n"/>
      <c r="N92" s="2" t="n"/>
      <c r="O92" s="2" t="n"/>
      <c r="P92" s="2" t="n"/>
      <c r="Q92" s="2" t="n"/>
      <c r="R92" s="2" t="n"/>
      <c r="S92" s="2" t="n"/>
    </row>
    <row r="93" ht="25" customHeight="1">
      <c r="A93" s="3" t="n"/>
      <c r="B93" s="3" t="n"/>
      <c r="C93" s="3" t="n"/>
      <c r="D93" s="3" t="n"/>
      <c r="E93" s="3" t="n"/>
      <c r="F93" s="3" t="n"/>
      <c r="G93" s="3" t="n"/>
      <c r="H93" s="3" t="n"/>
      <c r="I93" s="3" t="n"/>
      <c r="J93" s="3" t="n"/>
      <c r="K93" s="3" t="n"/>
      <c r="L93" s="3" t="n"/>
      <c r="M93" s="3" t="n"/>
      <c r="N93" s="3" t="n"/>
      <c r="O93" s="3" t="n"/>
      <c r="P93" s="3" t="n"/>
      <c r="Q93" s="3" t="n"/>
      <c r="R93" s="3" t="n"/>
      <c r="S93" s="3" t="n"/>
    </row>
    <row r="94" ht="25" customHeight="1">
      <c r="A94" s="2" t="n"/>
      <c r="B94" s="2" t="n"/>
      <c r="C94" s="2" t="n"/>
      <c r="D94" s="2" t="n"/>
      <c r="E94" s="2" t="n"/>
      <c r="F94" s="2" t="n"/>
      <c r="G94" s="2" t="n"/>
      <c r="H94" s="2" t="n"/>
      <c r="I94" s="2" t="n"/>
      <c r="J94" s="2" t="n"/>
      <c r="K94" s="2" t="n"/>
      <c r="L94" s="2" t="n"/>
      <c r="M94" s="2" t="n"/>
      <c r="N94" s="2" t="n"/>
      <c r="O94" s="2" t="n"/>
      <c r="P94" s="2" t="n"/>
      <c r="Q94" s="2" t="n"/>
      <c r="R94" s="2" t="n"/>
      <c r="S94" s="2" t="n"/>
    </row>
    <row r="95" ht="25" customHeight="1">
      <c r="A95" s="3" t="n"/>
      <c r="B95" s="3" t="n"/>
      <c r="C95" s="3" t="n"/>
      <c r="D95" s="3" t="n"/>
      <c r="E95" s="3" t="n"/>
      <c r="F95" s="3" t="n"/>
      <c r="G95" s="3" t="n"/>
      <c r="H95" s="3" t="n"/>
      <c r="I95" s="3" t="n"/>
      <c r="J95" s="3" t="n"/>
      <c r="K95" s="3" t="n"/>
      <c r="L95" s="3" t="n"/>
      <c r="M95" s="3" t="n"/>
      <c r="N95" s="3" t="n"/>
      <c r="O95" s="3" t="n"/>
      <c r="P95" s="3" t="n"/>
      <c r="Q95" s="3" t="n"/>
      <c r="R95" s="3" t="n"/>
      <c r="S95" s="3" t="n"/>
    </row>
    <row r="96" ht="25" customHeight="1">
      <c r="A96" s="2" t="n"/>
      <c r="B96" s="2" t="n"/>
      <c r="C96" s="2" t="n"/>
      <c r="D96" s="2" t="n"/>
      <c r="E96" s="2" t="n"/>
      <c r="F96" s="2" t="n"/>
      <c r="G96" s="2" t="n"/>
      <c r="H96" s="2" t="n"/>
      <c r="I96" s="2" t="n"/>
      <c r="J96" s="2" t="n"/>
      <c r="K96" s="2" t="n"/>
      <c r="L96" s="2" t="n"/>
      <c r="M96" s="2" t="n"/>
      <c r="N96" s="2" t="n"/>
      <c r="O96" s="2" t="n"/>
      <c r="P96" s="2" t="n"/>
      <c r="Q96" s="2" t="n"/>
      <c r="R96" s="2" t="n"/>
      <c r="S96" s="2" t="n"/>
    </row>
    <row r="97" ht="25" customHeight="1">
      <c r="A97" s="3" t="n"/>
      <c r="B97" s="3" t="n"/>
      <c r="C97" s="3" t="n"/>
      <c r="D97" s="3" t="n"/>
      <c r="E97" s="3" t="n"/>
      <c r="F97" s="3" t="n"/>
      <c r="G97" s="3" t="n"/>
      <c r="H97" s="3" t="n"/>
      <c r="I97" s="3" t="n"/>
      <c r="J97" s="3" t="n"/>
      <c r="K97" s="3" t="n"/>
      <c r="L97" s="3" t="n"/>
      <c r="M97" s="3" t="n"/>
      <c r="N97" s="3" t="n"/>
      <c r="O97" s="3" t="n"/>
      <c r="P97" s="3" t="n"/>
      <c r="Q97" s="3" t="n"/>
      <c r="R97" s="3" t="n"/>
      <c r="S97" s="3" t="n"/>
    </row>
    <row r="98" ht="25" customHeight="1">
      <c r="A98" s="2" t="n"/>
      <c r="B98" s="2" t="n"/>
      <c r="C98" s="2" t="n"/>
      <c r="D98" s="2" t="n"/>
      <c r="E98" s="2" t="n"/>
      <c r="F98" s="2" t="n"/>
      <c r="G98" s="2" t="n"/>
      <c r="H98" s="2" t="n"/>
      <c r="I98" s="2" t="n"/>
      <c r="J98" s="2" t="n"/>
      <c r="K98" s="2" t="n"/>
      <c r="L98" s="2" t="n"/>
      <c r="M98" s="2" t="n"/>
      <c r="N98" s="2" t="n"/>
      <c r="O98" s="2" t="n"/>
      <c r="P98" s="2" t="n"/>
      <c r="Q98" s="2" t="n"/>
      <c r="R98" s="2" t="n"/>
      <c r="S98" s="2" t="n"/>
    </row>
    <row r="99" ht="25" customHeight="1">
      <c r="A99" s="3" t="n"/>
      <c r="B99" s="3" t="n"/>
      <c r="C99" s="3" t="n"/>
      <c r="D99" s="3" t="n"/>
      <c r="E99" s="3" t="n"/>
      <c r="F99" s="3" t="n"/>
      <c r="G99" s="3" t="n"/>
      <c r="H99" s="3" t="n"/>
      <c r="I99" s="3" t="n"/>
      <c r="J99" s="3" t="n"/>
      <c r="K99" s="3" t="n"/>
      <c r="L99" s="3" t="n"/>
      <c r="M99" s="3" t="n"/>
      <c r="N99" s="3" t="n"/>
      <c r="O99" s="3" t="n"/>
      <c r="P99" s="3" t="n"/>
      <c r="Q99" s="3" t="n"/>
      <c r="R99" s="3" t="n"/>
      <c r="S99" s="3" t="n"/>
    </row>
    <row r="100" ht="25"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row>
    <row r="101" ht="2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row>
    <row r="102" ht="25"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row>
    <row r="103" ht="2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row>
    <row r="104" ht="25"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row>
    <row r="105" ht="2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row>
    <row r="106" ht="25"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row>
    <row r="107" ht="2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row>
    <row r="108" ht="25"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row>
    <row r="109" ht="2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row>
    <row r="110" ht="25"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row>
    <row r="111" ht="2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row>
    <row r="112" ht="25"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row>
    <row r="113" ht="2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row>
    <row r="114" ht="25"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row>
    <row r="115" ht="2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row>
    <row r="116" ht="25"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row>
    <row r="117" ht="2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row>
    <row r="118" ht="25"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row>
    <row r="119" ht="2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row>
    <row r="120" ht="25"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row>
    <row r="121" ht="2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row>
    <row r="122" ht="25"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row>
    <row r="123" ht="2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row>
    <row r="124" ht="25"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row>
    <row r="125" ht="2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row>
    <row r="126" ht="25"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row>
    <row r="127" ht="2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row>
    <row r="128" ht="25"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row>
    <row r="129" ht="2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row>
    <row r="130" ht="25"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row>
    <row r="131" ht="2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row>
    <row r="132" ht="25"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row>
    <row r="133" ht="2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row>
    <row r="134" ht="25"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row>
    <row r="135" ht="2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row>
    <row r="136" ht="25"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row>
    <row r="137" ht="2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row>
    <row r="138" ht="25"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row>
    <row r="139" ht="2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row>
    <row r="140" ht="25"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row>
    <row r="141" ht="2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row>
    <row r="142" ht="25"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row>
    <row r="143" ht="2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row>
    <row r="144" ht="25"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row>
    <row r="145" ht="2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row>
    <row r="146" ht="25"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row>
    <row r="147" ht="2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row>
    <row r="148" ht="25"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row>
    <row r="149" ht="2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row>
    <row r="150" ht="25"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row>
    <row r="151" ht="2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row>
    <row r="152" ht="25"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row>
    <row r="153" ht="2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row>
    <row r="154" ht="25"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row>
    <row r="155" ht="2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row>
    <row r="156" ht="25"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row>
    <row r="157" ht="2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row>
    <row r="158" ht="25"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row>
    <row r="159" ht="2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row>
    <row r="160" ht="25"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row>
    <row r="161" ht="2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row>
    <row r="162" ht="25"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row>
    <row r="163" ht="2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row>
    <row r="164" ht="25"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row>
    <row r="165" ht="2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row>
    <row r="166" ht="25"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row>
    <row r="167" ht="2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row>
    <row r="168" ht="25"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row>
    <row r="169" ht="2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row>
    <row r="170" ht="25"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row>
    <row r="171" ht="2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row>
    <row r="172" ht="25"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row>
    <row r="173" ht="2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row>
    <row r="174" ht="25"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row>
    <row r="175" ht="2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row>
    <row r="176" ht="25"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row>
    <row r="177" ht="2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row>
    <row r="178" ht="25"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row>
    <row r="179" ht="2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row>
    <row r="180" ht="25"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row>
    <row r="181" ht="2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row>
    <row r="182" ht="25"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row>
    <row r="183" ht="2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row>
    <row r="184" ht="25"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row>
    <row r="185" ht="2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row>
    <row r="186" ht="25"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row>
    <row r="187" ht="2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row>
    <row r="188" ht="25"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row>
    <row r="189" ht="2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row>
    <row r="190" ht="25"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row>
    <row r="191" ht="2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row>
    <row r="192" ht="25"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row>
    <row r="193" ht="2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row>
    <row r="194" ht="25"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row>
    <row r="195" ht="2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row>
    <row r="196" ht="25"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row>
    <row r="197" ht="2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row>
    <row r="198" ht="25"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row>
    <row r="199" ht="2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row>
    <row r="200" ht="25"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row>
    <row r="201" ht="2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row>
    <row r="202" ht="25"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row>
    <row r="203" ht="2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row>
    <row r="204" ht="25"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row>
    <row r="205" ht="2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row>
    <row r="206" ht="25"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row>
    <row r="207" ht="2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row>
    <row r="208" ht="25"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row>
    <row r="209" ht="2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row>
    <row r="210" ht="25"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row>
    <row r="211" ht="2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row>
    <row r="212" ht="25"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row>
    <row r="213" ht="2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row>
    <row r="214" ht="25"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row>
    <row r="215" ht="2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row>
    <row r="216" ht="25"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row>
    <row r="217" ht="2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row>
    <row r="218" ht="25"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row>
    <row r="219" ht="2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row>
    <row r="220" ht="25"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row>
    <row r="221" ht="25" customHeight="1">
      <c r="A221" s="3" t="n"/>
      <c r="B221" s="3" t="n"/>
      <c r="C221" s="3" t="n"/>
      <c r="D221" s="3" t="n"/>
      <c r="E221" s="3" t="n"/>
      <c r="F221" s="3" t="n"/>
      <c r="G221" s="3" t="n"/>
      <c r="H221" s="3" t="n"/>
      <c r="I221" s="3" t="n"/>
      <c r="J221" s="3" t="n"/>
      <c r="K221" s="3" t="n"/>
      <c r="L221" s="3" t="n"/>
      <c r="M221" s="3" t="n"/>
      <c r="N221" s="3" t="n"/>
      <c r="O221" s="3" t="n"/>
      <c r="P221" s="3" t="n"/>
      <c r="Q221" s="3" t="n"/>
      <c r="R221" s="3" t="n"/>
      <c r="S221" s="3" t="n"/>
    </row>
    <row r="222" ht="25"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row>
    <row r="223" ht="25" customHeight="1">
      <c r="A223" s="3" t="n"/>
      <c r="B223" s="3" t="n"/>
      <c r="C223" s="3" t="n"/>
      <c r="D223" s="3" t="n"/>
      <c r="E223" s="3" t="n"/>
      <c r="F223" s="3" t="n"/>
      <c r="G223" s="3" t="n"/>
      <c r="H223" s="3" t="n"/>
      <c r="I223" s="3" t="n"/>
      <c r="J223" s="3" t="n"/>
      <c r="K223" s="3" t="n"/>
      <c r="L223" s="3" t="n"/>
      <c r="M223" s="3" t="n"/>
      <c r="N223" s="3" t="n"/>
      <c r="O223" s="3" t="n"/>
      <c r="P223" s="3" t="n"/>
      <c r="Q223" s="3" t="n"/>
      <c r="R223" s="3" t="n"/>
      <c r="S223" s="3" t="n"/>
    </row>
    <row r="224" ht="25"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row>
    <row r="225" ht="25" customHeight="1">
      <c r="A225" s="3" t="n"/>
      <c r="B225" s="3" t="n"/>
      <c r="C225" s="3" t="n"/>
      <c r="D225" s="3" t="n"/>
      <c r="E225" s="3" t="n"/>
      <c r="F225" s="3" t="n"/>
      <c r="G225" s="3" t="n"/>
      <c r="H225" s="3" t="n"/>
      <c r="I225" s="3" t="n"/>
      <c r="J225" s="3" t="n"/>
      <c r="K225" s="3" t="n"/>
      <c r="L225" s="3" t="n"/>
      <c r="M225" s="3" t="n"/>
      <c r="N225" s="3" t="n"/>
      <c r="O225" s="3" t="n"/>
      <c r="P225" s="3" t="n"/>
      <c r="Q225" s="3" t="n"/>
      <c r="R225" s="3" t="n"/>
      <c r="S225" s="3" t="n"/>
    </row>
    <row r="226" ht="25"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row>
    <row r="227" ht="25" customHeight="1">
      <c r="A227" s="3" t="n"/>
      <c r="B227" s="3" t="n"/>
      <c r="C227" s="3" t="n"/>
      <c r="D227" s="3" t="n"/>
      <c r="E227" s="3" t="n"/>
      <c r="F227" s="3" t="n"/>
      <c r="G227" s="3" t="n"/>
      <c r="H227" s="3" t="n"/>
      <c r="I227" s="3" t="n"/>
      <c r="J227" s="3" t="n"/>
      <c r="K227" s="3" t="n"/>
      <c r="L227" s="3" t="n"/>
      <c r="M227" s="3" t="n"/>
      <c r="N227" s="3" t="n"/>
      <c r="O227" s="3" t="n"/>
      <c r="P227" s="3" t="n"/>
      <c r="Q227" s="3" t="n"/>
      <c r="R227" s="3" t="n"/>
      <c r="S227" s="3" t="n"/>
    </row>
    <row r="228" ht="25"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row>
    <row r="229" ht="25" customHeight="1">
      <c r="A229" s="3" t="n"/>
      <c r="B229" s="3" t="n"/>
      <c r="C229" s="3" t="n"/>
      <c r="D229" s="3" t="n"/>
      <c r="E229" s="3" t="n"/>
      <c r="F229" s="3" t="n"/>
      <c r="G229" s="3" t="n"/>
      <c r="H229" s="3" t="n"/>
      <c r="I229" s="3" t="n"/>
      <c r="J229" s="3" t="n"/>
      <c r="K229" s="3" t="n"/>
      <c r="L229" s="3" t="n"/>
      <c r="M229" s="3" t="n"/>
      <c r="N229" s="3" t="n"/>
      <c r="O229" s="3" t="n"/>
      <c r="P229" s="3" t="n"/>
      <c r="Q229" s="3" t="n"/>
      <c r="R229" s="3" t="n"/>
      <c r="S229" s="3" t="n"/>
    </row>
    <row r="230" ht="25"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row>
    <row r="231" ht="25" customHeight="1">
      <c r="A231" s="3" t="n"/>
      <c r="B231" s="3" t="n"/>
      <c r="C231" s="3" t="n"/>
      <c r="D231" s="3" t="n"/>
      <c r="E231" s="3" t="n"/>
      <c r="F231" s="3" t="n"/>
      <c r="G231" s="3" t="n"/>
      <c r="H231" s="3" t="n"/>
      <c r="I231" s="3" t="n"/>
      <c r="J231" s="3" t="n"/>
      <c r="K231" s="3" t="n"/>
      <c r="L231" s="3" t="n"/>
      <c r="M231" s="3" t="n"/>
      <c r="N231" s="3" t="n"/>
      <c r="O231" s="3" t="n"/>
      <c r="P231" s="3" t="n"/>
      <c r="Q231" s="3" t="n"/>
      <c r="R231" s="3" t="n"/>
      <c r="S231" s="3" t="n"/>
    </row>
    <row r="232" ht="25" customHeight="1">
      <c r="A232" s="2" t="n"/>
      <c r="B232" s="2" t="n"/>
      <c r="C232" s="2" t="n"/>
      <c r="D232" s="2" t="n"/>
      <c r="E232" s="2" t="n"/>
      <c r="F232" s="2" t="n"/>
      <c r="G232" s="2" t="n"/>
      <c r="H232" s="2" t="n"/>
      <c r="I232" s="2" t="n"/>
      <c r="J232" s="2" t="n"/>
      <c r="K232" s="2" t="n"/>
      <c r="L232" s="2" t="n"/>
      <c r="M232" s="2" t="n"/>
      <c r="N232" s="2" t="n"/>
      <c r="O232" s="2" t="n"/>
      <c r="P232" s="2" t="n"/>
      <c r="Q232" s="2" t="n"/>
      <c r="R232" s="2" t="n"/>
      <c r="S232" s="2" t="n"/>
    </row>
    <row r="233" ht="25" customHeight="1">
      <c r="A233" s="3" t="n"/>
      <c r="B233" s="3" t="n"/>
      <c r="C233" s="3" t="n"/>
      <c r="D233" s="3" t="n"/>
      <c r="E233" s="3" t="n"/>
      <c r="F233" s="3" t="n"/>
      <c r="G233" s="3" t="n"/>
      <c r="H233" s="3" t="n"/>
      <c r="I233" s="3" t="n"/>
      <c r="J233" s="3" t="n"/>
      <c r="K233" s="3" t="n"/>
      <c r="L233" s="3" t="n"/>
      <c r="M233" s="3" t="n"/>
      <c r="N233" s="3" t="n"/>
      <c r="O233" s="3" t="n"/>
      <c r="P233" s="3" t="n"/>
      <c r="Q233" s="3" t="n"/>
      <c r="R233" s="3" t="n"/>
      <c r="S233" s="3" t="n"/>
    </row>
    <row r="234" ht="25" customHeight="1">
      <c r="A234" s="2" t="n"/>
      <c r="B234" s="2" t="n"/>
      <c r="C234" s="2" t="n"/>
      <c r="D234" s="2" t="n"/>
      <c r="E234" s="2" t="n"/>
      <c r="F234" s="2" t="n"/>
      <c r="G234" s="2" t="n"/>
      <c r="H234" s="2" t="n"/>
      <c r="I234" s="2" t="n"/>
      <c r="J234" s="2" t="n"/>
      <c r="K234" s="2" t="n"/>
      <c r="L234" s="2" t="n"/>
      <c r="M234" s="2" t="n"/>
      <c r="N234" s="2" t="n"/>
      <c r="O234" s="2" t="n"/>
      <c r="P234" s="2" t="n"/>
      <c r="Q234" s="2" t="n"/>
      <c r="R234" s="2" t="n"/>
      <c r="S234" s="2" t="n"/>
    </row>
    <row r="235" ht="25" customHeight="1">
      <c r="A235" s="3" t="n"/>
      <c r="B235" s="3" t="n"/>
      <c r="C235" s="3" t="n"/>
      <c r="D235" s="3" t="n"/>
      <c r="E235" s="3" t="n"/>
      <c r="F235" s="3" t="n"/>
      <c r="G235" s="3" t="n"/>
      <c r="H235" s="3" t="n"/>
      <c r="I235" s="3" t="n"/>
      <c r="J235" s="3" t="n"/>
      <c r="K235" s="3" t="n"/>
      <c r="L235" s="3" t="n"/>
      <c r="M235" s="3" t="n"/>
      <c r="N235" s="3" t="n"/>
      <c r="O235" s="3" t="n"/>
      <c r="P235" s="3" t="n"/>
      <c r="Q235" s="3" t="n"/>
      <c r="R235" s="3" t="n"/>
      <c r="S235" s="3" t="n"/>
    </row>
    <row r="236" ht="25" customHeight="1">
      <c r="A236" s="2" t="n"/>
      <c r="B236" s="2" t="n"/>
      <c r="C236" s="2" t="n"/>
      <c r="D236" s="2" t="n"/>
      <c r="E236" s="2" t="n"/>
      <c r="F236" s="2" t="n"/>
      <c r="G236" s="2" t="n"/>
      <c r="H236" s="2" t="n"/>
      <c r="I236" s="2" t="n"/>
      <c r="J236" s="2" t="n"/>
      <c r="K236" s="2" t="n"/>
      <c r="L236" s="2" t="n"/>
      <c r="M236" s="2" t="n"/>
      <c r="N236" s="2" t="n"/>
      <c r="O236" s="2" t="n"/>
      <c r="P236" s="2" t="n"/>
      <c r="Q236" s="2" t="n"/>
      <c r="R236" s="2" t="n"/>
      <c r="S236" s="2" t="n"/>
    </row>
    <row r="237" ht="25" customHeight="1">
      <c r="A237" s="3" t="n"/>
      <c r="B237" s="3" t="n"/>
      <c r="C237" s="3" t="n"/>
      <c r="D237" s="3" t="n"/>
      <c r="E237" s="3" t="n"/>
      <c r="F237" s="3" t="n"/>
      <c r="G237" s="3" t="n"/>
      <c r="H237" s="3" t="n"/>
      <c r="I237" s="3" t="n"/>
      <c r="J237" s="3" t="n"/>
      <c r="K237" s="3" t="n"/>
      <c r="L237" s="3" t="n"/>
      <c r="M237" s="3" t="n"/>
      <c r="N237" s="3" t="n"/>
      <c r="O237" s="3" t="n"/>
      <c r="P237" s="3" t="n"/>
      <c r="Q237" s="3" t="n"/>
      <c r="R237" s="3" t="n"/>
      <c r="S237" s="3" t="n"/>
    </row>
    <row r="238" ht="25" customHeight="1">
      <c r="A238" s="2" t="n"/>
      <c r="B238" s="2" t="n"/>
      <c r="C238" s="2" t="n"/>
      <c r="D238" s="2" t="n"/>
      <c r="E238" s="2" t="n"/>
      <c r="F238" s="2" t="n"/>
      <c r="G238" s="2" t="n"/>
      <c r="H238" s="2" t="n"/>
      <c r="I238" s="2" t="n"/>
      <c r="J238" s="2" t="n"/>
      <c r="K238" s="2" t="n"/>
      <c r="L238" s="2" t="n"/>
      <c r="M238" s="2" t="n"/>
      <c r="N238" s="2" t="n"/>
      <c r="O238" s="2" t="n"/>
      <c r="P238" s="2" t="n"/>
      <c r="Q238" s="2" t="n"/>
      <c r="R238" s="2" t="n"/>
      <c r="S238" s="2" t="n"/>
    </row>
    <row r="239" ht="25" customHeight="1">
      <c r="A239" s="3" t="n"/>
      <c r="B239" s="3" t="n"/>
      <c r="C239" s="3" t="n"/>
      <c r="D239" s="3" t="n"/>
      <c r="E239" s="3" t="n"/>
      <c r="F239" s="3" t="n"/>
      <c r="G239" s="3" t="n"/>
      <c r="H239" s="3" t="n"/>
      <c r="I239" s="3" t="n"/>
      <c r="J239" s="3" t="n"/>
      <c r="K239" s="3" t="n"/>
      <c r="L239" s="3" t="n"/>
      <c r="M239" s="3" t="n"/>
      <c r="N239" s="3" t="n"/>
      <c r="O239" s="3" t="n"/>
      <c r="P239" s="3" t="n"/>
      <c r="Q239" s="3" t="n"/>
      <c r="R239" s="3" t="n"/>
      <c r="S239" s="3" t="n"/>
    </row>
    <row r="240" ht="25" customHeight="1">
      <c r="A240" s="2" t="n"/>
      <c r="B240" s="2" t="n"/>
      <c r="C240" s="2" t="n"/>
      <c r="D240" s="2" t="n"/>
      <c r="E240" s="2" t="n"/>
      <c r="F240" s="2" t="n"/>
      <c r="G240" s="2" t="n"/>
      <c r="H240" s="2" t="n"/>
      <c r="I240" s="2" t="n"/>
      <c r="J240" s="2" t="n"/>
      <c r="K240" s="2" t="n"/>
      <c r="L240" s="2" t="n"/>
      <c r="M240" s="2" t="n"/>
      <c r="N240" s="2" t="n"/>
      <c r="O240" s="2" t="n"/>
      <c r="P240" s="2" t="n"/>
      <c r="Q240" s="2" t="n"/>
      <c r="R240" s="2" t="n"/>
      <c r="S240" s="2" t="n"/>
    </row>
    <row r="241" ht="25" customHeight="1">
      <c r="A241" s="3" t="n"/>
      <c r="B241" s="3" t="n"/>
      <c r="C241" s="3" t="n"/>
      <c r="D241" s="3" t="n"/>
      <c r="E241" s="3" t="n"/>
      <c r="F241" s="3" t="n"/>
      <c r="G241" s="3" t="n"/>
      <c r="H241" s="3" t="n"/>
      <c r="I241" s="3" t="n"/>
      <c r="J241" s="3" t="n"/>
      <c r="K241" s="3" t="n"/>
      <c r="L241" s="3" t="n"/>
      <c r="M241" s="3" t="n"/>
      <c r="N241" s="3" t="n"/>
      <c r="O241" s="3" t="n"/>
      <c r="P241" s="3" t="n"/>
      <c r="Q241" s="3" t="n"/>
      <c r="R241" s="3" t="n"/>
      <c r="S241" s="3" t="n"/>
    </row>
    <row r="242" ht="25" customHeight="1">
      <c r="A242" s="2" t="n"/>
      <c r="B242" s="2" t="n"/>
      <c r="C242" s="2" t="n"/>
      <c r="D242" s="2" t="n"/>
      <c r="E242" s="2" t="n"/>
      <c r="F242" s="2" t="n"/>
      <c r="G242" s="2" t="n"/>
      <c r="H242" s="2" t="n"/>
      <c r="I242" s="2" t="n"/>
      <c r="J242" s="2" t="n"/>
      <c r="K242" s="2" t="n"/>
      <c r="L242" s="2" t="n"/>
      <c r="M242" s="2" t="n"/>
      <c r="N242" s="2" t="n"/>
      <c r="O242" s="2" t="n"/>
      <c r="P242" s="2" t="n"/>
      <c r="Q242" s="2" t="n"/>
      <c r="R242" s="2" t="n"/>
      <c r="S242" s="2" t="n"/>
    </row>
    <row r="243" ht="25" customHeight="1">
      <c r="A243" s="3" t="n"/>
      <c r="B243" s="3" t="n"/>
      <c r="C243" s="3" t="n"/>
      <c r="D243" s="3" t="n"/>
      <c r="E243" s="3" t="n"/>
      <c r="F243" s="3" t="n"/>
      <c r="G243" s="3" t="n"/>
      <c r="H243" s="3" t="n"/>
      <c r="I243" s="3" t="n"/>
      <c r="J243" s="3" t="n"/>
      <c r="K243" s="3" t="n"/>
      <c r="L243" s="3" t="n"/>
      <c r="M243" s="3" t="n"/>
      <c r="N243" s="3" t="n"/>
      <c r="O243" s="3" t="n"/>
      <c r="P243" s="3" t="n"/>
      <c r="Q243" s="3" t="n"/>
      <c r="R243" s="3" t="n"/>
      <c r="S243" s="3" t="n"/>
    </row>
    <row r="244" ht="25" customHeight="1">
      <c r="A244" s="2" t="n"/>
      <c r="B244" s="2" t="n"/>
      <c r="C244" s="2" t="n"/>
      <c r="D244" s="2" t="n"/>
      <c r="E244" s="2" t="n"/>
      <c r="F244" s="2" t="n"/>
      <c r="G244" s="2" t="n"/>
      <c r="H244" s="2" t="n"/>
      <c r="I244" s="2" t="n"/>
      <c r="J244" s="2" t="n"/>
      <c r="K244" s="2" t="n"/>
      <c r="L244" s="2" t="n"/>
      <c r="M244" s="2" t="n"/>
      <c r="N244" s="2" t="n"/>
      <c r="O244" s="2" t="n"/>
      <c r="P244" s="2" t="n"/>
      <c r="Q244" s="2" t="n"/>
      <c r="R244" s="2" t="n"/>
      <c r="S244" s="2" t="n"/>
    </row>
    <row r="245" ht="25" customHeight="1">
      <c r="A245" s="3" t="n"/>
      <c r="B245" s="3" t="n"/>
      <c r="C245" s="3" t="n"/>
      <c r="D245" s="3" t="n"/>
      <c r="E245" s="3" t="n"/>
      <c r="F245" s="3" t="n"/>
      <c r="G245" s="3" t="n"/>
      <c r="H245" s="3" t="n"/>
      <c r="I245" s="3" t="n"/>
      <c r="J245" s="3" t="n"/>
      <c r="K245" s="3" t="n"/>
      <c r="L245" s="3" t="n"/>
      <c r="M245" s="3" t="n"/>
      <c r="N245" s="3" t="n"/>
      <c r="O245" s="3" t="n"/>
      <c r="P245" s="3" t="n"/>
      <c r="Q245" s="3" t="n"/>
      <c r="R245" s="3" t="n"/>
      <c r="S245" s="3" t="n"/>
    </row>
    <row r="246" ht="25" customHeight="1">
      <c r="A246" s="2" t="n"/>
      <c r="B246" s="2" t="n"/>
      <c r="C246" s="2" t="n"/>
      <c r="D246" s="2" t="n"/>
      <c r="E246" s="2" t="n"/>
      <c r="F246" s="2" t="n"/>
      <c r="G246" s="2" t="n"/>
      <c r="H246" s="2" t="n"/>
      <c r="I246" s="2" t="n"/>
      <c r="J246" s="2" t="n"/>
      <c r="K246" s="2" t="n"/>
      <c r="L246" s="2" t="n"/>
      <c r="M246" s="2" t="n"/>
      <c r="N246" s="2" t="n"/>
      <c r="O246" s="2" t="n"/>
      <c r="P246" s="2" t="n"/>
      <c r="Q246" s="2" t="n"/>
      <c r="R246" s="2" t="n"/>
      <c r="S246" s="2" t="n"/>
    </row>
    <row r="247" ht="25" customHeight="1">
      <c r="A247" s="3" t="n"/>
      <c r="B247" s="3" t="n"/>
      <c r="C247" s="3" t="n"/>
      <c r="D247" s="3" t="n"/>
      <c r="E247" s="3" t="n"/>
      <c r="F247" s="3" t="n"/>
      <c r="G247" s="3" t="n"/>
      <c r="H247" s="3" t="n"/>
      <c r="I247" s="3" t="n"/>
      <c r="J247" s="3" t="n"/>
      <c r="K247" s="3" t="n"/>
      <c r="L247" s="3" t="n"/>
      <c r="M247" s="3" t="n"/>
      <c r="N247" s="3" t="n"/>
      <c r="O247" s="3" t="n"/>
      <c r="P247" s="3" t="n"/>
      <c r="Q247" s="3" t="n"/>
      <c r="R247" s="3" t="n"/>
      <c r="S247" s="3" t="n"/>
    </row>
    <row r="248" ht="25" customHeight="1">
      <c r="A248" s="2" t="n"/>
      <c r="B248" s="2" t="n"/>
      <c r="C248" s="2" t="n"/>
      <c r="D248" s="2" t="n"/>
      <c r="E248" s="2" t="n"/>
      <c r="F248" s="2" t="n"/>
      <c r="G248" s="2" t="n"/>
      <c r="H248" s="2" t="n"/>
      <c r="I248" s="2" t="n"/>
      <c r="J248" s="2" t="n"/>
      <c r="K248" s="2" t="n"/>
      <c r="L248" s="2" t="n"/>
      <c r="M248" s="2" t="n"/>
      <c r="N248" s="2" t="n"/>
      <c r="O248" s="2" t="n"/>
      <c r="P248" s="2" t="n"/>
      <c r="Q248" s="2" t="n"/>
      <c r="R248" s="2" t="n"/>
      <c r="S248" s="2" t="n"/>
    </row>
    <row r="249" ht="25" customHeight="1">
      <c r="A249" s="3" t="n"/>
      <c r="B249" s="3" t="n"/>
      <c r="C249" s="3" t="n"/>
      <c r="D249" s="3" t="n"/>
      <c r="E249" s="3" t="n"/>
      <c r="F249" s="3" t="n"/>
      <c r="G249" s="3" t="n"/>
      <c r="H249" s="3" t="n"/>
      <c r="I249" s="3" t="n"/>
      <c r="J249" s="3" t="n"/>
      <c r="K249" s="3" t="n"/>
      <c r="L249" s="3" t="n"/>
      <c r="M249" s="3" t="n"/>
      <c r="N249" s="3" t="n"/>
      <c r="O249" s="3" t="n"/>
      <c r="P249" s="3" t="n"/>
      <c r="Q249" s="3" t="n"/>
      <c r="R249" s="3" t="n"/>
      <c r="S249" s="3" t="n"/>
    </row>
    <row r="250" ht="25" customHeight="1">
      <c r="A250" s="2" t="n"/>
      <c r="B250" s="2" t="n"/>
      <c r="C250" s="2" t="n"/>
      <c r="D250" s="2" t="n"/>
      <c r="E250" s="2" t="n"/>
      <c r="F250" s="2" t="n"/>
      <c r="G250" s="2" t="n"/>
      <c r="H250" s="2" t="n"/>
      <c r="I250" s="2" t="n"/>
      <c r="J250" s="2" t="n"/>
      <c r="K250" s="2" t="n"/>
      <c r="L250" s="2" t="n"/>
      <c r="M250" s="2" t="n"/>
      <c r="N250" s="2" t="n"/>
      <c r="O250" s="2" t="n"/>
      <c r="P250" s="2" t="n"/>
      <c r="Q250" s="2" t="n"/>
      <c r="R250" s="2" t="n"/>
      <c r="S250" s="2" t="n"/>
    </row>
    <row r="251" ht="25" customHeight="1">
      <c r="A251" s="3" t="n"/>
      <c r="B251" s="3" t="n"/>
      <c r="C251" s="3" t="n"/>
      <c r="D251" s="3" t="n"/>
      <c r="E251" s="3" t="n"/>
      <c r="F251" s="3" t="n"/>
      <c r="G251" s="3" t="n"/>
      <c r="H251" s="3" t="n"/>
      <c r="I251" s="3" t="n"/>
      <c r="J251" s="3" t="n"/>
      <c r="K251" s="3" t="n"/>
      <c r="L251" s="3" t="n"/>
      <c r="M251" s="3" t="n"/>
      <c r="N251" s="3" t="n"/>
      <c r="O251" s="3" t="n"/>
      <c r="P251" s="3" t="n"/>
      <c r="Q251" s="3" t="n"/>
      <c r="R251" s="3" t="n"/>
      <c r="S251" s="3" t="n"/>
    </row>
    <row r="252" ht="25" customHeight="1">
      <c r="A252" s="2" t="n"/>
      <c r="B252" s="2" t="n"/>
      <c r="C252" s="2" t="n"/>
      <c r="D252" s="2" t="n"/>
      <c r="E252" s="2" t="n"/>
      <c r="F252" s="2" t="n"/>
      <c r="G252" s="2" t="n"/>
      <c r="H252" s="2" t="n"/>
      <c r="I252" s="2" t="n"/>
      <c r="J252" s="2" t="n"/>
      <c r="K252" s="2" t="n"/>
      <c r="L252" s="2" t="n"/>
      <c r="M252" s="2" t="n"/>
      <c r="N252" s="2" t="n"/>
      <c r="O252" s="2" t="n"/>
      <c r="P252" s="2" t="n"/>
      <c r="Q252" s="2" t="n"/>
      <c r="R252" s="2" t="n"/>
      <c r="S252" s="2" t="n"/>
    </row>
    <row r="253" ht="25" customHeight="1">
      <c r="A253" s="3" t="n"/>
      <c r="B253" s="3" t="n"/>
      <c r="C253" s="3" t="n"/>
      <c r="D253" s="3" t="n"/>
      <c r="E253" s="3" t="n"/>
      <c r="F253" s="3" t="n"/>
      <c r="G253" s="3" t="n"/>
      <c r="H253" s="3" t="n"/>
      <c r="I253" s="3" t="n"/>
      <c r="J253" s="3" t="n"/>
      <c r="K253" s="3" t="n"/>
      <c r="L253" s="3" t="n"/>
      <c r="M253" s="3" t="n"/>
      <c r="N253" s="3" t="n"/>
      <c r="O253" s="3" t="n"/>
      <c r="P253" s="3" t="n"/>
      <c r="Q253" s="3" t="n"/>
      <c r="R253" s="3" t="n"/>
      <c r="S253" s="3" t="n"/>
    </row>
    <row r="254" ht="25" customHeight="1">
      <c r="A254" s="2" t="n"/>
      <c r="B254" s="2" t="n"/>
      <c r="C254" s="2" t="n"/>
      <c r="D254" s="2" t="n"/>
      <c r="E254" s="2" t="n"/>
      <c r="F254" s="2" t="n"/>
      <c r="G254" s="2" t="n"/>
      <c r="H254" s="2" t="n"/>
      <c r="I254" s="2" t="n"/>
      <c r="J254" s="2" t="n"/>
      <c r="K254" s="2" t="n"/>
      <c r="L254" s="2" t="n"/>
      <c r="M254" s="2" t="n"/>
      <c r="N254" s="2" t="n"/>
      <c r="O254" s="2" t="n"/>
      <c r="P254" s="2" t="n"/>
      <c r="Q254" s="2" t="n"/>
      <c r="R254" s="2" t="n"/>
      <c r="S254" s="2" t="n"/>
    </row>
    <row r="255" ht="25" customHeight="1">
      <c r="A255" s="3" t="n"/>
      <c r="B255" s="3" t="n"/>
      <c r="C255" s="3" t="n"/>
      <c r="D255" s="3" t="n"/>
      <c r="E255" s="3" t="n"/>
      <c r="F255" s="3" t="n"/>
      <c r="G255" s="3" t="n"/>
      <c r="H255" s="3" t="n"/>
      <c r="I255" s="3" t="n"/>
      <c r="J255" s="3" t="n"/>
      <c r="K255" s="3" t="n"/>
      <c r="L255" s="3" t="n"/>
      <c r="M255" s="3" t="n"/>
      <c r="N255" s="3" t="n"/>
      <c r="O255" s="3" t="n"/>
      <c r="P255" s="3" t="n"/>
      <c r="Q255" s="3" t="n"/>
      <c r="R255" s="3" t="n"/>
      <c r="S255" s="3" t="n"/>
    </row>
    <row r="256" ht="25" customHeight="1">
      <c r="A256" s="2" t="n"/>
      <c r="B256" s="2" t="n"/>
      <c r="C256" s="2" t="n"/>
      <c r="D256" s="2" t="n"/>
      <c r="E256" s="2" t="n"/>
      <c r="F256" s="2" t="n"/>
      <c r="G256" s="2" t="n"/>
      <c r="H256" s="2" t="n"/>
      <c r="I256" s="2" t="n"/>
      <c r="J256" s="2" t="n"/>
      <c r="K256" s="2" t="n"/>
      <c r="L256" s="2" t="n"/>
      <c r="M256" s="2" t="n"/>
      <c r="N256" s="2" t="n"/>
      <c r="O256" s="2" t="n"/>
      <c r="P256" s="2" t="n"/>
      <c r="Q256" s="2" t="n"/>
      <c r="R256" s="2" t="n"/>
      <c r="S256" s="2" t="n"/>
    </row>
    <row r="257" ht="25" customHeight="1">
      <c r="A257" s="3" t="n"/>
      <c r="B257" s="3" t="n"/>
      <c r="C257" s="3" t="n"/>
      <c r="D257" s="3" t="n"/>
      <c r="E257" s="3" t="n"/>
      <c r="F257" s="3" t="n"/>
      <c r="G257" s="3" t="n"/>
      <c r="H257" s="3" t="n"/>
      <c r="I257" s="3" t="n"/>
      <c r="J257" s="3" t="n"/>
      <c r="K257" s="3" t="n"/>
      <c r="L257" s="3" t="n"/>
      <c r="M257" s="3" t="n"/>
      <c r="N257" s="3" t="n"/>
      <c r="O257" s="3" t="n"/>
      <c r="P257" s="3" t="n"/>
      <c r="Q257" s="3" t="n"/>
      <c r="R257" s="3" t="n"/>
      <c r="S257" s="3" t="n"/>
    </row>
    <row r="258" ht="25" customHeight="1">
      <c r="A258" s="2" t="n"/>
      <c r="B258" s="2" t="n"/>
      <c r="C258" s="2" t="n"/>
      <c r="D258" s="2" t="n"/>
      <c r="E258" s="2" t="n"/>
      <c r="F258" s="2" t="n"/>
      <c r="G258" s="2" t="n"/>
      <c r="H258" s="2" t="n"/>
      <c r="I258" s="2" t="n"/>
      <c r="J258" s="2" t="n"/>
      <c r="K258" s="2" t="n"/>
      <c r="L258" s="2" t="n"/>
      <c r="M258" s="2" t="n"/>
      <c r="N258" s="2" t="n"/>
      <c r="O258" s="2" t="n"/>
      <c r="P258" s="2" t="n"/>
      <c r="Q258" s="2" t="n"/>
      <c r="R258" s="2" t="n"/>
      <c r="S258" s="2" t="n"/>
    </row>
    <row r="259" ht="25" customHeight="1">
      <c r="A259" s="3" t="n"/>
      <c r="B259" s="3" t="n"/>
      <c r="C259" s="3" t="n"/>
      <c r="D259" s="3" t="n"/>
      <c r="E259" s="3" t="n"/>
      <c r="F259" s="3" t="n"/>
      <c r="G259" s="3" t="n"/>
      <c r="H259" s="3" t="n"/>
      <c r="I259" s="3" t="n"/>
      <c r="J259" s="3" t="n"/>
      <c r="K259" s="3" t="n"/>
      <c r="L259" s="3" t="n"/>
      <c r="M259" s="3" t="n"/>
      <c r="N259" s="3" t="n"/>
      <c r="O259" s="3" t="n"/>
      <c r="P259" s="3" t="n"/>
      <c r="Q259" s="3" t="n"/>
      <c r="R259" s="3" t="n"/>
      <c r="S259" s="3" t="n"/>
    </row>
    <row r="260" ht="25" customHeight="1">
      <c r="A260" s="2" t="n"/>
      <c r="B260" s="2" t="n"/>
      <c r="C260" s="2" t="n"/>
      <c r="D260" s="2" t="n"/>
      <c r="E260" s="2" t="n"/>
      <c r="F260" s="2" t="n"/>
      <c r="G260" s="2" t="n"/>
      <c r="H260" s="2" t="n"/>
      <c r="I260" s="2" t="n"/>
      <c r="J260" s="2" t="n"/>
      <c r="K260" s="2" t="n"/>
      <c r="L260" s="2" t="n"/>
      <c r="M260" s="2" t="n"/>
      <c r="N260" s="2" t="n"/>
      <c r="O260" s="2" t="n"/>
      <c r="P260" s="2" t="n"/>
      <c r="Q260" s="2" t="n"/>
      <c r="R260" s="2" t="n"/>
      <c r="S260" s="2" t="n"/>
    </row>
    <row r="261" ht="25" customHeight="1">
      <c r="A261" s="3" t="n"/>
      <c r="B261" s="3" t="n"/>
      <c r="C261" s="3" t="n"/>
      <c r="D261" s="3" t="n"/>
      <c r="E261" s="3" t="n"/>
      <c r="F261" s="3" t="n"/>
      <c r="G261" s="3" t="n"/>
      <c r="H261" s="3" t="n"/>
      <c r="I261" s="3" t="n"/>
      <c r="J261" s="3" t="n"/>
      <c r="K261" s="3" t="n"/>
      <c r="L261" s="3" t="n"/>
      <c r="M261" s="3" t="n"/>
      <c r="N261" s="3" t="n"/>
      <c r="O261" s="3" t="n"/>
      <c r="P261" s="3" t="n"/>
      <c r="Q261" s="3" t="n"/>
      <c r="R261" s="3" t="n"/>
      <c r="S261" s="3" t="n"/>
    </row>
    <row r="262" ht="25" customHeight="1">
      <c r="A262" s="2" t="n"/>
      <c r="B262" s="2" t="n"/>
      <c r="C262" s="2" t="n"/>
      <c r="D262" s="2" t="n"/>
      <c r="E262" s="2" t="n"/>
      <c r="F262" s="2" t="n"/>
      <c r="G262" s="2" t="n"/>
      <c r="H262" s="2" t="n"/>
      <c r="I262" s="2" t="n"/>
      <c r="J262" s="2" t="n"/>
      <c r="K262" s="2" t="n"/>
      <c r="L262" s="2" t="n"/>
      <c r="M262" s="2" t="n"/>
      <c r="N262" s="2" t="n"/>
      <c r="O262" s="2" t="n"/>
      <c r="P262" s="2" t="n"/>
      <c r="Q262" s="2" t="n"/>
      <c r="R262" s="2" t="n"/>
      <c r="S262" s="2" t="n"/>
    </row>
    <row r="263" ht="25" customHeight="1">
      <c r="A263" s="3" t="n"/>
      <c r="B263" s="3" t="n"/>
      <c r="C263" s="3" t="n"/>
      <c r="D263" s="3" t="n"/>
      <c r="E263" s="3" t="n"/>
      <c r="F263" s="3" t="n"/>
      <c r="G263" s="3" t="n"/>
      <c r="H263" s="3" t="n"/>
      <c r="I263" s="3" t="n"/>
      <c r="J263" s="3" t="n"/>
      <c r="K263" s="3" t="n"/>
      <c r="L263" s="3" t="n"/>
      <c r="M263" s="3" t="n"/>
      <c r="N263" s="3" t="n"/>
      <c r="O263" s="3" t="n"/>
      <c r="P263" s="3" t="n"/>
      <c r="Q263" s="3" t="n"/>
      <c r="R263" s="3" t="n"/>
      <c r="S263" s="3" t="n"/>
    </row>
    <row r="264" ht="25" customHeight="1">
      <c r="A264" s="2" t="n"/>
      <c r="B264" s="2" t="n"/>
      <c r="C264" s="2" t="n"/>
      <c r="D264" s="2" t="n"/>
      <c r="E264" s="2" t="n"/>
      <c r="F264" s="2" t="n"/>
      <c r="G264" s="2" t="n"/>
      <c r="H264" s="2" t="n"/>
      <c r="I264" s="2" t="n"/>
      <c r="J264" s="2" t="n"/>
      <c r="K264" s="2" t="n"/>
      <c r="L264" s="2" t="n"/>
      <c r="M264" s="2" t="n"/>
      <c r="N264" s="2" t="n"/>
      <c r="O264" s="2" t="n"/>
      <c r="P264" s="2" t="n"/>
      <c r="Q264" s="2" t="n"/>
      <c r="R264" s="2" t="n"/>
      <c r="S264" s="2" t="n"/>
    </row>
    <row r="265" ht="25" customHeight="1">
      <c r="A265" s="3" t="n"/>
      <c r="B265" s="3" t="n"/>
      <c r="C265" s="3" t="n"/>
      <c r="D265" s="3" t="n"/>
      <c r="E265" s="3" t="n"/>
      <c r="F265" s="3" t="n"/>
      <c r="G265" s="3" t="n"/>
      <c r="H265" s="3" t="n"/>
      <c r="I265" s="3" t="n"/>
      <c r="J265" s="3" t="n"/>
      <c r="K265" s="3" t="n"/>
      <c r="L265" s="3" t="n"/>
      <c r="M265" s="3" t="n"/>
      <c r="N265" s="3" t="n"/>
      <c r="O265" s="3" t="n"/>
      <c r="P265" s="3" t="n"/>
      <c r="Q265" s="3" t="n"/>
      <c r="R265" s="3" t="n"/>
      <c r="S265" s="3" t="n"/>
    </row>
    <row r="266" ht="25" customHeight="1">
      <c r="A266" s="2" t="n"/>
      <c r="B266" s="2" t="n"/>
      <c r="C266" s="2" t="n"/>
      <c r="D266" s="2" t="n"/>
      <c r="E266" s="2" t="n"/>
      <c r="F266" s="2" t="n"/>
      <c r="G266" s="2" t="n"/>
      <c r="H266" s="2" t="n"/>
      <c r="I266" s="2" t="n"/>
      <c r="J266" s="2" t="n"/>
      <c r="K266" s="2" t="n"/>
      <c r="L266" s="2" t="n"/>
      <c r="M266" s="2" t="n"/>
      <c r="N266" s="2" t="n"/>
      <c r="O266" s="2" t="n"/>
      <c r="P266" s="2" t="n"/>
      <c r="Q266" s="2" t="n"/>
      <c r="R266" s="2" t="n"/>
      <c r="S266" s="2" t="n"/>
    </row>
    <row r="267" ht="25" customHeight="1">
      <c r="A267" s="3" t="n"/>
      <c r="B267" s="3" t="n"/>
      <c r="C267" s="3" t="n"/>
      <c r="D267" s="3" t="n"/>
      <c r="E267" s="3" t="n"/>
      <c r="F267" s="3" t="n"/>
      <c r="G267" s="3" t="n"/>
      <c r="H267" s="3" t="n"/>
      <c r="I267" s="3" t="n"/>
      <c r="J267" s="3" t="n"/>
      <c r="K267" s="3" t="n"/>
      <c r="L267" s="3" t="n"/>
      <c r="M267" s="3" t="n"/>
      <c r="N267" s="3" t="n"/>
      <c r="O267" s="3" t="n"/>
      <c r="P267" s="3" t="n"/>
      <c r="Q267" s="3" t="n"/>
      <c r="R267" s="3" t="n"/>
      <c r="S267" s="3" t="n"/>
    </row>
    <row r="268" ht="25" customHeight="1">
      <c r="A268" s="2" t="n"/>
      <c r="B268" s="2" t="n"/>
      <c r="C268" s="2" t="n"/>
      <c r="D268" s="2" t="n"/>
      <c r="E268" s="2" t="n"/>
      <c r="F268" s="2" t="n"/>
      <c r="G268" s="2" t="n"/>
      <c r="H268" s="2" t="n"/>
      <c r="I268" s="2" t="n"/>
      <c r="J268" s="2" t="n"/>
      <c r="K268" s="2" t="n"/>
      <c r="L268" s="2" t="n"/>
      <c r="M268" s="2" t="n"/>
      <c r="N268" s="2" t="n"/>
      <c r="O268" s="2" t="n"/>
      <c r="P268" s="2" t="n"/>
      <c r="Q268" s="2" t="n"/>
      <c r="R268" s="2" t="n"/>
      <c r="S268" s="2" t="n"/>
    </row>
    <row r="269" ht="25" customHeight="1">
      <c r="A269" s="3" t="n"/>
      <c r="B269" s="3" t="n"/>
      <c r="C269" s="3" t="n"/>
      <c r="D269" s="3" t="n"/>
      <c r="E269" s="3" t="n"/>
      <c r="F269" s="3" t="n"/>
      <c r="G269" s="3" t="n"/>
      <c r="H269" s="3" t="n"/>
      <c r="I269" s="3" t="n"/>
      <c r="J269" s="3" t="n"/>
      <c r="K269" s="3" t="n"/>
      <c r="L269" s="3" t="n"/>
      <c r="M269" s="3" t="n"/>
      <c r="N269" s="3" t="n"/>
      <c r="O269" s="3" t="n"/>
      <c r="P269" s="3" t="n"/>
      <c r="Q269" s="3" t="n"/>
      <c r="R269" s="3" t="n"/>
      <c r="S269" s="3" t="n"/>
    </row>
    <row r="270" ht="25" customHeight="1">
      <c r="A270" s="2" t="n"/>
      <c r="B270" s="2" t="n"/>
      <c r="C270" s="2" t="n"/>
      <c r="D270" s="2" t="n"/>
      <c r="E270" s="2" t="n"/>
      <c r="F270" s="2" t="n"/>
      <c r="G270" s="2" t="n"/>
      <c r="H270" s="2" t="n"/>
      <c r="I270" s="2" t="n"/>
      <c r="J270" s="2" t="n"/>
      <c r="K270" s="2" t="n"/>
      <c r="L270" s="2" t="n"/>
      <c r="M270" s="2" t="n"/>
      <c r="N270" s="2" t="n"/>
      <c r="O270" s="2" t="n"/>
      <c r="P270" s="2" t="n"/>
      <c r="Q270" s="2" t="n"/>
      <c r="R270" s="2" t="n"/>
      <c r="S270" s="2" t="n"/>
    </row>
    <row r="271" ht="25" customHeight="1">
      <c r="A271" s="3" t="n"/>
      <c r="B271" s="3" t="n"/>
      <c r="C271" s="3" t="n"/>
      <c r="D271" s="3" t="n"/>
      <c r="E271" s="3" t="n"/>
      <c r="F271" s="3" t="n"/>
      <c r="G271" s="3" t="n"/>
      <c r="H271" s="3" t="n"/>
      <c r="I271" s="3" t="n"/>
      <c r="J271" s="3" t="n"/>
      <c r="K271" s="3" t="n"/>
      <c r="L271" s="3" t="n"/>
      <c r="M271" s="3" t="n"/>
      <c r="N271" s="3" t="n"/>
      <c r="O271" s="3" t="n"/>
      <c r="P271" s="3" t="n"/>
      <c r="Q271" s="3" t="n"/>
      <c r="R271" s="3" t="n"/>
      <c r="S271" s="3" t="n"/>
    </row>
    <row r="272" ht="25" customHeight="1">
      <c r="A272" s="2" t="n"/>
      <c r="B272" s="2" t="n"/>
      <c r="C272" s="2" t="n"/>
      <c r="D272" s="2" t="n"/>
      <c r="E272" s="2" t="n"/>
      <c r="F272" s="2" t="n"/>
      <c r="G272" s="2" t="n"/>
      <c r="H272" s="2" t="n"/>
      <c r="I272" s="2" t="n"/>
      <c r="J272" s="2" t="n"/>
      <c r="K272" s="2" t="n"/>
      <c r="L272" s="2" t="n"/>
      <c r="M272" s="2" t="n"/>
      <c r="N272" s="2" t="n"/>
      <c r="O272" s="2" t="n"/>
      <c r="P272" s="2" t="n"/>
      <c r="Q272" s="2" t="n"/>
      <c r="R272" s="2" t="n"/>
      <c r="S272" s="2" t="n"/>
    </row>
    <row r="273" ht="25" customHeight="1">
      <c r="A273" s="3" t="n"/>
      <c r="B273" s="3" t="n"/>
      <c r="C273" s="3" t="n"/>
      <c r="D273" s="3" t="n"/>
      <c r="E273" s="3" t="n"/>
      <c r="F273" s="3" t="n"/>
      <c r="G273" s="3" t="n"/>
      <c r="H273" s="3" t="n"/>
      <c r="I273" s="3" t="n"/>
      <c r="J273" s="3" t="n"/>
      <c r="K273" s="3" t="n"/>
      <c r="L273" s="3" t="n"/>
      <c r="M273" s="3" t="n"/>
      <c r="N273" s="3" t="n"/>
      <c r="O273" s="3" t="n"/>
      <c r="P273" s="3" t="n"/>
      <c r="Q273" s="3" t="n"/>
      <c r="R273" s="3" t="n"/>
      <c r="S273" s="3" t="n"/>
    </row>
    <row r="274" ht="25" customHeight="1">
      <c r="A274" s="2" t="n"/>
      <c r="B274" s="2" t="n"/>
      <c r="C274" s="2" t="n"/>
      <c r="D274" s="2" t="n"/>
      <c r="E274" s="2" t="n"/>
      <c r="F274" s="2" t="n"/>
      <c r="G274" s="2" t="n"/>
      <c r="H274" s="2" t="n"/>
      <c r="I274" s="2" t="n"/>
      <c r="J274" s="2" t="n"/>
      <c r="K274" s="2" t="n"/>
      <c r="L274" s="2" t="n"/>
      <c r="M274" s="2" t="n"/>
      <c r="N274" s="2" t="n"/>
      <c r="O274" s="2" t="n"/>
      <c r="P274" s="2" t="n"/>
      <c r="Q274" s="2" t="n"/>
      <c r="R274" s="2" t="n"/>
      <c r="S274" s="2" t="n"/>
    </row>
    <row r="275" ht="25" customHeight="1">
      <c r="A275" s="3" t="n"/>
      <c r="B275" s="3" t="n"/>
      <c r="C275" s="3" t="n"/>
      <c r="D275" s="3" t="n"/>
      <c r="E275" s="3" t="n"/>
      <c r="F275" s="3" t="n"/>
      <c r="G275" s="3" t="n"/>
      <c r="H275" s="3" t="n"/>
      <c r="I275" s="3" t="n"/>
      <c r="J275" s="3" t="n"/>
      <c r="K275" s="3" t="n"/>
      <c r="L275" s="3" t="n"/>
      <c r="M275" s="3" t="n"/>
      <c r="N275" s="3" t="n"/>
      <c r="O275" s="3" t="n"/>
      <c r="P275" s="3" t="n"/>
      <c r="Q275" s="3" t="n"/>
      <c r="R275" s="3" t="n"/>
      <c r="S275" s="3" t="n"/>
    </row>
    <row r="276" ht="25" customHeight="1">
      <c r="A276" s="2" t="n"/>
      <c r="B276" s="2" t="n"/>
      <c r="C276" s="2" t="n"/>
      <c r="D276" s="2" t="n"/>
      <c r="E276" s="2" t="n"/>
      <c r="F276" s="2" t="n"/>
      <c r="G276" s="2" t="n"/>
      <c r="H276" s="2" t="n"/>
      <c r="I276" s="2" t="n"/>
      <c r="J276" s="2" t="n"/>
      <c r="K276" s="2" t="n"/>
      <c r="L276" s="2" t="n"/>
      <c r="M276" s="2" t="n"/>
      <c r="N276" s="2" t="n"/>
      <c r="O276" s="2" t="n"/>
      <c r="P276" s="2" t="n"/>
      <c r="Q276" s="2" t="n"/>
      <c r="R276" s="2" t="n"/>
      <c r="S276" s="2" t="n"/>
    </row>
    <row r="277" ht="25" customHeight="1">
      <c r="A277" s="3" t="n"/>
      <c r="B277" s="3" t="n"/>
      <c r="C277" s="3" t="n"/>
      <c r="D277" s="3" t="n"/>
      <c r="E277" s="3" t="n"/>
      <c r="F277" s="3" t="n"/>
      <c r="G277" s="3" t="n"/>
      <c r="H277" s="3" t="n"/>
      <c r="I277" s="3" t="n"/>
      <c r="J277" s="3" t="n"/>
      <c r="K277" s="3" t="n"/>
      <c r="L277" s="3" t="n"/>
      <c r="M277" s="3" t="n"/>
      <c r="N277" s="3" t="n"/>
      <c r="O277" s="3" t="n"/>
      <c r="P277" s="3" t="n"/>
      <c r="Q277" s="3" t="n"/>
      <c r="R277" s="3" t="n"/>
      <c r="S277" s="3" t="n"/>
    </row>
    <row r="278" ht="25" customHeight="1">
      <c r="A278" s="2" t="n"/>
      <c r="B278" s="2" t="n"/>
      <c r="C278" s="2" t="n"/>
      <c r="D278" s="2" t="n"/>
      <c r="E278" s="2" t="n"/>
      <c r="F278" s="2" t="n"/>
      <c r="G278" s="2" t="n"/>
      <c r="H278" s="2" t="n"/>
      <c r="I278" s="2" t="n"/>
      <c r="J278" s="2" t="n"/>
      <c r="K278" s="2" t="n"/>
      <c r="L278" s="2" t="n"/>
      <c r="M278" s="2" t="n"/>
      <c r="N278" s="2" t="n"/>
      <c r="O278" s="2" t="n"/>
      <c r="P278" s="2" t="n"/>
      <c r="Q278" s="2" t="n"/>
      <c r="R278" s="2" t="n"/>
      <c r="S278" s="2" t="n"/>
    </row>
    <row r="279" ht="25" customHeight="1">
      <c r="A279" s="3" t="n"/>
      <c r="B279" s="3" t="n"/>
      <c r="C279" s="3" t="n"/>
      <c r="D279" s="3" t="n"/>
      <c r="E279" s="3" t="n"/>
      <c r="F279" s="3" t="n"/>
      <c r="G279" s="3" t="n"/>
      <c r="H279" s="3" t="n"/>
      <c r="I279" s="3" t="n"/>
      <c r="J279" s="3" t="n"/>
      <c r="K279" s="3" t="n"/>
      <c r="L279" s="3" t="n"/>
      <c r="M279" s="3" t="n"/>
      <c r="N279" s="3" t="n"/>
      <c r="O279" s="3" t="n"/>
      <c r="P279" s="3" t="n"/>
      <c r="Q279" s="3" t="n"/>
      <c r="R279" s="3" t="n"/>
      <c r="S279" s="3" t="n"/>
    </row>
    <row r="280" ht="25" customHeight="1">
      <c r="A280" s="2" t="n"/>
      <c r="B280" s="2" t="n"/>
      <c r="C280" s="2" t="n"/>
      <c r="D280" s="2" t="n"/>
      <c r="E280" s="2" t="n"/>
      <c r="F280" s="2" t="n"/>
      <c r="G280" s="2" t="n"/>
      <c r="H280" s="2" t="n"/>
      <c r="I280" s="2" t="n"/>
      <c r="J280" s="2" t="n"/>
      <c r="K280" s="2" t="n"/>
      <c r="L280" s="2" t="n"/>
      <c r="M280" s="2" t="n"/>
      <c r="N280" s="2" t="n"/>
      <c r="O280" s="2" t="n"/>
      <c r="P280" s="2" t="n"/>
      <c r="Q280" s="2" t="n"/>
      <c r="R280" s="2" t="n"/>
      <c r="S280" s="2" t="n"/>
    </row>
    <row r="281" ht="25" customHeight="1">
      <c r="A281" s="3" t="n"/>
      <c r="B281" s="3" t="n"/>
      <c r="C281" s="3" t="n"/>
      <c r="D281" s="3" t="n"/>
      <c r="E281" s="3" t="n"/>
      <c r="F281" s="3" t="n"/>
      <c r="G281" s="3" t="n"/>
      <c r="H281" s="3" t="n"/>
      <c r="I281" s="3" t="n"/>
      <c r="J281" s="3" t="n"/>
      <c r="K281" s="3" t="n"/>
      <c r="L281" s="3" t="n"/>
      <c r="M281" s="3" t="n"/>
      <c r="N281" s="3" t="n"/>
      <c r="O281" s="3" t="n"/>
      <c r="P281" s="3" t="n"/>
      <c r="Q281" s="3" t="n"/>
      <c r="R281" s="3" t="n"/>
      <c r="S281" s="3" t="n"/>
    </row>
    <row r="282" ht="25" customHeight="1">
      <c r="A282" s="2" t="n"/>
      <c r="B282" s="2" t="n"/>
      <c r="C282" s="2" t="n"/>
      <c r="D282" s="2" t="n"/>
      <c r="E282" s="2" t="n"/>
      <c r="F282" s="2" t="n"/>
      <c r="G282" s="2" t="n"/>
      <c r="H282" s="2" t="n"/>
      <c r="I282" s="2" t="n"/>
      <c r="J282" s="2" t="n"/>
      <c r="K282" s="2" t="n"/>
      <c r="L282" s="2" t="n"/>
      <c r="M282" s="2" t="n"/>
      <c r="N282" s="2" t="n"/>
      <c r="O282" s="2" t="n"/>
      <c r="P282" s="2" t="n"/>
      <c r="Q282" s="2" t="n"/>
      <c r="R282" s="2" t="n"/>
      <c r="S282" s="2" t="n"/>
    </row>
    <row r="283" ht="25" customHeight="1">
      <c r="A283" s="3" t="n"/>
      <c r="B283" s="3" t="n"/>
      <c r="C283" s="3" t="n"/>
      <c r="D283" s="3" t="n"/>
      <c r="E283" s="3" t="n"/>
      <c r="F283" s="3" t="n"/>
      <c r="G283" s="3" t="n"/>
      <c r="H283" s="3" t="n"/>
      <c r="I283" s="3" t="n"/>
      <c r="J283" s="3" t="n"/>
      <c r="K283" s="3" t="n"/>
      <c r="L283" s="3" t="n"/>
      <c r="M283" s="3" t="n"/>
      <c r="N283" s="3" t="n"/>
      <c r="O283" s="3" t="n"/>
      <c r="P283" s="3" t="n"/>
      <c r="Q283" s="3" t="n"/>
      <c r="R283" s="3" t="n"/>
      <c r="S283" s="3" t="n"/>
    </row>
    <row r="284" ht="25" customHeight="1">
      <c r="A284" s="2" t="n"/>
      <c r="B284" s="2" t="n"/>
      <c r="C284" s="2" t="n"/>
      <c r="D284" s="2" t="n"/>
      <c r="E284" s="2" t="n"/>
      <c r="F284" s="2" t="n"/>
      <c r="G284" s="2" t="n"/>
      <c r="H284" s="2" t="n"/>
      <c r="I284" s="2" t="n"/>
      <c r="J284" s="2" t="n"/>
      <c r="K284" s="2" t="n"/>
      <c r="L284" s="2" t="n"/>
      <c r="M284" s="2" t="n"/>
      <c r="N284" s="2" t="n"/>
      <c r="O284" s="2" t="n"/>
      <c r="P284" s="2" t="n"/>
      <c r="Q284" s="2" t="n"/>
      <c r="R284" s="2" t="n"/>
      <c r="S284" s="2" t="n"/>
    </row>
    <row r="285" ht="25" customHeight="1">
      <c r="A285" s="3" t="n"/>
      <c r="B285" s="3" t="n"/>
      <c r="C285" s="3" t="n"/>
      <c r="D285" s="3" t="n"/>
      <c r="E285" s="3" t="n"/>
      <c r="F285" s="3" t="n"/>
      <c r="G285" s="3" t="n"/>
      <c r="H285" s="3" t="n"/>
      <c r="I285" s="3" t="n"/>
      <c r="J285" s="3" t="n"/>
      <c r="K285" s="3" t="n"/>
      <c r="L285" s="3" t="n"/>
      <c r="M285" s="3" t="n"/>
      <c r="N285" s="3" t="n"/>
      <c r="O285" s="3" t="n"/>
      <c r="P285" s="3" t="n"/>
      <c r="Q285" s="3" t="n"/>
      <c r="R285" s="3" t="n"/>
      <c r="S285" s="3" t="n"/>
    </row>
    <row r="286" ht="25" customHeight="1">
      <c r="A286" s="2" t="n"/>
      <c r="B286" s="2" t="n"/>
      <c r="C286" s="2" t="n"/>
      <c r="D286" s="2" t="n"/>
      <c r="E286" s="2" t="n"/>
      <c r="F286" s="2" t="n"/>
      <c r="G286" s="2" t="n"/>
      <c r="H286" s="2" t="n"/>
      <c r="I286" s="2" t="n"/>
      <c r="J286" s="2" t="n"/>
      <c r="K286" s="2" t="n"/>
      <c r="L286" s="2" t="n"/>
      <c r="M286" s="2" t="n"/>
      <c r="N286" s="2" t="n"/>
      <c r="O286" s="2" t="n"/>
      <c r="P286" s="2" t="n"/>
      <c r="Q286" s="2" t="n"/>
      <c r="R286" s="2" t="n"/>
      <c r="S286" s="2" t="n"/>
    </row>
    <row r="287" ht="25" customHeight="1">
      <c r="A287" s="3" t="n"/>
      <c r="B287" s="3" t="n"/>
      <c r="C287" s="3" t="n"/>
      <c r="D287" s="3" t="n"/>
      <c r="E287" s="3" t="n"/>
      <c r="F287" s="3" t="n"/>
      <c r="G287" s="3" t="n"/>
      <c r="H287" s="3" t="n"/>
      <c r="I287" s="3" t="n"/>
      <c r="J287" s="3" t="n"/>
      <c r="K287" s="3" t="n"/>
      <c r="L287" s="3" t="n"/>
      <c r="M287" s="3" t="n"/>
      <c r="N287" s="3" t="n"/>
      <c r="O287" s="3" t="n"/>
      <c r="P287" s="3" t="n"/>
      <c r="Q287" s="3" t="n"/>
      <c r="R287" s="3" t="n"/>
      <c r="S287" s="3" t="n"/>
    </row>
    <row r="288" ht="25" customHeight="1">
      <c r="A288" s="2" t="n"/>
      <c r="B288" s="2" t="n"/>
      <c r="C288" s="2" t="n"/>
      <c r="D288" s="2" t="n"/>
      <c r="E288" s="2" t="n"/>
      <c r="F288" s="2" t="n"/>
      <c r="G288" s="2" t="n"/>
      <c r="H288" s="2" t="n"/>
      <c r="I288" s="2" t="n"/>
      <c r="J288" s="2" t="n"/>
      <c r="K288" s="2" t="n"/>
      <c r="L288" s="2" t="n"/>
      <c r="M288" s="2" t="n"/>
      <c r="N288" s="2" t="n"/>
      <c r="O288" s="2" t="n"/>
      <c r="P288" s="2" t="n"/>
      <c r="Q288" s="2" t="n"/>
      <c r="R288" s="2" t="n"/>
      <c r="S288" s="2" t="n"/>
    </row>
    <row r="289" ht="25" customHeight="1">
      <c r="A289" s="3" t="n"/>
      <c r="B289" s="3" t="n"/>
      <c r="C289" s="3" t="n"/>
      <c r="D289" s="3" t="n"/>
      <c r="E289" s="3" t="n"/>
      <c r="F289" s="3" t="n"/>
      <c r="G289" s="3" t="n"/>
      <c r="H289" s="3" t="n"/>
      <c r="I289" s="3" t="n"/>
      <c r="J289" s="3" t="n"/>
      <c r="K289" s="3" t="n"/>
      <c r="L289" s="3" t="n"/>
      <c r="M289" s="3" t="n"/>
      <c r="N289" s="3" t="n"/>
      <c r="O289" s="3" t="n"/>
      <c r="P289" s="3" t="n"/>
      <c r="Q289" s="3" t="n"/>
      <c r="R289" s="3" t="n"/>
      <c r="S289" s="3" t="n"/>
    </row>
    <row r="290" ht="25" customHeight="1">
      <c r="A290" s="2" t="n"/>
      <c r="B290" s="2" t="n"/>
      <c r="C290" s="2" t="n"/>
      <c r="D290" s="2" t="n"/>
      <c r="E290" s="2" t="n"/>
      <c r="F290" s="2" t="n"/>
      <c r="G290" s="2" t="n"/>
      <c r="H290" s="2" t="n"/>
      <c r="I290" s="2" t="n"/>
      <c r="J290" s="2" t="n"/>
      <c r="K290" s="2" t="n"/>
      <c r="L290" s="2" t="n"/>
      <c r="M290" s="2" t="n"/>
      <c r="N290" s="2" t="n"/>
      <c r="O290" s="2" t="n"/>
      <c r="P290" s="2" t="n"/>
      <c r="Q290" s="2" t="n"/>
      <c r="R290" s="2" t="n"/>
      <c r="S290" s="2" t="n"/>
    </row>
    <row r="291" ht="25" customHeight="1">
      <c r="A291" s="3" t="n"/>
      <c r="B291" s="3" t="n"/>
      <c r="C291" s="3" t="n"/>
      <c r="D291" s="3" t="n"/>
      <c r="E291" s="3" t="n"/>
      <c r="F291" s="3" t="n"/>
      <c r="G291" s="3" t="n"/>
      <c r="H291" s="3" t="n"/>
      <c r="I291" s="3" t="n"/>
      <c r="J291" s="3" t="n"/>
      <c r="K291" s="3" t="n"/>
      <c r="L291" s="3" t="n"/>
      <c r="M291" s="3" t="n"/>
      <c r="N291" s="3" t="n"/>
      <c r="O291" s="3" t="n"/>
      <c r="P291" s="3" t="n"/>
      <c r="Q291" s="3" t="n"/>
      <c r="R291" s="3" t="n"/>
      <c r="S291" s="3" t="n"/>
    </row>
    <row r="292" ht="25" customHeight="1">
      <c r="A292" s="2" t="n"/>
      <c r="B292" s="2" t="n"/>
      <c r="C292" s="2" t="n"/>
      <c r="D292" s="2" t="n"/>
      <c r="E292" s="2" t="n"/>
      <c r="F292" s="2" t="n"/>
      <c r="G292" s="2" t="n"/>
      <c r="H292" s="2" t="n"/>
      <c r="I292" s="2" t="n"/>
      <c r="J292" s="2" t="n"/>
      <c r="K292" s="2" t="n"/>
      <c r="L292" s="2" t="n"/>
      <c r="M292" s="2" t="n"/>
      <c r="N292" s="2" t="n"/>
      <c r="O292" s="2" t="n"/>
      <c r="P292" s="2" t="n"/>
      <c r="Q292" s="2" t="n"/>
      <c r="R292" s="2" t="n"/>
      <c r="S292" s="2" t="n"/>
    </row>
    <row r="293" ht="25" customHeight="1">
      <c r="A293" s="3" t="n"/>
      <c r="B293" s="3" t="n"/>
      <c r="C293" s="3" t="n"/>
      <c r="D293" s="3" t="n"/>
      <c r="E293" s="3" t="n"/>
      <c r="F293" s="3" t="n"/>
      <c r="G293" s="3" t="n"/>
      <c r="H293" s="3" t="n"/>
      <c r="I293" s="3" t="n"/>
      <c r="J293" s="3" t="n"/>
      <c r="K293" s="3" t="n"/>
      <c r="L293" s="3" t="n"/>
      <c r="M293" s="3" t="n"/>
      <c r="N293" s="3" t="n"/>
      <c r="O293" s="3" t="n"/>
      <c r="P293" s="3" t="n"/>
      <c r="Q293" s="3" t="n"/>
      <c r="R293" s="3" t="n"/>
      <c r="S293" s="3" t="n"/>
    </row>
    <row r="294" ht="25" customHeight="1">
      <c r="A294" s="2" t="n"/>
      <c r="B294" s="2" t="n"/>
      <c r="C294" s="2" t="n"/>
      <c r="D294" s="2" t="n"/>
      <c r="E294" s="2" t="n"/>
      <c r="F294" s="2" t="n"/>
      <c r="G294" s="2" t="n"/>
      <c r="H294" s="2" t="n"/>
      <c r="I294" s="2" t="n"/>
      <c r="J294" s="2" t="n"/>
      <c r="K294" s="2" t="n"/>
      <c r="L294" s="2" t="n"/>
      <c r="M294" s="2" t="n"/>
      <c r="N294" s="2" t="n"/>
      <c r="O294" s="2" t="n"/>
      <c r="P294" s="2" t="n"/>
      <c r="Q294" s="2" t="n"/>
      <c r="R294" s="2" t="n"/>
      <c r="S294" s="2" t="n"/>
    </row>
    <row r="295" ht="25" customHeight="1">
      <c r="A295" s="3" t="n"/>
      <c r="B295" s="3" t="n"/>
      <c r="C295" s="3" t="n"/>
      <c r="D295" s="3" t="n"/>
      <c r="E295" s="3" t="n"/>
      <c r="F295" s="3" t="n"/>
      <c r="G295" s="3" t="n"/>
      <c r="H295" s="3" t="n"/>
      <c r="I295" s="3" t="n"/>
      <c r="J295" s="3" t="n"/>
      <c r="K295" s="3" t="n"/>
      <c r="L295" s="3" t="n"/>
      <c r="M295" s="3" t="n"/>
      <c r="N295" s="3" t="n"/>
      <c r="O295" s="3" t="n"/>
      <c r="P295" s="3" t="n"/>
      <c r="Q295" s="3" t="n"/>
      <c r="R295" s="3" t="n"/>
      <c r="S295" s="3" t="n"/>
    </row>
    <row r="296" ht="25" customHeight="1">
      <c r="A296" s="2" t="n"/>
      <c r="B296" s="2" t="n"/>
      <c r="C296" s="2" t="n"/>
      <c r="D296" s="2" t="n"/>
      <c r="E296" s="2" t="n"/>
      <c r="F296" s="2" t="n"/>
      <c r="G296" s="2" t="n"/>
      <c r="H296" s="2" t="n"/>
      <c r="I296" s="2" t="n"/>
      <c r="J296" s="2" t="n"/>
      <c r="K296" s="2" t="n"/>
      <c r="L296" s="2" t="n"/>
      <c r="M296" s="2" t="n"/>
      <c r="N296" s="2" t="n"/>
      <c r="O296" s="2" t="n"/>
      <c r="P296" s="2" t="n"/>
      <c r="Q296" s="2" t="n"/>
      <c r="R296" s="2" t="n"/>
      <c r="S296" s="2" t="n"/>
    </row>
    <row r="297" ht="25" customHeight="1">
      <c r="A297" s="3" t="n"/>
      <c r="B297" s="3" t="n"/>
      <c r="C297" s="3" t="n"/>
      <c r="D297" s="3" t="n"/>
      <c r="E297" s="3" t="n"/>
      <c r="F297" s="3" t="n"/>
      <c r="G297" s="3" t="n"/>
      <c r="H297" s="3" t="n"/>
      <c r="I297" s="3" t="n"/>
      <c r="J297" s="3" t="n"/>
      <c r="K297" s="3" t="n"/>
      <c r="L297" s="3" t="n"/>
      <c r="M297" s="3" t="n"/>
      <c r="N297" s="3" t="n"/>
      <c r="O297" s="3" t="n"/>
      <c r="P297" s="3" t="n"/>
      <c r="Q297" s="3" t="n"/>
      <c r="R297" s="3" t="n"/>
      <c r="S297" s="3" t="n"/>
    </row>
    <row r="298" ht="25" customHeight="1">
      <c r="A298" s="2" t="n"/>
      <c r="B298" s="2" t="n"/>
      <c r="C298" s="2" t="n"/>
      <c r="D298" s="2" t="n"/>
      <c r="E298" s="2" t="n"/>
      <c r="F298" s="2" t="n"/>
      <c r="G298" s="2" t="n"/>
      <c r="H298" s="2" t="n"/>
      <c r="I298" s="2" t="n"/>
      <c r="J298" s="2" t="n"/>
      <c r="K298" s="2" t="n"/>
      <c r="L298" s="2" t="n"/>
      <c r="M298" s="2" t="n"/>
      <c r="N298" s="2" t="n"/>
      <c r="O298" s="2" t="n"/>
      <c r="P298" s="2" t="n"/>
      <c r="Q298" s="2" t="n"/>
      <c r="R298" s="2" t="n"/>
      <c r="S298" s="2" t="n"/>
    </row>
    <row r="299" ht="25" customHeight="1">
      <c r="A299" s="3" t="n"/>
      <c r="B299" s="3" t="n"/>
      <c r="C299" s="3" t="n"/>
      <c r="D299" s="3" t="n"/>
      <c r="E299" s="3" t="n"/>
      <c r="F299" s="3" t="n"/>
      <c r="G299" s="3" t="n"/>
      <c r="H299" s="3" t="n"/>
      <c r="I299" s="3" t="n"/>
      <c r="J299" s="3" t="n"/>
      <c r="K299" s="3" t="n"/>
      <c r="L299" s="3" t="n"/>
      <c r="M299" s="3" t="n"/>
      <c r="N299" s="3" t="n"/>
      <c r="O299" s="3" t="n"/>
      <c r="P299" s="3" t="n"/>
      <c r="Q299" s="3" t="n"/>
      <c r="R299" s="3" t="n"/>
      <c r="S299" s="3" t="n"/>
    </row>
    <row r="300" ht="25" customHeight="1">
      <c r="A300" s="2" t="n"/>
      <c r="B300" s="2" t="n"/>
      <c r="C300" s="2" t="n"/>
      <c r="D300" s="2" t="n"/>
      <c r="E300" s="2" t="n"/>
      <c r="F300" s="2" t="n"/>
      <c r="G300" s="2" t="n"/>
      <c r="H300" s="2" t="n"/>
      <c r="I300" s="2" t="n"/>
      <c r="J300" s="2" t="n"/>
      <c r="K300" s="2" t="n"/>
      <c r="L300" s="2" t="n"/>
      <c r="M300" s="2" t="n"/>
      <c r="N300" s="2" t="n"/>
      <c r="O300" s="2" t="n"/>
      <c r="P300" s="2" t="n"/>
      <c r="Q300" s="2" t="n"/>
      <c r="R300" s="2" t="n"/>
      <c r="S300" s="2" t="n"/>
    </row>
    <row r="301" ht="25" customHeight="1">
      <c r="A301" s="3" t="n"/>
      <c r="B301" s="3" t="n"/>
      <c r="C301" s="3" t="n"/>
      <c r="D301" s="3" t="n"/>
      <c r="E301" s="3" t="n"/>
      <c r="F301" s="3" t="n"/>
      <c r="G301" s="3" t="n"/>
      <c r="H301" s="3" t="n"/>
      <c r="I301" s="3" t="n"/>
      <c r="J301" s="3" t="n"/>
      <c r="K301" s="3" t="n"/>
      <c r="L301" s="3" t="n"/>
      <c r="M301" s="3" t="n"/>
      <c r="N301" s="3" t="n"/>
      <c r="O301" s="3" t="n"/>
      <c r="P301" s="3" t="n"/>
      <c r="Q301" s="3" t="n"/>
      <c r="R301" s="3" t="n"/>
      <c r="S301" s="3" t="n"/>
    </row>
    <row r="302" ht="25" customHeight="1">
      <c r="A302" s="2" t="n"/>
      <c r="B302" s="2" t="n"/>
      <c r="C302" s="2" t="n"/>
      <c r="D302" s="2" t="n"/>
      <c r="E302" s="2" t="n"/>
      <c r="F302" s="2" t="n"/>
      <c r="G302" s="2" t="n"/>
      <c r="H302" s="2" t="n"/>
      <c r="I302" s="2" t="n"/>
      <c r="J302" s="2" t="n"/>
      <c r="K302" s="2" t="n"/>
      <c r="L302" s="2" t="n"/>
      <c r="M302" s="2" t="n"/>
      <c r="N302" s="2" t="n"/>
      <c r="O302" s="2" t="n"/>
      <c r="P302" s="2" t="n"/>
      <c r="Q302" s="2" t="n"/>
      <c r="R302" s="2" t="n"/>
      <c r="S302" s="2" t="n"/>
    </row>
    <row r="303" ht="25" customHeight="1">
      <c r="A303" s="3" t="n"/>
      <c r="B303" s="3" t="n"/>
      <c r="C303" s="3" t="n"/>
      <c r="D303" s="3" t="n"/>
      <c r="E303" s="3" t="n"/>
      <c r="F303" s="3" t="n"/>
      <c r="G303" s="3" t="n"/>
      <c r="H303" s="3" t="n"/>
      <c r="I303" s="3" t="n"/>
      <c r="J303" s="3" t="n"/>
      <c r="K303" s="3" t="n"/>
      <c r="L303" s="3" t="n"/>
      <c r="M303" s="3" t="n"/>
      <c r="N303" s="3" t="n"/>
      <c r="O303" s="3" t="n"/>
      <c r="P303" s="3" t="n"/>
      <c r="Q303" s="3" t="n"/>
      <c r="R303" s="3" t="n"/>
      <c r="S303" s="3" t="n"/>
    </row>
    <row r="304" ht="25" customHeight="1">
      <c r="A304" s="2" t="n"/>
      <c r="B304" s="2" t="n"/>
      <c r="C304" s="2" t="n"/>
      <c r="D304" s="2" t="n"/>
      <c r="E304" s="2" t="n"/>
      <c r="F304" s="2" t="n"/>
      <c r="G304" s="2" t="n"/>
      <c r="H304" s="2" t="n"/>
      <c r="I304" s="2" t="n"/>
      <c r="J304" s="2" t="n"/>
      <c r="K304" s="2" t="n"/>
      <c r="L304" s="2" t="n"/>
      <c r="M304" s="2" t="n"/>
      <c r="N304" s="2" t="n"/>
      <c r="O304" s="2" t="n"/>
      <c r="P304" s="2" t="n"/>
      <c r="Q304" s="2" t="n"/>
      <c r="R304" s="2" t="n"/>
      <c r="S304" s="2" t="n"/>
    </row>
    <row r="305" ht="25" customHeight="1">
      <c r="A305" s="3" t="n"/>
      <c r="B305" s="3" t="n"/>
      <c r="C305" s="3" t="n"/>
      <c r="D305" s="3" t="n"/>
      <c r="E305" s="3" t="n"/>
      <c r="F305" s="3" t="n"/>
      <c r="G305" s="3" t="n"/>
      <c r="H305" s="3" t="n"/>
      <c r="I305" s="3" t="n"/>
      <c r="J305" s="3" t="n"/>
      <c r="K305" s="3" t="n"/>
      <c r="L305" s="3" t="n"/>
      <c r="M305" s="3" t="n"/>
      <c r="N305" s="3" t="n"/>
      <c r="O305" s="3" t="n"/>
      <c r="P305" s="3" t="n"/>
      <c r="Q305" s="3" t="n"/>
      <c r="R305" s="3" t="n"/>
      <c r="S305" s="3" t="n"/>
    </row>
    <row r="306" ht="25" customHeight="1">
      <c r="A306" s="2" t="n"/>
      <c r="B306" s="2" t="n"/>
      <c r="C306" s="2" t="n"/>
      <c r="D306" s="2" t="n"/>
      <c r="E306" s="2" t="n"/>
      <c r="F306" s="2" t="n"/>
      <c r="G306" s="2" t="n"/>
      <c r="H306" s="2" t="n"/>
      <c r="I306" s="2" t="n"/>
      <c r="J306" s="2" t="n"/>
      <c r="K306" s="2" t="n"/>
      <c r="L306" s="2" t="n"/>
      <c r="M306" s="2" t="n"/>
      <c r="N306" s="2" t="n"/>
      <c r="O306" s="2" t="n"/>
      <c r="P306" s="2" t="n"/>
      <c r="Q306" s="2" t="n"/>
      <c r="R306" s="2" t="n"/>
      <c r="S306" s="2" t="n"/>
    </row>
    <row r="307" ht="25" customHeight="1">
      <c r="A307" s="3" t="n"/>
      <c r="B307" s="3" t="n"/>
      <c r="C307" s="3" t="n"/>
      <c r="D307" s="3" t="n"/>
      <c r="E307" s="3" t="n"/>
      <c r="F307" s="3" t="n"/>
      <c r="G307" s="3" t="n"/>
      <c r="H307" s="3" t="n"/>
      <c r="I307" s="3" t="n"/>
      <c r="J307" s="3" t="n"/>
      <c r="K307" s="3" t="n"/>
      <c r="L307" s="3" t="n"/>
      <c r="M307" s="3" t="n"/>
      <c r="N307" s="3" t="n"/>
      <c r="O307" s="3" t="n"/>
      <c r="P307" s="3" t="n"/>
      <c r="Q307" s="3" t="n"/>
      <c r="R307" s="3" t="n"/>
      <c r="S307" s="3" t="n"/>
    </row>
    <row r="308" ht="25" customHeight="1">
      <c r="A308" s="2" t="n"/>
      <c r="B308" s="2" t="n"/>
      <c r="C308" s="2" t="n"/>
      <c r="D308" s="2" t="n"/>
      <c r="E308" s="2" t="n"/>
      <c r="F308" s="2" t="n"/>
      <c r="G308" s="2" t="n"/>
      <c r="H308" s="2" t="n"/>
      <c r="I308" s="2" t="n"/>
      <c r="J308" s="2" t="n"/>
      <c r="K308" s="2" t="n"/>
      <c r="L308" s="2" t="n"/>
      <c r="M308" s="2" t="n"/>
      <c r="N308" s="2" t="n"/>
      <c r="O308" s="2" t="n"/>
      <c r="P308" s="2" t="n"/>
      <c r="Q308" s="2" t="n"/>
      <c r="R308" s="2" t="n"/>
      <c r="S308" s="2" t="n"/>
    </row>
    <row r="309" ht="25" customHeight="1">
      <c r="A309" s="3" t="n"/>
      <c r="B309" s="3" t="n"/>
      <c r="C309" s="3" t="n"/>
      <c r="D309" s="3" t="n"/>
      <c r="E309" s="3" t="n"/>
      <c r="F309" s="3" t="n"/>
      <c r="G309" s="3" t="n"/>
      <c r="H309" s="3" t="n"/>
      <c r="I309" s="3" t="n"/>
      <c r="J309" s="3" t="n"/>
      <c r="K309" s="3" t="n"/>
      <c r="L309" s="3" t="n"/>
      <c r="M309" s="3" t="n"/>
      <c r="N309" s="3" t="n"/>
      <c r="O309" s="3" t="n"/>
      <c r="P309" s="3" t="n"/>
      <c r="Q309" s="3" t="n"/>
      <c r="R309" s="3" t="n"/>
      <c r="S309" s="3" t="n"/>
    </row>
    <row r="310" ht="25" customHeight="1">
      <c r="A310" s="2" t="n"/>
      <c r="B310" s="2" t="n"/>
      <c r="C310" s="2" t="n"/>
      <c r="D310" s="2" t="n"/>
      <c r="E310" s="2" t="n"/>
      <c r="F310" s="2" t="n"/>
      <c r="G310" s="2" t="n"/>
      <c r="H310" s="2" t="n"/>
      <c r="I310" s="2" t="n"/>
      <c r="J310" s="2" t="n"/>
      <c r="K310" s="2" t="n"/>
      <c r="L310" s="2" t="n"/>
      <c r="M310" s="2" t="n"/>
      <c r="N310" s="2" t="n"/>
      <c r="O310" s="2" t="n"/>
      <c r="P310" s="2" t="n"/>
      <c r="Q310" s="2" t="n"/>
      <c r="R310" s="2" t="n"/>
      <c r="S310" s="2" t="n"/>
    </row>
    <row r="311" ht="25" customHeight="1">
      <c r="A311" s="3" t="n"/>
      <c r="B311" s="3" t="n"/>
      <c r="C311" s="3" t="n"/>
      <c r="D311" s="3" t="n"/>
      <c r="E311" s="3" t="n"/>
      <c r="F311" s="3" t="n"/>
      <c r="G311" s="3" t="n"/>
      <c r="H311" s="3" t="n"/>
      <c r="I311" s="3" t="n"/>
      <c r="J311" s="3" t="n"/>
      <c r="K311" s="3" t="n"/>
      <c r="L311" s="3" t="n"/>
      <c r="M311" s="3" t="n"/>
      <c r="N311" s="3" t="n"/>
      <c r="O311" s="3" t="n"/>
      <c r="P311" s="3" t="n"/>
      <c r="Q311" s="3" t="n"/>
      <c r="R311" s="3" t="n"/>
      <c r="S311" s="3" t="n"/>
    </row>
    <row r="312" ht="25" customHeight="1">
      <c r="A312" s="2" t="n"/>
      <c r="B312" s="2" t="n"/>
      <c r="C312" s="2" t="n"/>
      <c r="D312" s="2" t="n"/>
      <c r="E312" s="2" t="n"/>
      <c r="F312" s="2" t="n"/>
      <c r="G312" s="2" t="n"/>
      <c r="H312" s="2" t="n"/>
      <c r="I312" s="2" t="n"/>
      <c r="J312" s="2" t="n"/>
      <c r="K312" s="2" t="n"/>
      <c r="L312" s="2" t="n"/>
      <c r="M312" s="2" t="n"/>
      <c r="N312" s="2" t="n"/>
      <c r="O312" s="2" t="n"/>
      <c r="P312" s="2" t="n"/>
      <c r="Q312" s="2" t="n"/>
      <c r="R312" s="2" t="n"/>
      <c r="S312" s="2" t="n"/>
    </row>
    <row r="313" ht="25" customHeight="1">
      <c r="A313" s="3" t="n"/>
      <c r="B313" s="3" t="n"/>
      <c r="C313" s="3" t="n"/>
      <c r="D313" s="3" t="n"/>
      <c r="E313" s="3" t="n"/>
      <c r="F313" s="3" t="n"/>
      <c r="G313" s="3" t="n"/>
      <c r="H313" s="3" t="n"/>
      <c r="I313" s="3" t="n"/>
      <c r="J313" s="3" t="n"/>
      <c r="K313" s="3" t="n"/>
      <c r="L313" s="3" t="n"/>
      <c r="M313" s="3" t="n"/>
      <c r="N313" s="3" t="n"/>
      <c r="O313" s="3" t="n"/>
      <c r="P313" s="3" t="n"/>
      <c r="Q313" s="3" t="n"/>
      <c r="R313" s="3" t="n"/>
      <c r="S313" s="3" t="n"/>
    </row>
    <row r="314" ht="25" customHeight="1">
      <c r="A314" s="2" t="n"/>
      <c r="B314" s="2" t="n"/>
      <c r="C314" s="2" t="n"/>
      <c r="D314" s="2" t="n"/>
      <c r="E314" s="2" t="n"/>
      <c r="F314" s="2" t="n"/>
      <c r="G314" s="2" t="n"/>
      <c r="H314" s="2" t="n"/>
      <c r="I314" s="2" t="n"/>
      <c r="J314" s="2" t="n"/>
      <c r="K314" s="2" t="n"/>
      <c r="L314" s="2" t="n"/>
      <c r="M314" s="2" t="n"/>
      <c r="N314" s="2" t="n"/>
      <c r="O314" s="2" t="n"/>
      <c r="P314" s="2" t="n"/>
      <c r="Q314" s="2" t="n"/>
      <c r="R314" s="2" t="n"/>
      <c r="S314" s="2" t="n"/>
    </row>
    <row r="315" ht="25" customHeight="1">
      <c r="A315" s="3" t="n"/>
      <c r="B315" s="3" t="n"/>
      <c r="C315" s="3" t="n"/>
      <c r="D315" s="3" t="n"/>
      <c r="E315" s="3" t="n"/>
      <c r="F315" s="3" t="n"/>
      <c r="G315" s="3" t="n"/>
      <c r="H315" s="3" t="n"/>
      <c r="I315" s="3" t="n"/>
      <c r="J315" s="3" t="n"/>
      <c r="K315" s="3" t="n"/>
      <c r="L315" s="3" t="n"/>
      <c r="M315" s="3" t="n"/>
      <c r="N315" s="3" t="n"/>
      <c r="O315" s="3" t="n"/>
      <c r="P315" s="3" t="n"/>
      <c r="Q315" s="3" t="n"/>
      <c r="R315" s="3" t="n"/>
      <c r="S315" s="3" t="n"/>
    </row>
    <row r="316" ht="25" customHeight="1">
      <c r="A316" s="2" t="n"/>
      <c r="B316" s="2" t="n"/>
      <c r="C316" s="2" t="n"/>
      <c r="D316" s="2" t="n"/>
      <c r="E316" s="2" t="n"/>
      <c r="F316" s="2" t="n"/>
      <c r="G316" s="2" t="n"/>
      <c r="H316" s="2" t="n"/>
      <c r="I316" s="2" t="n"/>
      <c r="J316" s="2" t="n"/>
      <c r="K316" s="2" t="n"/>
      <c r="L316" s="2" t="n"/>
      <c r="M316" s="2" t="n"/>
      <c r="N316" s="2" t="n"/>
      <c r="O316" s="2" t="n"/>
      <c r="P316" s="2" t="n"/>
      <c r="Q316" s="2" t="n"/>
      <c r="R316" s="2" t="n"/>
      <c r="S316" s="2" t="n"/>
    </row>
    <row r="317" ht="25" customHeight="1">
      <c r="A317" s="3" t="n"/>
      <c r="B317" s="3" t="n"/>
      <c r="C317" s="3" t="n"/>
      <c r="D317" s="3" t="n"/>
      <c r="E317" s="3" t="n"/>
      <c r="F317" s="3" t="n"/>
      <c r="G317" s="3" t="n"/>
      <c r="H317" s="3" t="n"/>
      <c r="I317" s="3" t="n"/>
      <c r="J317" s="3" t="n"/>
      <c r="K317" s="3" t="n"/>
      <c r="L317" s="3" t="n"/>
      <c r="M317" s="3" t="n"/>
      <c r="N317" s="3" t="n"/>
      <c r="O317" s="3" t="n"/>
      <c r="P317" s="3" t="n"/>
      <c r="Q317" s="3" t="n"/>
      <c r="R317" s="3" t="n"/>
      <c r="S317" s="3" t="n"/>
    </row>
    <row r="318" ht="25" customHeight="1">
      <c r="A318" s="2" t="n"/>
      <c r="B318" s="2" t="n"/>
      <c r="C318" s="2" t="n"/>
      <c r="D318" s="2" t="n"/>
      <c r="E318" s="2" t="n"/>
      <c r="F318" s="2" t="n"/>
      <c r="G318" s="2" t="n"/>
      <c r="H318" s="2" t="n"/>
      <c r="I318" s="2" t="n"/>
      <c r="J318" s="2" t="n"/>
      <c r="K318" s="2" t="n"/>
      <c r="L318" s="2" t="n"/>
      <c r="M318" s="2" t="n"/>
      <c r="N318" s="2" t="n"/>
      <c r="O318" s="2" t="n"/>
      <c r="P318" s="2" t="n"/>
      <c r="Q318" s="2" t="n"/>
      <c r="R318" s="2" t="n"/>
      <c r="S318" s="2" t="n"/>
    </row>
    <row r="319" ht="25" customHeight="1">
      <c r="A319" s="3" t="n"/>
      <c r="B319" s="3" t="n"/>
      <c r="C319" s="3" t="n"/>
      <c r="D319" s="3" t="n"/>
      <c r="E319" s="3" t="n"/>
      <c r="F319" s="3" t="n"/>
      <c r="G319" s="3" t="n"/>
      <c r="H319" s="3" t="n"/>
      <c r="I319" s="3" t="n"/>
      <c r="J319" s="3" t="n"/>
      <c r="K319" s="3" t="n"/>
      <c r="L319" s="3" t="n"/>
      <c r="M319" s="3" t="n"/>
      <c r="N319" s="3" t="n"/>
      <c r="O319" s="3" t="n"/>
      <c r="P319" s="3" t="n"/>
      <c r="Q319" s="3" t="n"/>
      <c r="R319" s="3" t="n"/>
      <c r="S319" s="3" t="n"/>
    </row>
    <row r="320" ht="25" customHeight="1">
      <c r="A320" s="2" t="n"/>
      <c r="B320" s="2" t="n"/>
      <c r="C320" s="2" t="n"/>
      <c r="D320" s="2" t="n"/>
      <c r="E320" s="2" t="n"/>
      <c r="F320" s="2" t="n"/>
      <c r="G320" s="2" t="n"/>
      <c r="H320" s="2" t="n"/>
      <c r="I320" s="2" t="n"/>
      <c r="J320" s="2" t="n"/>
      <c r="K320" s="2" t="n"/>
      <c r="L320" s="2" t="n"/>
      <c r="M320" s="2" t="n"/>
      <c r="N320" s="2" t="n"/>
      <c r="O320" s="2" t="n"/>
      <c r="P320" s="2" t="n"/>
      <c r="Q320" s="2" t="n"/>
      <c r="R320" s="2" t="n"/>
      <c r="S320" s="2" t="n"/>
    </row>
    <row r="321" ht="25" customHeight="1">
      <c r="A321" s="3" t="n"/>
      <c r="B321" s="3" t="n"/>
      <c r="C321" s="3" t="n"/>
      <c r="D321" s="3" t="n"/>
      <c r="E321" s="3" t="n"/>
      <c r="F321" s="3" t="n"/>
      <c r="G321" s="3" t="n"/>
      <c r="H321" s="3" t="n"/>
      <c r="I321" s="3" t="n"/>
      <c r="J321" s="3" t="n"/>
      <c r="K321" s="3" t="n"/>
      <c r="L321" s="3" t="n"/>
      <c r="M321" s="3" t="n"/>
      <c r="N321" s="3" t="n"/>
      <c r="O321" s="3" t="n"/>
      <c r="P321" s="3" t="n"/>
      <c r="Q321" s="3" t="n"/>
      <c r="R321" s="3" t="n"/>
      <c r="S321" s="3" t="n"/>
    </row>
    <row r="322" ht="25" customHeight="1">
      <c r="A322" s="2" t="n"/>
      <c r="B322" s="2" t="n"/>
      <c r="C322" s="2" t="n"/>
      <c r="D322" s="2" t="n"/>
      <c r="E322" s="2" t="n"/>
      <c r="F322" s="2" t="n"/>
      <c r="G322" s="2" t="n"/>
      <c r="H322" s="2" t="n"/>
      <c r="I322" s="2" t="n"/>
      <c r="J322" s="2" t="n"/>
      <c r="K322" s="2" t="n"/>
      <c r="L322" s="2" t="n"/>
      <c r="M322" s="2" t="n"/>
      <c r="N322" s="2" t="n"/>
      <c r="O322" s="2" t="n"/>
      <c r="P322" s="2" t="n"/>
      <c r="Q322" s="2" t="n"/>
      <c r="R322" s="2" t="n"/>
      <c r="S322" s="2" t="n"/>
    </row>
    <row r="323" ht="25" customHeight="1">
      <c r="A323" s="3" t="n"/>
      <c r="B323" s="3" t="n"/>
      <c r="C323" s="3" t="n"/>
      <c r="D323" s="3" t="n"/>
      <c r="E323" s="3" t="n"/>
      <c r="F323" s="3" t="n"/>
      <c r="G323" s="3" t="n"/>
      <c r="H323" s="3" t="n"/>
      <c r="I323" s="3" t="n"/>
      <c r="J323" s="3" t="n"/>
      <c r="K323" s="3" t="n"/>
      <c r="L323" s="3" t="n"/>
      <c r="M323" s="3" t="n"/>
      <c r="N323" s="3" t="n"/>
      <c r="O323" s="3" t="n"/>
      <c r="P323" s="3" t="n"/>
      <c r="Q323" s="3" t="n"/>
      <c r="R323" s="3" t="n"/>
      <c r="S323" s="3" t="n"/>
    </row>
    <row r="324" ht="25" customHeight="1">
      <c r="A324" s="2" t="n"/>
      <c r="B324" s="2" t="n"/>
      <c r="C324" s="2" t="n"/>
      <c r="D324" s="2" t="n"/>
      <c r="E324" s="2" t="n"/>
      <c r="F324" s="2" t="n"/>
      <c r="G324" s="2" t="n"/>
      <c r="H324" s="2" t="n"/>
      <c r="I324" s="2" t="n"/>
      <c r="J324" s="2" t="n"/>
      <c r="K324" s="2" t="n"/>
      <c r="L324" s="2" t="n"/>
      <c r="M324" s="2" t="n"/>
      <c r="N324" s="2" t="n"/>
      <c r="O324" s="2" t="n"/>
      <c r="P324" s="2" t="n"/>
      <c r="Q324" s="2" t="n"/>
      <c r="R324" s="2" t="n"/>
      <c r="S324" s="2" t="n"/>
    </row>
    <row r="325" ht="25" customHeight="1">
      <c r="A325" s="3" t="n"/>
      <c r="B325" s="3" t="n"/>
      <c r="C325" s="3" t="n"/>
      <c r="D325" s="3" t="n"/>
      <c r="E325" s="3" t="n"/>
      <c r="F325" s="3" t="n"/>
      <c r="G325" s="3" t="n"/>
      <c r="H325" s="3" t="n"/>
      <c r="I325" s="3" t="n"/>
      <c r="J325" s="3" t="n"/>
      <c r="K325" s="3" t="n"/>
      <c r="L325" s="3" t="n"/>
      <c r="M325" s="3" t="n"/>
      <c r="N325" s="3" t="n"/>
      <c r="O325" s="3" t="n"/>
      <c r="P325" s="3" t="n"/>
      <c r="Q325" s="3" t="n"/>
      <c r="R325" s="3" t="n"/>
      <c r="S325" s="3" t="n"/>
    </row>
    <row r="326" ht="25" customHeight="1">
      <c r="A326" s="2" t="n"/>
      <c r="B326" s="2" t="n"/>
      <c r="C326" s="2" t="n"/>
      <c r="D326" s="2" t="n"/>
      <c r="E326" s="2" t="n"/>
      <c r="F326" s="2" t="n"/>
      <c r="G326" s="2" t="n"/>
      <c r="H326" s="2" t="n"/>
      <c r="I326" s="2" t="n"/>
      <c r="J326" s="2" t="n"/>
      <c r="K326" s="2" t="n"/>
      <c r="L326" s="2" t="n"/>
      <c r="M326" s="2" t="n"/>
      <c r="N326" s="2" t="n"/>
      <c r="O326" s="2" t="n"/>
      <c r="P326" s="2" t="n"/>
      <c r="Q326" s="2" t="n"/>
      <c r="R326" s="2" t="n"/>
      <c r="S326" s="2" t="n"/>
    </row>
    <row r="327" ht="25" customHeight="1">
      <c r="A327" s="3" t="n"/>
      <c r="B327" s="3" t="n"/>
      <c r="C327" s="3" t="n"/>
      <c r="D327" s="3" t="n"/>
      <c r="E327" s="3" t="n"/>
      <c r="F327" s="3" t="n"/>
      <c r="G327" s="3" t="n"/>
      <c r="H327" s="3" t="n"/>
      <c r="I327" s="3" t="n"/>
      <c r="J327" s="3" t="n"/>
      <c r="K327" s="3" t="n"/>
      <c r="L327" s="3" t="n"/>
      <c r="M327" s="3" t="n"/>
      <c r="N327" s="3" t="n"/>
      <c r="O327" s="3" t="n"/>
      <c r="P327" s="3" t="n"/>
      <c r="Q327" s="3" t="n"/>
      <c r="R327" s="3" t="n"/>
      <c r="S327" s="3" t="n"/>
    </row>
    <row r="328" ht="25" customHeight="1">
      <c r="A328" s="2" t="n"/>
      <c r="B328" s="2" t="n"/>
      <c r="C328" s="2" t="n"/>
      <c r="D328" s="2" t="n"/>
      <c r="E328" s="2" t="n"/>
      <c r="F328" s="2" t="n"/>
      <c r="G328" s="2" t="n"/>
      <c r="H328" s="2" t="n"/>
      <c r="I328" s="2" t="n"/>
      <c r="J328" s="2" t="n"/>
      <c r="K328" s="2" t="n"/>
      <c r="L328" s="2" t="n"/>
      <c r="M328" s="2" t="n"/>
      <c r="N328" s="2" t="n"/>
      <c r="O328" s="2" t="n"/>
      <c r="P328" s="2" t="n"/>
      <c r="Q328" s="2" t="n"/>
      <c r="R328" s="2" t="n"/>
      <c r="S328" s="2" t="n"/>
    </row>
    <row r="329" ht="25" customHeight="1">
      <c r="A329" s="3" t="n"/>
      <c r="B329" s="3" t="n"/>
      <c r="C329" s="3" t="n"/>
      <c r="D329" s="3" t="n"/>
      <c r="E329" s="3" t="n"/>
      <c r="F329" s="3" t="n"/>
      <c r="G329" s="3" t="n"/>
      <c r="H329" s="3" t="n"/>
      <c r="I329" s="3" t="n"/>
      <c r="J329" s="3" t="n"/>
      <c r="K329" s="3" t="n"/>
      <c r="L329" s="3" t="n"/>
      <c r="M329" s="3" t="n"/>
      <c r="N329" s="3" t="n"/>
      <c r="O329" s="3" t="n"/>
      <c r="P329" s="3" t="n"/>
      <c r="Q329" s="3" t="n"/>
      <c r="R329" s="3" t="n"/>
      <c r="S329" s="3" t="n"/>
    </row>
    <row r="330" ht="25" customHeight="1">
      <c r="A330" s="2" t="n"/>
      <c r="B330" s="2" t="n"/>
      <c r="C330" s="2" t="n"/>
      <c r="D330" s="2" t="n"/>
      <c r="E330" s="2" t="n"/>
      <c r="F330" s="2" t="n"/>
      <c r="G330" s="2" t="n"/>
      <c r="H330" s="2" t="n"/>
      <c r="I330" s="2" t="n"/>
      <c r="J330" s="2" t="n"/>
      <c r="K330" s="2" t="n"/>
      <c r="L330" s="2" t="n"/>
      <c r="M330" s="2" t="n"/>
      <c r="N330" s="2" t="n"/>
      <c r="O330" s="2" t="n"/>
      <c r="P330" s="2" t="n"/>
      <c r="Q330" s="2" t="n"/>
      <c r="R330" s="2" t="n"/>
      <c r="S330" s="2" t="n"/>
    </row>
    <row r="331" ht="25" customHeight="1">
      <c r="A331" s="3" t="n"/>
      <c r="B331" s="3" t="n"/>
      <c r="C331" s="3" t="n"/>
      <c r="D331" s="3" t="n"/>
      <c r="E331" s="3" t="n"/>
      <c r="F331" s="3" t="n"/>
      <c r="G331" s="3" t="n"/>
      <c r="H331" s="3" t="n"/>
      <c r="I331" s="3" t="n"/>
      <c r="J331" s="3" t="n"/>
      <c r="K331" s="3" t="n"/>
      <c r="L331" s="3" t="n"/>
      <c r="M331" s="3" t="n"/>
      <c r="N331" s="3" t="n"/>
      <c r="O331" s="3" t="n"/>
      <c r="P331" s="3" t="n"/>
      <c r="Q331" s="3" t="n"/>
      <c r="R331" s="3" t="n"/>
      <c r="S331" s="3" t="n"/>
    </row>
    <row r="332" ht="25" customHeight="1">
      <c r="A332" s="2" t="n"/>
      <c r="B332" s="2" t="n"/>
      <c r="C332" s="2" t="n"/>
      <c r="D332" s="2" t="n"/>
      <c r="E332" s="2" t="n"/>
      <c r="F332" s="2" t="n"/>
      <c r="G332" s="2" t="n"/>
      <c r="H332" s="2" t="n"/>
      <c r="I332" s="2" t="n"/>
      <c r="J332" s="2" t="n"/>
      <c r="K332" s="2" t="n"/>
      <c r="L332" s="2" t="n"/>
      <c r="M332" s="2" t="n"/>
      <c r="N332" s="2" t="n"/>
      <c r="O332" s="2" t="n"/>
      <c r="P332" s="2" t="n"/>
      <c r="Q332" s="2" t="n"/>
      <c r="R332" s="2" t="n"/>
      <c r="S332" s="2" t="n"/>
    </row>
    <row r="333" ht="25" customHeight="1">
      <c r="A333" s="3" t="n"/>
      <c r="B333" s="3" t="n"/>
      <c r="C333" s="3" t="n"/>
      <c r="D333" s="3" t="n"/>
      <c r="E333" s="3" t="n"/>
      <c r="F333" s="3" t="n"/>
      <c r="G333" s="3" t="n"/>
      <c r="H333" s="3" t="n"/>
      <c r="I333" s="3" t="n"/>
      <c r="J333" s="3" t="n"/>
      <c r="K333" s="3" t="n"/>
      <c r="L333" s="3" t="n"/>
      <c r="M333" s="3" t="n"/>
      <c r="N333" s="3" t="n"/>
      <c r="O333" s="3" t="n"/>
      <c r="P333" s="3" t="n"/>
      <c r="Q333" s="3" t="n"/>
      <c r="R333" s="3" t="n"/>
      <c r="S333" s="3" t="n"/>
    </row>
    <row r="334" ht="25" customHeight="1">
      <c r="A334" s="2" t="n"/>
      <c r="B334" s="2" t="n"/>
      <c r="C334" s="2" t="n"/>
      <c r="D334" s="2" t="n"/>
      <c r="E334" s="2" t="n"/>
      <c r="F334" s="2" t="n"/>
      <c r="G334" s="2" t="n"/>
      <c r="H334" s="2" t="n"/>
      <c r="I334" s="2" t="n"/>
      <c r="J334" s="2" t="n"/>
      <c r="K334" s="2" t="n"/>
      <c r="L334" s="2" t="n"/>
      <c r="M334" s="2" t="n"/>
      <c r="N334" s="2" t="n"/>
      <c r="O334" s="2" t="n"/>
      <c r="P334" s="2" t="n"/>
      <c r="Q334" s="2" t="n"/>
      <c r="R334" s="2" t="n"/>
      <c r="S334" s="2" t="n"/>
    </row>
    <row r="335" ht="25" customHeight="1">
      <c r="A335" s="3" t="n"/>
      <c r="B335" s="3" t="n"/>
      <c r="C335" s="3" t="n"/>
      <c r="D335" s="3" t="n"/>
      <c r="E335" s="3" t="n"/>
      <c r="F335" s="3" t="n"/>
      <c r="G335" s="3" t="n"/>
      <c r="H335" s="3" t="n"/>
      <c r="I335" s="3" t="n"/>
      <c r="J335" s="3" t="n"/>
      <c r="K335" s="3" t="n"/>
      <c r="L335" s="3" t="n"/>
      <c r="M335" s="3" t="n"/>
      <c r="N335" s="3" t="n"/>
      <c r="O335" s="3" t="n"/>
      <c r="P335" s="3" t="n"/>
      <c r="Q335" s="3" t="n"/>
      <c r="R335" s="3" t="n"/>
      <c r="S335" s="3" t="n"/>
    </row>
    <row r="336" ht="25" customHeight="1">
      <c r="A336" s="2" t="n"/>
      <c r="B336" s="2" t="n"/>
      <c r="C336" s="2" t="n"/>
      <c r="D336" s="2" t="n"/>
      <c r="E336" s="2" t="n"/>
      <c r="F336" s="2" t="n"/>
      <c r="G336" s="2" t="n"/>
      <c r="H336" s="2" t="n"/>
      <c r="I336" s="2" t="n"/>
      <c r="J336" s="2" t="n"/>
      <c r="K336" s="2" t="n"/>
      <c r="L336" s="2" t="n"/>
      <c r="M336" s="2" t="n"/>
      <c r="N336" s="2" t="n"/>
      <c r="O336" s="2" t="n"/>
      <c r="P336" s="2" t="n"/>
      <c r="Q336" s="2" t="n"/>
      <c r="R336" s="2" t="n"/>
      <c r="S336" s="2" t="n"/>
    </row>
    <row r="337" ht="25" customHeight="1">
      <c r="A337" s="3" t="n"/>
      <c r="B337" s="3" t="n"/>
      <c r="C337" s="3" t="n"/>
      <c r="D337" s="3" t="n"/>
      <c r="E337" s="3" t="n"/>
      <c r="F337" s="3" t="n"/>
      <c r="G337" s="3" t="n"/>
      <c r="H337" s="3" t="n"/>
      <c r="I337" s="3" t="n"/>
      <c r="J337" s="3" t="n"/>
      <c r="K337" s="3" t="n"/>
      <c r="L337" s="3" t="n"/>
      <c r="M337" s="3" t="n"/>
      <c r="N337" s="3" t="n"/>
      <c r="O337" s="3" t="n"/>
      <c r="P337" s="3" t="n"/>
      <c r="Q337" s="3" t="n"/>
      <c r="R337" s="3" t="n"/>
      <c r="S337" s="3" t="n"/>
    </row>
    <row r="338" ht="25" customHeight="1">
      <c r="A338" s="2" t="n"/>
      <c r="B338" s="2" t="n"/>
      <c r="C338" s="2" t="n"/>
      <c r="D338" s="2" t="n"/>
      <c r="E338" s="2" t="n"/>
      <c r="F338" s="2" t="n"/>
      <c r="G338" s="2" t="n"/>
      <c r="H338" s="2" t="n"/>
      <c r="I338" s="2" t="n"/>
      <c r="J338" s="2" t="n"/>
      <c r="K338" s="2" t="n"/>
      <c r="L338" s="2" t="n"/>
      <c r="M338" s="2" t="n"/>
      <c r="N338" s="2" t="n"/>
      <c r="O338" s="2" t="n"/>
      <c r="P338" s="2" t="n"/>
      <c r="Q338" s="2" t="n"/>
      <c r="R338" s="2" t="n"/>
      <c r="S338" s="2" t="n"/>
    </row>
    <row r="339" ht="25" customHeight="1">
      <c r="A339" s="3" t="n"/>
      <c r="B339" s="3" t="n"/>
      <c r="C339" s="3" t="n"/>
      <c r="D339" s="3" t="n"/>
      <c r="E339" s="3" t="n"/>
      <c r="F339" s="3" t="n"/>
      <c r="G339" s="3" t="n"/>
      <c r="H339" s="3" t="n"/>
      <c r="I339" s="3" t="n"/>
      <c r="J339" s="3" t="n"/>
      <c r="K339" s="3" t="n"/>
      <c r="L339" s="3" t="n"/>
      <c r="M339" s="3" t="n"/>
      <c r="N339" s="3" t="n"/>
      <c r="O339" s="3" t="n"/>
      <c r="P339" s="3" t="n"/>
      <c r="Q339" s="3" t="n"/>
      <c r="R339" s="3" t="n"/>
      <c r="S339" s="3" t="n"/>
    </row>
    <row r="340" ht="25" customHeight="1">
      <c r="A340" s="2" t="n"/>
      <c r="B340" s="2" t="n"/>
      <c r="C340" s="2" t="n"/>
      <c r="D340" s="2" t="n"/>
      <c r="E340" s="2" t="n"/>
      <c r="F340" s="2" t="n"/>
      <c r="G340" s="2" t="n"/>
      <c r="H340" s="2" t="n"/>
      <c r="I340" s="2" t="n"/>
      <c r="J340" s="2" t="n"/>
      <c r="K340" s="2" t="n"/>
      <c r="L340" s="2" t="n"/>
      <c r="M340" s="2" t="n"/>
      <c r="N340" s="2" t="n"/>
      <c r="O340" s="2" t="n"/>
      <c r="P340" s="2" t="n"/>
      <c r="Q340" s="2" t="n"/>
      <c r="R340" s="2" t="n"/>
      <c r="S340" s="2" t="n"/>
    </row>
    <row r="341" ht="25" customHeight="1">
      <c r="A341" s="3" t="n"/>
      <c r="B341" s="3" t="n"/>
      <c r="C341" s="3" t="n"/>
      <c r="D341" s="3" t="n"/>
      <c r="E341" s="3" t="n"/>
      <c r="F341" s="3" t="n"/>
      <c r="G341" s="3" t="n"/>
      <c r="H341" s="3" t="n"/>
      <c r="I341" s="3" t="n"/>
      <c r="J341" s="3" t="n"/>
      <c r="K341" s="3" t="n"/>
      <c r="L341" s="3" t="n"/>
      <c r="M341" s="3" t="n"/>
      <c r="N341" s="3" t="n"/>
      <c r="O341" s="3" t="n"/>
      <c r="P341" s="3" t="n"/>
      <c r="Q341" s="3" t="n"/>
      <c r="R341" s="3" t="n"/>
      <c r="S341" s="3" t="n"/>
    </row>
    <row r="342" ht="25" customHeight="1">
      <c r="A342" s="2" t="n"/>
      <c r="B342" s="2" t="n"/>
      <c r="C342" s="2" t="n"/>
      <c r="D342" s="2" t="n"/>
      <c r="E342" s="2" t="n"/>
      <c r="F342" s="2" t="n"/>
      <c r="G342" s="2" t="n"/>
      <c r="H342" s="2" t="n"/>
      <c r="I342" s="2" t="n"/>
      <c r="J342" s="2" t="n"/>
      <c r="K342" s="2" t="n"/>
      <c r="L342" s="2" t="n"/>
      <c r="M342" s="2" t="n"/>
      <c r="N342" s="2" t="n"/>
      <c r="O342" s="2" t="n"/>
      <c r="P342" s="2" t="n"/>
      <c r="Q342" s="2" t="n"/>
      <c r="R342" s="2" t="n"/>
      <c r="S342" s="2" t="n"/>
    </row>
    <row r="343" ht="25" customHeight="1">
      <c r="A343" s="3" t="n"/>
      <c r="B343" s="3" t="n"/>
      <c r="C343" s="3" t="n"/>
      <c r="D343" s="3" t="n"/>
      <c r="E343" s="3" t="n"/>
      <c r="F343" s="3" t="n"/>
      <c r="G343" s="3" t="n"/>
      <c r="H343" s="3" t="n"/>
      <c r="I343" s="3" t="n"/>
      <c r="J343" s="3" t="n"/>
      <c r="K343" s="3" t="n"/>
      <c r="L343" s="3" t="n"/>
      <c r="M343" s="3" t="n"/>
      <c r="N343" s="3" t="n"/>
      <c r="O343" s="3" t="n"/>
      <c r="P343" s="3" t="n"/>
      <c r="Q343" s="3" t="n"/>
      <c r="R343" s="3" t="n"/>
      <c r="S343" s="3" t="n"/>
    </row>
    <row r="344" ht="25" customHeight="1">
      <c r="A344" s="2" t="n"/>
      <c r="B344" s="2" t="n"/>
      <c r="C344" s="2" t="n"/>
      <c r="D344" s="2" t="n"/>
      <c r="E344" s="2" t="n"/>
      <c r="F344" s="2" t="n"/>
      <c r="G344" s="2" t="n"/>
      <c r="H344" s="2" t="n"/>
      <c r="I344" s="2" t="n"/>
      <c r="J344" s="2" t="n"/>
      <c r="K344" s="2" t="n"/>
      <c r="L344" s="2" t="n"/>
      <c r="M344" s="2" t="n"/>
      <c r="N344" s="2" t="n"/>
      <c r="O344" s="2" t="n"/>
      <c r="P344" s="2" t="n"/>
      <c r="Q344" s="2" t="n"/>
      <c r="R344" s="2" t="n"/>
      <c r="S344" s="2" t="n"/>
    </row>
    <row r="345" ht="25" customHeight="1">
      <c r="A345" s="3" t="n"/>
      <c r="B345" s="3" t="n"/>
      <c r="C345" s="3" t="n"/>
      <c r="D345" s="3" t="n"/>
      <c r="E345" s="3" t="n"/>
      <c r="F345" s="3" t="n"/>
      <c r="G345" s="3" t="n"/>
      <c r="H345" s="3" t="n"/>
      <c r="I345" s="3" t="n"/>
      <c r="J345" s="3" t="n"/>
      <c r="K345" s="3" t="n"/>
      <c r="L345" s="3" t="n"/>
      <c r="M345" s="3" t="n"/>
      <c r="N345" s="3" t="n"/>
      <c r="O345" s="3" t="n"/>
      <c r="P345" s="3" t="n"/>
      <c r="Q345" s="3" t="n"/>
      <c r="R345" s="3" t="n"/>
      <c r="S345" s="3" t="n"/>
    </row>
    <row r="346" ht="25" customHeight="1">
      <c r="A346" s="2" t="n"/>
      <c r="B346" s="2" t="n"/>
      <c r="C346" s="2" t="n"/>
      <c r="D346" s="2" t="n"/>
      <c r="E346" s="2" t="n"/>
      <c r="F346" s="2" t="n"/>
      <c r="G346" s="2" t="n"/>
      <c r="H346" s="2" t="n"/>
      <c r="I346" s="2" t="n"/>
      <c r="J346" s="2" t="n"/>
      <c r="K346" s="2" t="n"/>
      <c r="L346" s="2" t="n"/>
      <c r="M346" s="2" t="n"/>
      <c r="N346" s="2" t="n"/>
      <c r="O346" s="2" t="n"/>
      <c r="P346" s="2" t="n"/>
      <c r="Q346" s="2" t="n"/>
      <c r="R346" s="2" t="n"/>
      <c r="S346" s="2" t="n"/>
    </row>
    <row r="347" ht="25" customHeight="1">
      <c r="A347" s="3" t="n"/>
      <c r="B347" s="3" t="n"/>
      <c r="C347" s="3" t="n"/>
      <c r="D347" s="3" t="n"/>
      <c r="E347" s="3" t="n"/>
      <c r="F347" s="3" t="n"/>
      <c r="G347" s="3" t="n"/>
      <c r="H347" s="3" t="n"/>
      <c r="I347" s="3" t="n"/>
      <c r="J347" s="3" t="n"/>
      <c r="K347" s="3" t="n"/>
      <c r="L347" s="3" t="n"/>
      <c r="M347" s="3" t="n"/>
      <c r="N347" s="3" t="n"/>
      <c r="O347" s="3" t="n"/>
      <c r="P347" s="3" t="n"/>
      <c r="Q347" s="3" t="n"/>
      <c r="R347" s="3" t="n"/>
      <c r="S347" s="3" t="n"/>
    </row>
    <row r="348" ht="25" customHeight="1">
      <c r="A348" s="2" t="n"/>
      <c r="B348" s="2" t="n"/>
      <c r="C348" s="2" t="n"/>
      <c r="D348" s="2" t="n"/>
      <c r="E348" s="2" t="n"/>
      <c r="F348" s="2" t="n"/>
      <c r="G348" s="2" t="n"/>
      <c r="H348" s="2" t="n"/>
      <c r="I348" s="2" t="n"/>
      <c r="J348" s="2" t="n"/>
      <c r="K348" s="2" t="n"/>
      <c r="L348" s="2" t="n"/>
      <c r="M348" s="2" t="n"/>
      <c r="N348" s="2" t="n"/>
      <c r="O348" s="2" t="n"/>
      <c r="P348" s="2" t="n"/>
      <c r="Q348" s="2" t="n"/>
      <c r="R348" s="2" t="n"/>
      <c r="S348" s="2" t="n"/>
    </row>
    <row r="349" ht="25" customHeight="1">
      <c r="A349" s="3" t="n"/>
      <c r="B349" s="3" t="n"/>
      <c r="C349" s="3" t="n"/>
      <c r="D349" s="3" t="n"/>
      <c r="E349" s="3" t="n"/>
      <c r="F349" s="3" t="n"/>
      <c r="G349" s="3" t="n"/>
      <c r="H349" s="3" t="n"/>
      <c r="I349" s="3" t="n"/>
      <c r="J349" s="3" t="n"/>
      <c r="K349" s="3" t="n"/>
      <c r="L349" s="3" t="n"/>
      <c r="M349" s="3" t="n"/>
      <c r="N349" s="3" t="n"/>
      <c r="O349" s="3" t="n"/>
      <c r="P349" s="3" t="n"/>
      <c r="Q349" s="3" t="n"/>
      <c r="R349" s="3" t="n"/>
      <c r="S349" s="3" t="n"/>
    </row>
    <row r="350" ht="25" customHeight="1">
      <c r="A350" s="2" t="n"/>
      <c r="B350" s="2" t="n"/>
      <c r="C350" s="2" t="n"/>
      <c r="D350" s="2" t="n"/>
      <c r="E350" s="2" t="n"/>
      <c r="F350" s="2" t="n"/>
      <c r="G350" s="2" t="n"/>
      <c r="H350" s="2" t="n"/>
      <c r="I350" s="2" t="n"/>
      <c r="J350" s="2" t="n"/>
      <c r="K350" s="2" t="n"/>
      <c r="L350" s="2" t="n"/>
      <c r="M350" s="2" t="n"/>
      <c r="N350" s="2" t="n"/>
      <c r="O350" s="2" t="n"/>
      <c r="P350" s="2" t="n"/>
      <c r="Q350" s="2" t="n"/>
      <c r="R350" s="2" t="n"/>
      <c r="S350" s="2" t="n"/>
    </row>
    <row r="351" ht="25" customHeight="1">
      <c r="A351" s="3" t="n"/>
      <c r="B351" s="3" t="n"/>
      <c r="C351" s="3" t="n"/>
      <c r="D351" s="3" t="n"/>
      <c r="E351" s="3" t="n"/>
      <c r="F351" s="3" t="n"/>
      <c r="G351" s="3" t="n"/>
      <c r="H351" s="3" t="n"/>
      <c r="I351" s="3" t="n"/>
      <c r="J351" s="3" t="n"/>
      <c r="K351" s="3" t="n"/>
      <c r="L351" s="3" t="n"/>
      <c r="M351" s="3" t="n"/>
      <c r="N351" s="3" t="n"/>
      <c r="O351" s="3" t="n"/>
      <c r="P351" s="3" t="n"/>
      <c r="Q351" s="3" t="n"/>
      <c r="R351" s="3" t="n"/>
      <c r="S351" s="3" t="n"/>
    </row>
    <row r="352" ht="25" customHeight="1">
      <c r="A352" s="2" t="n"/>
      <c r="B352" s="2" t="n"/>
      <c r="C352" s="2" t="n"/>
      <c r="D352" s="2" t="n"/>
      <c r="E352" s="2" t="n"/>
      <c r="F352" s="2" t="n"/>
      <c r="G352" s="2" t="n"/>
      <c r="H352" s="2" t="n"/>
      <c r="I352" s="2" t="n"/>
      <c r="J352" s="2" t="n"/>
      <c r="K352" s="2" t="n"/>
      <c r="L352" s="2" t="n"/>
      <c r="M352" s="2" t="n"/>
      <c r="N352" s="2" t="n"/>
      <c r="O352" s="2" t="n"/>
      <c r="P352" s="2" t="n"/>
      <c r="Q352" s="2" t="n"/>
      <c r="R352" s="2" t="n"/>
      <c r="S352" s="2" t="n"/>
    </row>
    <row r="353" ht="25" customHeight="1">
      <c r="A353" s="3" t="n"/>
      <c r="B353" s="3" t="n"/>
      <c r="C353" s="3" t="n"/>
      <c r="D353" s="3" t="n"/>
      <c r="E353" s="3" t="n"/>
      <c r="F353" s="3" t="n"/>
      <c r="G353" s="3" t="n"/>
      <c r="H353" s="3" t="n"/>
      <c r="I353" s="3" t="n"/>
      <c r="J353" s="3" t="n"/>
      <c r="K353" s="3" t="n"/>
      <c r="L353" s="3" t="n"/>
      <c r="M353" s="3" t="n"/>
      <c r="N353" s="3" t="n"/>
      <c r="O353" s="3" t="n"/>
      <c r="P353" s="3" t="n"/>
      <c r="Q353" s="3" t="n"/>
      <c r="R353" s="3" t="n"/>
      <c r="S353" s="3" t="n"/>
    </row>
    <row r="354" ht="25" customHeight="1">
      <c r="A354" s="2" t="n"/>
      <c r="B354" s="2" t="n"/>
      <c r="C354" s="2" t="n"/>
      <c r="D354" s="2" t="n"/>
      <c r="E354" s="2" t="n"/>
      <c r="F354" s="2" t="n"/>
      <c r="G354" s="2" t="n"/>
      <c r="H354" s="2" t="n"/>
      <c r="I354" s="2" t="n"/>
      <c r="J354" s="2" t="n"/>
      <c r="K354" s="2" t="n"/>
      <c r="L354" s="2" t="n"/>
      <c r="M354" s="2" t="n"/>
      <c r="N354" s="2" t="n"/>
      <c r="O354" s="2" t="n"/>
      <c r="P354" s="2" t="n"/>
      <c r="Q354" s="2" t="n"/>
      <c r="R354" s="2" t="n"/>
      <c r="S354" s="2" t="n"/>
    </row>
    <row r="355" ht="25" customHeight="1">
      <c r="A355" s="3" t="n"/>
      <c r="B355" s="3" t="n"/>
      <c r="C355" s="3" t="n"/>
      <c r="D355" s="3" t="n"/>
      <c r="E355" s="3" t="n"/>
      <c r="F355" s="3" t="n"/>
      <c r="G355" s="3" t="n"/>
      <c r="H355" s="3" t="n"/>
      <c r="I355" s="3" t="n"/>
      <c r="J355" s="3" t="n"/>
      <c r="K355" s="3" t="n"/>
      <c r="L355" s="3" t="n"/>
      <c r="M355" s="3" t="n"/>
      <c r="N355" s="3" t="n"/>
      <c r="O355" s="3" t="n"/>
      <c r="P355" s="3" t="n"/>
      <c r="Q355" s="3" t="n"/>
      <c r="R355" s="3" t="n"/>
      <c r="S355" s="3" t="n"/>
    </row>
    <row r="356" ht="25" customHeight="1">
      <c r="A356" s="2" t="n"/>
      <c r="B356" s="2" t="n"/>
      <c r="C356" s="2" t="n"/>
      <c r="D356" s="2" t="n"/>
      <c r="E356" s="2" t="n"/>
      <c r="F356" s="2" t="n"/>
      <c r="G356" s="2" t="n"/>
      <c r="H356" s="2" t="n"/>
      <c r="I356" s="2" t="n"/>
      <c r="J356" s="2" t="n"/>
      <c r="K356" s="2" t="n"/>
      <c r="L356" s="2" t="n"/>
      <c r="M356" s="2" t="n"/>
      <c r="N356" s="2" t="n"/>
      <c r="O356" s="2" t="n"/>
      <c r="P356" s="2" t="n"/>
      <c r="Q356" s="2" t="n"/>
      <c r="R356" s="2" t="n"/>
      <c r="S356" s="2" t="n"/>
    </row>
    <row r="357" ht="25" customHeight="1">
      <c r="A357" s="3" t="n"/>
      <c r="B357" s="3" t="n"/>
      <c r="C357" s="3" t="n"/>
      <c r="D357" s="3" t="n"/>
      <c r="E357" s="3" t="n"/>
      <c r="F357" s="3" t="n"/>
      <c r="G357" s="3" t="n"/>
      <c r="H357" s="3" t="n"/>
      <c r="I357" s="3" t="n"/>
      <c r="J357" s="3" t="n"/>
      <c r="K357" s="3" t="n"/>
      <c r="L357" s="3" t="n"/>
      <c r="M357" s="3" t="n"/>
      <c r="N357" s="3" t="n"/>
      <c r="O357" s="3" t="n"/>
      <c r="P357" s="3" t="n"/>
      <c r="Q357" s="3" t="n"/>
      <c r="R357" s="3" t="n"/>
      <c r="S357" s="3" t="n"/>
    </row>
    <row r="358" ht="25" customHeight="1">
      <c r="A358" s="2" t="n"/>
      <c r="B358" s="2" t="n"/>
      <c r="C358" s="2" t="n"/>
      <c r="D358" s="2" t="n"/>
      <c r="E358" s="2" t="n"/>
      <c r="F358" s="2" t="n"/>
      <c r="G358" s="2" t="n"/>
      <c r="H358" s="2" t="n"/>
      <c r="I358" s="2" t="n"/>
      <c r="J358" s="2" t="n"/>
      <c r="K358" s="2" t="n"/>
      <c r="L358" s="2" t="n"/>
      <c r="M358" s="2" t="n"/>
      <c r="N358" s="2" t="n"/>
      <c r="O358" s="2" t="n"/>
      <c r="P358" s="2" t="n"/>
      <c r="Q358" s="2" t="n"/>
      <c r="R358" s="2" t="n"/>
      <c r="S358" s="2" t="n"/>
    </row>
    <row r="359" ht="25" customHeight="1">
      <c r="A359" s="3" t="n"/>
      <c r="B359" s="3" t="n"/>
      <c r="C359" s="3" t="n"/>
      <c r="D359" s="3" t="n"/>
      <c r="E359" s="3" t="n"/>
      <c r="F359" s="3" t="n"/>
      <c r="G359" s="3" t="n"/>
      <c r="H359" s="3" t="n"/>
      <c r="I359" s="3" t="n"/>
      <c r="J359" s="3" t="n"/>
      <c r="K359" s="3" t="n"/>
      <c r="L359" s="3" t="n"/>
      <c r="M359" s="3" t="n"/>
      <c r="N359" s="3" t="n"/>
      <c r="O359" s="3" t="n"/>
      <c r="P359" s="3" t="n"/>
      <c r="Q359" s="3" t="n"/>
      <c r="R359" s="3" t="n"/>
      <c r="S359" s="3" t="n"/>
    </row>
    <row r="360" ht="25" customHeight="1">
      <c r="A360" s="2" t="n"/>
      <c r="B360" s="2" t="n"/>
      <c r="C360" s="2" t="n"/>
      <c r="D360" s="2" t="n"/>
      <c r="E360" s="2" t="n"/>
      <c r="F360" s="2" t="n"/>
      <c r="G360" s="2" t="n"/>
      <c r="H360" s="2" t="n"/>
      <c r="I360" s="2" t="n"/>
      <c r="J360" s="2" t="n"/>
      <c r="K360" s="2" t="n"/>
      <c r="L360" s="2" t="n"/>
      <c r="M360" s="2" t="n"/>
      <c r="N360" s="2" t="n"/>
      <c r="O360" s="2" t="n"/>
      <c r="P360" s="2" t="n"/>
      <c r="Q360" s="2" t="n"/>
      <c r="R360" s="2" t="n"/>
      <c r="S360" s="2" t="n"/>
    </row>
    <row r="361" ht="25" customHeight="1">
      <c r="A361" s="3" t="n"/>
      <c r="B361" s="3" t="n"/>
      <c r="C361" s="3" t="n"/>
      <c r="D361" s="3" t="n"/>
      <c r="E361" s="3" t="n"/>
      <c r="F361" s="3" t="n"/>
      <c r="G361" s="3" t="n"/>
      <c r="H361" s="3" t="n"/>
      <c r="I361" s="3" t="n"/>
      <c r="J361" s="3" t="n"/>
      <c r="K361" s="3" t="n"/>
      <c r="L361" s="3" t="n"/>
      <c r="M361" s="3" t="n"/>
      <c r="N361" s="3" t="n"/>
      <c r="O361" s="3" t="n"/>
      <c r="P361" s="3" t="n"/>
      <c r="Q361" s="3" t="n"/>
      <c r="R361" s="3" t="n"/>
      <c r="S361" s="3" t="n"/>
    </row>
    <row r="362" ht="25" customHeight="1">
      <c r="A362" s="2" t="n"/>
      <c r="B362" s="2" t="n"/>
      <c r="C362" s="2" t="n"/>
      <c r="D362" s="2" t="n"/>
      <c r="E362" s="2" t="n"/>
      <c r="F362" s="2" t="n"/>
      <c r="G362" s="2" t="n"/>
      <c r="H362" s="2" t="n"/>
      <c r="I362" s="2" t="n"/>
      <c r="J362" s="2" t="n"/>
      <c r="K362" s="2" t="n"/>
      <c r="L362" s="2" t="n"/>
      <c r="M362" s="2" t="n"/>
      <c r="N362" s="2" t="n"/>
      <c r="O362" s="2" t="n"/>
      <c r="P362" s="2" t="n"/>
      <c r="Q362" s="2" t="n"/>
      <c r="R362" s="2" t="n"/>
      <c r="S362" s="2" t="n"/>
    </row>
    <row r="363" ht="25" customHeight="1">
      <c r="A363" s="3" t="n"/>
      <c r="B363" s="3" t="n"/>
      <c r="C363" s="3" t="n"/>
      <c r="D363" s="3" t="n"/>
      <c r="E363" s="3" t="n"/>
      <c r="F363" s="3" t="n"/>
      <c r="G363" s="3" t="n"/>
      <c r="H363" s="3" t="n"/>
      <c r="I363" s="3" t="n"/>
      <c r="J363" s="3" t="n"/>
      <c r="K363" s="3" t="n"/>
      <c r="L363" s="3" t="n"/>
      <c r="M363" s="3" t="n"/>
      <c r="N363" s="3" t="n"/>
      <c r="O363" s="3" t="n"/>
      <c r="P363" s="3" t="n"/>
      <c r="Q363" s="3" t="n"/>
      <c r="R363" s="3" t="n"/>
      <c r="S363" s="3" t="n"/>
    </row>
    <row r="364" ht="25" customHeight="1">
      <c r="A364" s="2" t="n"/>
      <c r="B364" s="2" t="n"/>
      <c r="C364" s="2" t="n"/>
      <c r="D364" s="2" t="n"/>
      <c r="E364" s="2" t="n"/>
      <c r="F364" s="2" t="n"/>
      <c r="G364" s="2" t="n"/>
      <c r="H364" s="2" t="n"/>
      <c r="I364" s="2" t="n"/>
      <c r="J364" s="2" t="n"/>
      <c r="K364" s="2" t="n"/>
      <c r="L364" s="2" t="n"/>
      <c r="M364" s="2" t="n"/>
      <c r="N364" s="2" t="n"/>
      <c r="O364" s="2" t="n"/>
      <c r="P364" s="2" t="n"/>
      <c r="Q364" s="2" t="n"/>
      <c r="R364" s="2" t="n"/>
      <c r="S364" s="2" t="n"/>
    </row>
    <row r="365" ht="25" customHeight="1">
      <c r="A365" s="3" t="n"/>
      <c r="B365" s="3" t="n"/>
      <c r="C365" s="3" t="n"/>
      <c r="D365" s="3" t="n"/>
      <c r="E365" s="3" t="n"/>
      <c r="F365" s="3" t="n"/>
      <c r="G365" s="3" t="n"/>
      <c r="H365" s="3" t="n"/>
      <c r="I365" s="3" t="n"/>
      <c r="J365" s="3" t="n"/>
      <c r="K365" s="3" t="n"/>
      <c r="L365" s="3" t="n"/>
      <c r="M365" s="3" t="n"/>
      <c r="N365" s="3" t="n"/>
      <c r="O365" s="3" t="n"/>
      <c r="P365" s="3" t="n"/>
      <c r="Q365" s="3" t="n"/>
      <c r="R365" s="3" t="n"/>
      <c r="S365" s="3" t="n"/>
    </row>
    <row r="366" ht="25" customHeight="1">
      <c r="A366" s="2" t="n"/>
      <c r="B366" s="2" t="n"/>
      <c r="C366" s="2" t="n"/>
      <c r="D366" s="2" t="n"/>
      <c r="E366" s="2" t="n"/>
      <c r="F366" s="2" t="n"/>
      <c r="G366" s="2" t="n"/>
      <c r="H366" s="2" t="n"/>
      <c r="I366" s="2" t="n"/>
      <c r="J366" s="2" t="n"/>
      <c r="K366" s="2" t="n"/>
      <c r="L366" s="2" t="n"/>
      <c r="M366" s="2" t="n"/>
      <c r="N366" s="2" t="n"/>
      <c r="O366" s="2" t="n"/>
      <c r="P366" s="2" t="n"/>
      <c r="Q366" s="2" t="n"/>
      <c r="R366" s="2" t="n"/>
      <c r="S366" s="2" t="n"/>
    </row>
    <row r="367" ht="25" customHeight="1">
      <c r="A367" s="3" t="n"/>
      <c r="B367" s="3" t="n"/>
      <c r="C367" s="3" t="n"/>
      <c r="D367" s="3" t="n"/>
      <c r="E367" s="3" t="n"/>
      <c r="F367" s="3" t="n"/>
      <c r="G367" s="3" t="n"/>
      <c r="H367" s="3" t="n"/>
      <c r="I367" s="3" t="n"/>
      <c r="J367" s="3" t="n"/>
      <c r="K367" s="3" t="n"/>
      <c r="L367" s="3" t="n"/>
      <c r="M367" s="3" t="n"/>
      <c r="N367" s="3" t="n"/>
      <c r="O367" s="3" t="n"/>
      <c r="P367" s="3" t="n"/>
      <c r="Q367" s="3" t="n"/>
      <c r="R367" s="3" t="n"/>
      <c r="S367" s="3" t="n"/>
    </row>
    <row r="368" ht="25" customHeight="1">
      <c r="A368" s="2" t="n"/>
      <c r="B368" s="2" t="n"/>
      <c r="C368" s="2" t="n"/>
      <c r="D368" s="2" t="n"/>
      <c r="E368" s="2" t="n"/>
      <c r="F368" s="2" t="n"/>
      <c r="G368" s="2" t="n"/>
      <c r="H368" s="2" t="n"/>
      <c r="I368" s="2" t="n"/>
      <c r="J368" s="2" t="n"/>
      <c r="K368" s="2" t="n"/>
      <c r="L368" s="2" t="n"/>
      <c r="M368" s="2" t="n"/>
      <c r="N368" s="2" t="n"/>
      <c r="O368" s="2" t="n"/>
      <c r="P368" s="2" t="n"/>
      <c r="Q368" s="2" t="n"/>
      <c r="R368" s="2" t="n"/>
      <c r="S368" s="2" t="n"/>
    </row>
    <row r="369" ht="25" customHeight="1">
      <c r="A369" s="3" t="n"/>
      <c r="B369" s="3" t="n"/>
      <c r="C369" s="3" t="n"/>
      <c r="D369" s="3" t="n"/>
      <c r="E369" s="3" t="n"/>
      <c r="F369" s="3" t="n"/>
      <c r="G369" s="3" t="n"/>
      <c r="H369" s="3" t="n"/>
      <c r="I369" s="3" t="n"/>
      <c r="J369" s="3" t="n"/>
      <c r="K369" s="3" t="n"/>
      <c r="L369" s="3" t="n"/>
      <c r="M369" s="3" t="n"/>
      <c r="N369" s="3" t="n"/>
      <c r="O369" s="3" t="n"/>
      <c r="P369" s="3" t="n"/>
      <c r="Q369" s="3" t="n"/>
      <c r="R369" s="3" t="n"/>
      <c r="S369" s="3" t="n"/>
    </row>
    <row r="370" ht="25" customHeight="1">
      <c r="A370" s="2" t="n"/>
      <c r="B370" s="2" t="n"/>
      <c r="C370" s="2" t="n"/>
      <c r="D370" s="2" t="n"/>
      <c r="E370" s="2" t="n"/>
      <c r="F370" s="2" t="n"/>
      <c r="G370" s="2" t="n"/>
      <c r="H370" s="2" t="n"/>
      <c r="I370" s="2" t="n"/>
      <c r="J370" s="2" t="n"/>
      <c r="K370" s="2" t="n"/>
      <c r="L370" s="2" t="n"/>
      <c r="M370" s="2" t="n"/>
      <c r="N370" s="2" t="n"/>
      <c r="O370" s="2" t="n"/>
      <c r="P370" s="2" t="n"/>
      <c r="Q370" s="2" t="n"/>
      <c r="R370" s="2" t="n"/>
      <c r="S370" s="2" t="n"/>
    </row>
    <row r="371" ht="25" customHeight="1">
      <c r="A371" s="3" t="n"/>
      <c r="B371" s="3" t="n"/>
      <c r="C371" s="3" t="n"/>
      <c r="D371" s="3" t="n"/>
      <c r="E371" s="3" t="n"/>
      <c r="F371" s="3" t="n"/>
      <c r="G371" s="3" t="n"/>
      <c r="H371" s="3" t="n"/>
      <c r="I371" s="3" t="n"/>
      <c r="J371" s="3" t="n"/>
      <c r="K371" s="3" t="n"/>
      <c r="L371" s="3" t="n"/>
      <c r="M371" s="3" t="n"/>
      <c r="N371" s="3" t="n"/>
      <c r="O371" s="3" t="n"/>
      <c r="P371" s="3" t="n"/>
      <c r="Q371" s="3" t="n"/>
      <c r="R371" s="3" t="n"/>
      <c r="S371" s="3" t="n"/>
    </row>
    <row r="372" ht="25" customHeight="1">
      <c r="A372" s="2" t="n"/>
      <c r="B372" s="2" t="n"/>
      <c r="C372" s="2" t="n"/>
      <c r="D372" s="2" t="n"/>
      <c r="E372" s="2" t="n"/>
      <c r="F372" s="2" t="n"/>
      <c r="G372" s="2" t="n"/>
      <c r="H372" s="2" t="n"/>
      <c r="I372" s="2" t="n"/>
      <c r="J372" s="2" t="n"/>
      <c r="K372" s="2" t="n"/>
      <c r="L372" s="2" t="n"/>
      <c r="M372" s="2" t="n"/>
      <c r="N372" s="2" t="n"/>
      <c r="O372" s="2" t="n"/>
      <c r="P372" s="2" t="n"/>
      <c r="Q372" s="2" t="n"/>
      <c r="R372" s="2" t="n"/>
      <c r="S372" s="2" t="n"/>
    </row>
    <row r="373" ht="25" customHeight="1">
      <c r="A373" s="3" t="n"/>
      <c r="B373" s="3" t="n"/>
      <c r="C373" s="3" t="n"/>
      <c r="D373" s="3" t="n"/>
      <c r="E373" s="3" t="n"/>
      <c r="F373" s="3" t="n"/>
      <c r="G373" s="3" t="n"/>
      <c r="H373" s="3" t="n"/>
      <c r="I373" s="3" t="n"/>
      <c r="J373" s="3" t="n"/>
      <c r="K373" s="3" t="n"/>
      <c r="L373" s="3" t="n"/>
      <c r="M373" s="3" t="n"/>
      <c r="N373" s="3" t="n"/>
      <c r="O373" s="3" t="n"/>
      <c r="P373" s="3" t="n"/>
      <c r="Q373" s="3" t="n"/>
      <c r="R373" s="3" t="n"/>
      <c r="S373" s="3" t="n"/>
    </row>
    <row r="374" ht="25" customHeight="1">
      <c r="A374" s="2" t="n"/>
      <c r="B374" s="2" t="n"/>
      <c r="C374" s="2" t="n"/>
      <c r="D374" s="2" t="n"/>
      <c r="E374" s="2" t="n"/>
      <c r="F374" s="2" t="n"/>
      <c r="G374" s="2" t="n"/>
      <c r="H374" s="2" t="n"/>
      <c r="I374" s="2" t="n"/>
      <c r="J374" s="2" t="n"/>
      <c r="K374" s="2" t="n"/>
      <c r="L374" s="2" t="n"/>
      <c r="M374" s="2" t="n"/>
      <c r="N374" s="2" t="n"/>
      <c r="O374" s="2" t="n"/>
      <c r="P374" s="2" t="n"/>
      <c r="Q374" s="2" t="n"/>
      <c r="R374" s="2" t="n"/>
      <c r="S374" s="2" t="n"/>
    </row>
    <row r="375" ht="25" customHeight="1">
      <c r="A375" s="3" t="n"/>
      <c r="B375" s="3" t="n"/>
      <c r="C375" s="3" t="n"/>
      <c r="D375" s="3" t="n"/>
      <c r="E375" s="3" t="n"/>
      <c r="F375" s="3" t="n"/>
      <c r="G375" s="3" t="n"/>
      <c r="H375" s="3" t="n"/>
      <c r="I375" s="3" t="n"/>
      <c r="J375" s="3" t="n"/>
      <c r="K375" s="3" t="n"/>
      <c r="L375" s="3" t="n"/>
      <c r="M375" s="3" t="n"/>
      <c r="N375" s="3" t="n"/>
      <c r="O375" s="3" t="n"/>
      <c r="P375" s="3" t="n"/>
      <c r="Q375" s="3" t="n"/>
      <c r="R375" s="3" t="n"/>
      <c r="S375" s="3" t="n"/>
    </row>
    <row r="376" ht="25" customHeight="1">
      <c r="A376" s="2" t="n"/>
      <c r="B376" s="2" t="n"/>
      <c r="C376" s="2" t="n"/>
      <c r="D376" s="2" t="n"/>
      <c r="E376" s="2" t="n"/>
      <c r="F376" s="2" t="n"/>
      <c r="G376" s="2" t="n"/>
      <c r="H376" s="2" t="n"/>
      <c r="I376" s="2" t="n"/>
      <c r="J376" s="2" t="n"/>
      <c r="K376" s="2" t="n"/>
      <c r="L376" s="2" t="n"/>
      <c r="M376" s="2" t="n"/>
      <c r="N376" s="2" t="n"/>
      <c r="O376" s="2" t="n"/>
      <c r="P376" s="2" t="n"/>
      <c r="Q376" s="2" t="n"/>
      <c r="R376" s="2" t="n"/>
      <c r="S376" s="2" t="n"/>
    </row>
    <row r="377" ht="25" customHeight="1">
      <c r="A377" s="3" t="n"/>
      <c r="B377" s="3" t="n"/>
      <c r="C377" s="3" t="n"/>
      <c r="D377" s="3" t="n"/>
      <c r="E377" s="3" t="n"/>
      <c r="F377" s="3" t="n"/>
      <c r="G377" s="3" t="n"/>
      <c r="H377" s="3" t="n"/>
      <c r="I377" s="3" t="n"/>
      <c r="J377" s="3" t="n"/>
      <c r="K377" s="3" t="n"/>
      <c r="L377" s="3" t="n"/>
      <c r="M377" s="3" t="n"/>
      <c r="N377" s="3" t="n"/>
      <c r="O377" s="3" t="n"/>
      <c r="P377" s="3" t="n"/>
      <c r="Q377" s="3" t="n"/>
      <c r="R377" s="3" t="n"/>
      <c r="S377" s="3" t="n"/>
    </row>
    <row r="378" ht="25" customHeight="1">
      <c r="A378" s="2" t="n"/>
      <c r="B378" s="2" t="n"/>
      <c r="C378" s="2" t="n"/>
      <c r="D378" s="2" t="n"/>
      <c r="E378" s="2" t="n"/>
      <c r="F378" s="2" t="n"/>
      <c r="G378" s="2" t="n"/>
      <c r="H378" s="2" t="n"/>
      <c r="I378" s="2" t="n"/>
      <c r="J378" s="2" t="n"/>
      <c r="K378" s="2" t="n"/>
      <c r="L378" s="2" t="n"/>
      <c r="M378" s="2" t="n"/>
      <c r="N378" s="2" t="n"/>
      <c r="O378" s="2" t="n"/>
      <c r="P378" s="2" t="n"/>
      <c r="Q378" s="2" t="n"/>
      <c r="R378" s="2" t="n"/>
      <c r="S378" s="2" t="n"/>
    </row>
    <row r="379" ht="25" customHeight="1">
      <c r="A379" s="3" t="n"/>
      <c r="B379" s="3" t="n"/>
      <c r="C379" s="3" t="n"/>
      <c r="D379" s="3" t="n"/>
      <c r="E379" s="3" t="n"/>
      <c r="F379" s="3" t="n"/>
      <c r="G379" s="3" t="n"/>
      <c r="H379" s="3" t="n"/>
      <c r="I379" s="3" t="n"/>
      <c r="J379" s="3" t="n"/>
      <c r="K379" s="3" t="n"/>
      <c r="L379" s="3" t="n"/>
      <c r="M379" s="3" t="n"/>
      <c r="N379" s="3" t="n"/>
      <c r="O379" s="3" t="n"/>
      <c r="P379" s="3" t="n"/>
      <c r="Q379" s="3" t="n"/>
      <c r="R379" s="3" t="n"/>
      <c r="S379" s="3" t="n"/>
    </row>
    <row r="380" ht="25" customHeight="1">
      <c r="A380" s="2" t="n"/>
      <c r="B380" s="2" t="n"/>
      <c r="C380" s="2" t="n"/>
      <c r="D380" s="2" t="n"/>
      <c r="E380" s="2" t="n"/>
      <c r="F380" s="2" t="n"/>
      <c r="G380" s="2" t="n"/>
      <c r="H380" s="2" t="n"/>
      <c r="I380" s="2" t="n"/>
      <c r="J380" s="2" t="n"/>
      <c r="K380" s="2" t="n"/>
      <c r="L380" s="2" t="n"/>
      <c r="M380" s="2" t="n"/>
      <c r="N380" s="2" t="n"/>
      <c r="O380" s="2" t="n"/>
      <c r="P380" s="2" t="n"/>
      <c r="Q380" s="2" t="n"/>
      <c r="R380" s="2" t="n"/>
      <c r="S380" s="2" t="n"/>
    </row>
    <row r="381" ht="25" customHeight="1">
      <c r="A381" s="3" t="n"/>
      <c r="B381" s="3" t="n"/>
      <c r="C381" s="3" t="n"/>
      <c r="D381" s="3" t="n"/>
      <c r="E381" s="3" t="n"/>
      <c r="F381" s="3" t="n"/>
      <c r="G381" s="3" t="n"/>
      <c r="H381" s="3" t="n"/>
      <c r="I381" s="3" t="n"/>
      <c r="J381" s="3" t="n"/>
      <c r="K381" s="3" t="n"/>
      <c r="L381" s="3" t="n"/>
      <c r="M381" s="3" t="n"/>
      <c r="N381" s="3" t="n"/>
      <c r="O381" s="3" t="n"/>
      <c r="P381" s="3" t="n"/>
      <c r="Q381" s="3" t="n"/>
      <c r="R381" s="3" t="n"/>
      <c r="S381" s="3" t="n"/>
    </row>
    <row r="382" ht="25" customHeight="1">
      <c r="A382" s="2" t="n"/>
      <c r="B382" s="2" t="n"/>
      <c r="C382" s="2" t="n"/>
      <c r="D382" s="2" t="n"/>
      <c r="E382" s="2" t="n"/>
      <c r="F382" s="2" t="n"/>
      <c r="G382" s="2" t="n"/>
      <c r="H382" s="2" t="n"/>
      <c r="I382" s="2" t="n"/>
      <c r="J382" s="2" t="n"/>
      <c r="K382" s="2" t="n"/>
      <c r="L382" s="2" t="n"/>
      <c r="M382" s="2" t="n"/>
      <c r="N382" s="2" t="n"/>
      <c r="O382" s="2" t="n"/>
      <c r="P382" s="2" t="n"/>
      <c r="Q382" s="2" t="n"/>
      <c r="R382" s="2" t="n"/>
      <c r="S382" s="2" t="n"/>
    </row>
    <row r="383" ht="25" customHeight="1">
      <c r="A383" s="3" t="n"/>
      <c r="B383" s="3" t="n"/>
      <c r="C383" s="3" t="n"/>
      <c r="D383" s="3" t="n"/>
      <c r="E383" s="3" t="n"/>
      <c r="F383" s="3" t="n"/>
      <c r="G383" s="3" t="n"/>
      <c r="H383" s="3" t="n"/>
      <c r="I383" s="3" t="n"/>
      <c r="J383" s="3" t="n"/>
      <c r="K383" s="3" t="n"/>
      <c r="L383" s="3" t="n"/>
      <c r="M383" s="3" t="n"/>
      <c r="N383" s="3" t="n"/>
      <c r="O383" s="3" t="n"/>
      <c r="P383" s="3" t="n"/>
      <c r="Q383" s="3" t="n"/>
      <c r="R383" s="3" t="n"/>
      <c r="S383" s="3" t="n"/>
    </row>
    <row r="384" ht="25" customHeight="1">
      <c r="A384" s="2" t="n"/>
      <c r="B384" s="2" t="n"/>
      <c r="C384" s="2" t="n"/>
      <c r="D384" s="2" t="n"/>
      <c r="E384" s="2" t="n"/>
      <c r="F384" s="2" t="n"/>
      <c r="G384" s="2" t="n"/>
      <c r="H384" s="2" t="n"/>
      <c r="I384" s="2" t="n"/>
      <c r="J384" s="2" t="n"/>
      <c r="K384" s="2" t="n"/>
      <c r="L384" s="2" t="n"/>
      <c r="M384" s="2" t="n"/>
      <c r="N384" s="2" t="n"/>
      <c r="O384" s="2" t="n"/>
      <c r="P384" s="2" t="n"/>
      <c r="Q384" s="2" t="n"/>
      <c r="R384" s="2" t="n"/>
      <c r="S384" s="2" t="n"/>
    </row>
    <row r="385" ht="25" customHeight="1">
      <c r="A385" s="3" t="n"/>
      <c r="B385" s="3" t="n"/>
      <c r="C385" s="3" t="n"/>
      <c r="D385" s="3" t="n"/>
      <c r="E385" s="3" t="n"/>
      <c r="F385" s="3" t="n"/>
      <c r="G385" s="3" t="n"/>
      <c r="H385" s="3" t="n"/>
      <c r="I385" s="3" t="n"/>
      <c r="J385" s="3" t="n"/>
      <c r="K385" s="3" t="n"/>
      <c r="L385" s="3" t="n"/>
      <c r="M385" s="3" t="n"/>
      <c r="N385" s="3" t="n"/>
      <c r="O385" s="3" t="n"/>
      <c r="P385" s="3" t="n"/>
      <c r="Q385" s="3" t="n"/>
      <c r="R385" s="3" t="n"/>
      <c r="S385" s="3" t="n"/>
    </row>
    <row r="386" ht="25" customHeight="1">
      <c r="A386" s="2" t="n"/>
      <c r="B386" s="2" t="n"/>
      <c r="C386" s="2" t="n"/>
      <c r="D386" s="2" t="n"/>
      <c r="E386" s="2" t="n"/>
      <c r="F386" s="2" t="n"/>
      <c r="G386" s="2" t="n"/>
      <c r="H386" s="2" t="n"/>
      <c r="I386" s="2" t="n"/>
      <c r="J386" s="2" t="n"/>
      <c r="K386" s="2" t="n"/>
      <c r="L386" s="2" t="n"/>
      <c r="M386" s="2" t="n"/>
      <c r="N386" s="2" t="n"/>
      <c r="O386" s="2" t="n"/>
      <c r="P386" s="2" t="n"/>
      <c r="Q386" s="2" t="n"/>
      <c r="R386" s="2" t="n"/>
      <c r="S386" s="2" t="n"/>
    </row>
    <row r="387" ht="25" customHeight="1">
      <c r="A387" s="3" t="n"/>
      <c r="B387" s="3" t="n"/>
      <c r="C387" s="3" t="n"/>
      <c r="D387" s="3" t="n"/>
      <c r="E387" s="3" t="n"/>
      <c r="F387" s="3" t="n"/>
      <c r="G387" s="3" t="n"/>
      <c r="H387" s="3" t="n"/>
      <c r="I387" s="3" t="n"/>
      <c r="J387" s="3" t="n"/>
      <c r="K387" s="3" t="n"/>
      <c r="L387" s="3" t="n"/>
      <c r="M387" s="3" t="n"/>
      <c r="N387" s="3" t="n"/>
      <c r="O387" s="3" t="n"/>
      <c r="P387" s="3" t="n"/>
      <c r="Q387" s="3" t="n"/>
      <c r="R387" s="3" t="n"/>
      <c r="S387" s="3" t="n"/>
    </row>
    <row r="388" ht="25" customHeight="1">
      <c r="A388" s="2" t="n"/>
      <c r="B388" s="2" t="n"/>
      <c r="C388" s="2" t="n"/>
      <c r="D388" s="2" t="n"/>
      <c r="E388" s="2" t="n"/>
      <c r="F388" s="2" t="n"/>
      <c r="G388" s="2" t="n"/>
      <c r="H388" s="2" t="n"/>
      <c r="I388" s="2" t="n"/>
      <c r="J388" s="2" t="n"/>
      <c r="K388" s="2" t="n"/>
      <c r="L388" s="2" t="n"/>
      <c r="M388" s="2" t="n"/>
      <c r="N388" s="2" t="n"/>
      <c r="O388" s="2" t="n"/>
      <c r="P388" s="2" t="n"/>
      <c r="Q388" s="2" t="n"/>
      <c r="R388" s="2" t="n"/>
      <c r="S388" s="2" t="n"/>
    </row>
    <row r="389" ht="25" customHeight="1">
      <c r="A389" s="3" t="n"/>
      <c r="B389" s="3" t="n"/>
      <c r="C389" s="3" t="n"/>
      <c r="D389" s="3" t="n"/>
      <c r="E389" s="3" t="n"/>
      <c r="F389" s="3" t="n"/>
      <c r="G389" s="3" t="n"/>
      <c r="H389" s="3" t="n"/>
      <c r="I389" s="3" t="n"/>
      <c r="J389" s="3" t="n"/>
      <c r="K389" s="3" t="n"/>
      <c r="L389" s="3" t="n"/>
      <c r="M389" s="3" t="n"/>
      <c r="N389" s="3" t="n"/>
      <c r="O389" s="3" t="n"/>
      <c r="P389" s="3" t="n"/>
      <c r="Q389" s="3" t="n"/>
      <c r="R389" s="3" t="n"/>
      <c r="S389" s="3" t="n"/>
    </row>
    <row r="390" ht="25" customHeight="1">
      <c r="A390" s="2" t="n"/>
      <c r="B390" s="2" t="n"/>
      <c r="C390" s="2" t="n"/>
      <c r="D390" s="2" t="n"/>
      <c r="E390" s="2" t="n"/>
      <c r="F390" s="2" t="n"/>
      <c r="G390" s="2" t="n"/>
      <c r="H390" s="2" t="n"/>
      <c r="I390" s="2" t="n"/>
      <c r="J390" s="2" t="n"/>
      <c r="K390" s="2" t="n"/>
      <c r="L390" s="2" t="n"/>
      <c r="M390" s="2" t="n"/>
      <c r="N390" s="2" t="n"/>
      <c r="O390" s="2" t="n"/>
      <c r="P390" s="2" t="n"/>
      <c r="Q390" s="2" t="n"/>
      <c r="R390" s="2" t="n"/>
      <c r="S390" s="2" t="n"/>
    </row>
    <row r="391" ht="25" customHeight="1">
      <c r="A391" s="3" t="n"/>
      <c r="B391" s="3" t="n"/>
      <c r="C391" s="3" t="n"/>
      <c r="D391" s="3" t="n"/>
      <c r="E391" s="3" t="n"/>
      <c r="F391" s="3" t="n"/>
      <c r="G391" s="3" t="n"/>
      <c r="H391" s="3" t="n"/>
      <c r="I391" s="3" t="n"/>
      <c r="J391" s="3" t="n"/>
      <c r="K391" s="3" t="n"/>
      <c r="L391" s="3" t="n"/>
      <c r="M391" s="3" t="n"/>
      <c r="N391" s="3" t="n"/>
      <c r="O391" s="3" t="n"/>
      <c r="P391" s="3" t="n"/>
      <c r="Q391" s="3" t="n"/>
      <c r="R391" s="3" t="n"/>
      <c r="S391" s="3" t="n"/>
    </row>
    <row r="392" ht="25" customHeight="1">
      <c r="A392" s="2" t="n"/>
      <c r="B392" s="2" t="n"/>
      <c r="C392" s="2" t="n"/>
      <c r="D392" s="2" t="n"/>
      <c r="E392" s="2" t="n"/>
      <c r="F392" s="2" t="n"/>
      <c r="G392" s="2" t="n"/>
      <c r="H392" s="2" t="n"/>
      <c r="I392" s="2" t="n"/>
      <c r="J392" s="2" t="n"/>
      <c r="K392" s="2" t="n"/>
      <c r="L392" s="2" t="n"/>
      <c r="M392" s="2" t="n"/>
      <c r="N392" s="2" t="n"/>
      <c r="O392" s="2" t="n"/>
      <c r="P392" s="2" t="n"/>
      <c r="Q392" s="2" t="n"/>
      <c r="R392" s="2" t="n"/>
      <c r="S392" s="2" t="n"/>
    </row>
    <row r="393" ht="25" customHeight="1">
      <c r="A393" s="3" t="n"/>
      <c r="B393" s="3" t="n"/>
      <c r="C393" s="3" t="n"/>
      <c r="D393" s="3" t="n"/>
      <c r="E393" s="3" t="n"/>
      <c r="F393" s="3" t="n"/>
      <c r="G393" s="3" t="n"/>
      <c r="H393" s="3" t="n"/>
      <c r="I393" s="3" t="n"/>
      <c r="J393" s="3" t="n"/>
      <c r="K393" s="3" t="n"/>
      <c r="L393" s="3" t="n"/>
      <c r="M393" s="3" t="n"/>
      <c r="N393" s="3" t="n"/>
      <c r="O393" s="3" t="n"/>
      <c r="P393" s="3" t="n"/>
      <c r="Q393" s="3" t="n"/>
      <c r="R393" s="3" t="n"/>
      <c r="S393" s="3" t="n"/>
    </row>
    <row r="394" ht="25" customHeight="1">
      <c r="A394" s="2" t="n"/>
      <c r="B394" s="2" t="n"/>
      <c r="C394" s="2" t="n"/>
      <c r="D394" s="2" t="n"/>
      <c r="E394" s="2" t="n"/>
      <c r="F394" s="2" t="n"/>
      <c r="G394" s="2" t="n"/>
      <c r="H394" s="2" t="n"/>
      <c r="I394" s="2" t="n"/>
      <c r="J394" s="2" t="n"/>
      <c r="K394" s="2" t="n"/>
      <c r="L394" s="2" t="n"/>
      <c r="M394" s="2" t="n"/>
      <c r="N394" s="2" t="n"/>
      <c r="O394" s="2" t="n"/>
      <c r="P394" s="2" t="n"/>
      <c r="Q394" s="2" t="n"/>
      <c r="R394" s="2" t="n"/>
      <c r="S394" s="2" t="n"/>
    </row>
    <row r="395" ht="25" customHeight="1">
      <c r="A395" s="3" t="n"/>
      <c r="B395" s="3" t="n"/>
      <c r="C395" s="3" t="n"/>
      <c r="D395" s="3" t="n"/>
      <c r="E395" s="3" t="n"/>
      <c r="F395" s="3" t="n"/>
      <c r="G395" s="3" t="n"/>
      <c r="H395" s="3" t="n"/>
      <c r="I395" s="3" t="n"/>
      <c r="J395" s="3" t="n"/>
      <c r="K395" s="3" t="n"/>
      <c r="L395" s="3" t="n"/>
      <c r="M395" s="3" t="n"/>
      <c r="N395" s="3" t="n"/>
      <c r="O395" s="3" t="n"/>
      <c r="P395" s="3" t="n"/>
      <c r="Q395" s="3" t="n"/>
      <c r="R395" s="3" t="n"/>
      <c r="S395" s="3" t="n"/>
    </row>
    <row r="396" ht="25" customHeight="1">
      <c r="A396" s="2" t="n"/>
      <c r="B396" s="2" t="n"/>
      <c r="C396" s="2" t="n"/>
      <c r="D396" s="2" t="n"/>
      <c r="E396" s="2" t="n"/>
      <c r="F396" s="2" t="n"/>
      <c r="G396" s="2" t="n"/>
      <c r="H396" s="2" t="n"/>
      <c r="I396" s="2" t="n"/>
      <c r="J396" s="2" t="n"/>
      <c r="K396" s="2" t="n"/>
      <c r="L396" s="2" t="n"/>
      <c r="M396" s="2" t="n"/>
      <c r="N396" s="2" t="n"/>
      <c r="O396" s="2" t="n"/>
      <c r="P396" s="2" t="n"/>
      <c r="Q396" s="2" t="n"/>
      <c r="R396" s="2" t="n"/>
      <c r="S396" s="2" t="n"/>
    </row>
    <row r="397" ht="25" customHeight="1">
      <c r="A397" s="3" t="n"/>
      <c r="B397" s="3" t="n"/>
      <c r="C397" s="3" t="n"/>
      <c r="D397" s="3" t="n"/>
      <c r="E397" s="3" t="n"/>
      <c r="F397" s="3" t="n"/>
      <c r="G397" s="3" t="n"/>
      <c r="H397" s="3" t="n"/>
      <c r="I397" s="3" t="n"/>
      <c r="J397" s="3" t="n"/>
      <c r="K397" s="3" t="n"/>
      <c r="L397" s="3" t="n"/>
      <c r="M397" s="3" t="n"/>
      <c r="N397" s="3" t="n"/>
      <c r="O397" s="3" t="n"/>
      <c r="P397" s="3" t="n"/>
      <c r="Q397" s="3" t="n"/>
      <c r="R397" s="3" t="n"/>
      <c r="S397" s="3" t="n"/>
    </row>
    <row r="398" ht="25" customHeight="1">
      <c r="A398" s="2" t="n"/>
      <c r="B398" s="2" t="n"/>
      <c r="C398" s="2" t="n"/>
      <c r="D398" s="2" t="n"/>
      <c r="E398" s="2" t="n"/>
      <c r="F398" s="2" t="n"/>
      <c r="G398" s="2" t="n"/>
      <c r="H398" s="2" t="n"/>
      <c r="I398" s="2" t="n"/>
      <c r="J398" s="2" t="n"/>
      <c r="K398" s="2" t="n"/>
      <c r="L398" s="2" t="n"/>
      <c r="M398" s="2" t="n"/>
      <c r="N398" s="2" t="n"/>
      <c r="O398" s="2" t="n"/>
      <c r="P398" s="2" t="n"/>
      <c r="Q398" s="2" t="n"/>
      <c r="R398" s="2" t="n"/>
      <c r="S398" s="2" t="n"/>
    </row>
    <row r="399" ht="25" customHeight="1">
      <c r="A399" s="3" t="n"/>
      <c r="B399" s="3" t="n"/>
      <c r="C399" s="3" t="n"/>
      <c r="D399" s="3" t="n"/>
      <c r="E399" s="3" t="n"/>
      <c r="F399" s="3" t="n"/>
      <c r="G399" s="3" t="n"/>
      <c r="H399" s="3" t="n"/>
      <c r="I399" s="3" t="n"/>
      <c r="J399" s="3" t="n"/>
      <c r="K399" s="3" t="n"/>
      <c r="L399" s="3" t="n"/>
      <c r="M399" s="3" t="n"/>
      <c r="N399" s="3" t="n"/>
      <c r="O399" s="3" t="n"/>
      <c r="P399" s="3" t="n"/>
      <c r="Q399" s="3" t="n"/>
      <c r="R399" s="3" t="n"/>
      <c r="S399" s="3" t="n"/>
    </row>
    <row r="400" ht="25" customHeight="1">
      <c r="A400" s="2" t="n"/>
      <c r="B400" s="2" t="n"/>
      <c r="C400" s="2" t="n"/>
      <c r="D400" s="2" t="n"/>
      <c r="E400" s="2" t="n"/>
      <c r="F400" s="2" t="n"/>
      <c r="G400" s="2" t="n"/>
      <c r="H400" s="2" t="n"/>
      <c r="I400" s="2" t="n"/>
      <c r="J400" s="2" t="n"/>
      <c r="K400" s="2" t="n"/>
      <c r="L400" s="2" t="n"/>
      <c r="M400" s="2" t="n"/>
      <c r="N400" s="2" t="n"/>
      <c r="O400" s="2" t="n"/>
      <c r="P400" s="2" t="n"/>
      <c r="Q400" s="2" t="n"/>
      <c r="R400" s="2" t="n"/>
      <c r="S400" s="2" t="n"/>
    </row>
    <row r="401" ht="25" customHeight="1">
      <c r="A401" s="3" t="n"/>
      <c r="B401" s="3" t="n"/>
      <c r="C401" s="3" t="n"/>
      <c r="D401" s="3" t="n"/>
      <c r="E401" s="3" t="n"/>
      <c r="F401" s="3" t="n"/>
      <c r="G401" s="3" t="n"/>
      <c r="H401" s="3" t="n"/>
      <c r="I401" s="3" t="n"/>
      <c r="J401" s="3" t="n"/>
      <c r="K401" s="3" t="n"/>
      <c r="L401" s="3" t="n"/>
      <c r="M401" s="3" t="n"/>
      <c r="N401" s="3" t="n"/>
      <c r="O401" s="3" t="n"/>
      <c r="P401" s="3" t="n"/>
      <c r="Q401" s="3" t="n"/>
      <c r="R401" s="3" t="n"/>
      <c r="S401" s="3" t="n"/>
    </row>
    <row r="402" ht="25" customHeight="1">
      <c r="A402" s="2" t="n"/>
      <c r="B402" s="2" t="n"/>
      <c r="C402" s="2" t="n"/>
      <c r="D402" s="2" t="n"/>
      <c r="E402" s="2" t="n"/>
      <c r="F402" s="2" t="n"/>
      <c r="G402" s="2" t="n"/>
      <c r="H402" s="2" t="n"/>
      <c r="I402" s="2" t="n"/>
      <c r="J402" s="2" t="n"/>
      <c r="K402" s="2" t="n"/>
      <c r="L402" s="2" t="n"/>
      <c r="M402" s="2" t="n"/>
      <c r="N402" s="2" t="n"/>
      <c r="O402" s="2" t="n"/>
      <c r="P402" s="2" t="n"/>
      <c r="Q402" s="2" t="n"/>
      <c r="R402" s="2" t="n"/>
      <c r="S402" s="2" t="n"/>
    </row>
    <row r="403" ht="25" customHeight="1">
      <c r="A403" s="3" t="n"/>
      <c r="B403" s="3" t="n"/>
      <c r="C403" s="3" t="n"/>
      <c r="D403" s="3" t="n"/>
      <c r="E403" s="3" t="n"/>
      <c r="F403" s="3" t="n"/>
      <c r="G403" s="3" t="n"/>
      <c r="H403" s="3" t="n"/>
      <c r="I403" s="3" t="n"/>
      <c r="J403" s="3" t="n"/>
      <c r="K403" s="3" t="n"/>
      <c r="L403" s="3" t="n"/>
      <c r="M403" s="3" t="n"/>
      <c r="N403" s="3" t="n"/>
      <c r="O403" s="3" t="n"/>
      <c r="P403" s="3" t="n"/>
      <c r="Q403" s="3" t="n"/>
      <c r="R403" s="3" t="n"/>
      <c r="S403" s="3" t="n"/>
    </row>
    <row r="404" ht="25" customHeight="1">
      <c r="A404" s="2" t="n"/>
      <c r="B404" s="2" t="n"/>
      <c r="C404" s="2" t="n"/>
      <c r="D404" s="2" t="n"/>
      <c r="E404" s="2" t="n"/>
      <c r="F404" s="2" t="n"/>
      <c r="G404" s="2" t="n"/>
      <c r="H404" s="2" t="n"/>
      <c r="I404" s="2" t="n"/>
      <c r="J404" s="2" t="n"/>
      <c r="K404" s="2" t="n"/>
      <c r="L404" s="2" t="n"/>
      <c r="M404" s="2" t="n"/>
      <c r="N404" s="2" t="n"/>
      <c r="O404" s="2" t="n"/>
      <c r="P404" s="2" t="n"/>
      <c r="Q404" s="2" t="n"/>
      <c r="R404" s="2" t="n"/>
      <c r="S404" s="2" t="n"/>
    </row>
    <row r="405" ht="25" customHeight="1">
      <c r="A405" s="3" t="n"/>
      <c r="B405" s="3" t="n"/>
      <c r="C405" s="3" t="n"/>
      <c r="D405" s="3" t="n"/>
      <c r="E405" s="3" t="n"/>
      <c r="F405" s="3" t="n"/>
      <c r="G405" s="3" t="n"/>
      <c r="H405" s="3" t="n"/>
      <c r="I405" s="3" t="n"/>
      <c r="J405" s="3" t="n"/>
      <c r="K405" s="3" t="n"/>
      <c r="L405" s="3" t="n"/>
      <c r="M405" s="3" t="n"/>
      <c r="N405" s="3" t="n"/>
      <c r="O405" s="3" t="n"/>
      <c r="P405" s="3" t="n"/>
      <c r="Q405" s="3" t="n"/>
      <c r="R405" s="3" t="n"/>
      <c r="S405" s="3" t="n"/>
    </row>
    <row r="406" ht="25" customHeight="1">
      <c r="A406" s="2" t="n"/>
      <c r="B406" s="2" t="n"/>
      <c r="C406" s="2" t="n"/>
      <c r="D406" s="2" t="n"/>
      <c r="E406" s="2" t="n"/>
      <c r="F406" s="2" t="n"/>
      <c r="G406" s="2" t="n"/>
      <c r="H406" s="2" t="n"/>
      <c r="I406" s="2" t="n"/>
      <c r="J406" s="2" t="n"/>
      <c r="K406" s="2" t="n"/>
      <c r="L406" s="2" t="n"/>
      <c r="M406" s="2" t="n"/>
      <c r="N406" s="2" t="n"/>
      <c r="O406" s="2" t="n"/>
      <c r="P406" s="2" t="n"/>
      <c r="Q406" s="2" t="n"/>
      <c r="R406" s="2" t="n"/>
      <c r="S406" s="2" t="n"/>
    </row>
    <row r="407" ht="25" customHeight="1">
      <c r="A407" s="3" t="n"/>
      <c r="B407" s="3" t="n"/>
      <c r="C407" s="3" t="n"/>
      <c r="D407" s="3" t="n"/>
      <c r="E407" s="3" t="n"/>
      <c r="F407" s="3" t="n"/>
      <c r="G407" s="3" t="n"/>
      <c r="H407" s="3" t="n"/>
      <c r="I407" s="3" t="n"/>
      <c r="J407" s="3" t="n"/>
      <c r="K407" s="3" t="n"/>
      <c r="L407" s="3" t="n"/>
      <c r="M407" s="3" t="n"/>
      <c r="N407" s="3" t="n"/>
      <c r="O407" s="3" t="n"/>
      <c r="P407" s="3" t="n"/>
      <c r="Q407" s="3" t="n"/>
      <c r="R407" s="3" t="n"/>
      <c r="S407" s="3" t="n"/>
    </row>
    <row r="408" ht="25" customHeight="1">
      <c r="A408" s="2" t="n"/>
      <c r="B408" s="2" t="n"/>
      <c r="C408" s="2" t="n"/>
      <c r="D408" s="2" t="n"/>
      <c r="E408" s="2" t="n"/>
      <c r="F408" s="2" t="n"/>
      <c r="G408" s="2" t="n"/>
      <c r="H408" s="2" t="n"/>
      <c r="I408" s="2" t="n"/>
      <c r="J408" s="2" t="n"/>
      <c r="K408" s="2" t="n"/>
      <c r="L408" s="2" t="n"/>
      <c r="M408" s="2" t="n"/>
      <c r="N408" s="2" t="n"/>
      <c r="O408" s="2" t="n"/>
      <c r="P408" s="2" t="n"/>
      <c r="Q408" s="2" t="n"/>
      <c r="R408" s="2" t="n"/>
      <c r="S408" s="2" t="n"/>
    </row>
    <row r="409" ht="25" customHeight="1">
      <c r="A409" s="3" t="n"/>
      <c r="B409" s="3" t="n"/>
      <c r="C409" s="3" t="n"/>
      <c r="D409" s="3" t="n"/>
      <c r="E409" s="3" t="n"/>
      <c r="F409" s="3" t="n"/>
      <c r="G409" s="3" t="n"/>
      <c r="H409" s="3" t="n"/>
      <c r="I409" s="3" t="n"/>
      <c r="J409" s="3" t="n"/>
      <c r="K409" s="3" t="n"/>
      <c r="L409" s="3" t="n"/>
      <c r="M409" s="3" t="n"/>
      <c r="N409" s="3" t="n"/>
      <c r="O409" s="3" t="n"/>
      <c r="P409" s="3" t="n"/>
      <c r="Q409" s="3" t="n"/>
      <c r="R409" s="3" t="n"/>
      <c r="S409" s="3" t="n"/>
    </row>
    <row r="410" ht="25" customHeight="1">
      <c r="A410" s="2" t="n"/>
      <c r="B410" s="2" t="n"/>
      <c r="C410" s="2" t="n"/>
      <c r="D410" s="2" t="n"/>
      <c r="E410" s="2" t="n"/>
      <c r="F410" s="2" t="n"/>
      <c r="G410" s="2" t="n"/>
      <c r="H410" s="2" t="n"/>
      <c r="I410" s="2" t="n"/>
      <c r="J410" s="2" t="n"/>
      <c r="K410" s="2" t="n"/>
      <c r="L410" s="2" t="n"/>
      <c r="M410" s="2" t="n"/>
      <c r="N410" s="2" t="n"/>
      <c r="O410" s="2" t="n"/>
      <c r="P410" s="2" t="n"/>
      <c r="Q410" s="2" t="n"/>
      <c r="R410" s="2" t="n"/>
      <c r="S410" s="2" t="n"/>
    </row>
    <row r="411" ht="25" customHeight="1">
      <c r="A411" s="3" t="n"/>
      <c r="B411" s="3" t="n"/>
      <c r="C411" s="3" t="n"/>
      <c r="D411" s="3" t="n"/>
      <c r="E411" s="3" t="n"/>
      <c r="F411" s="3" t="n"/>
      <c r="G411" s="3" t="n"/>
      <c r="H411" s="3" t="n"/>
      <c r="I411" s="3" t="n"/>
      <c r="J411" s="3" t="n"/>
      <c r="K411" s="3" t="n"/>
      <c r="L411" s="3" t="n"/>
      <c r="M411" s="3" t="n"/>
      <c r="N411" s="3" t="n"/>
      <c r="O411" s="3" t="n"/>
      <c r="P411" s="3" t="n"/>
      <c r="Q411" s="3" t="n"/>
      <c r="R411" s="3" t="n"/>
      <c r="S411" s="3" t="n"/>
    </row>
    <row r="412" ht="25" customHeight="1">
      <c r="A412" s="2" t="n"/>
      <c r="B412" s="2" t="n"/>
      <c r="C412" s="2" t="n"/>
      <c r="D412" s="2" t="n"/>
      <c r="E412" s="2" t="n"/>
      <c r="F412" s="2" t="n"/>
      <c r="G412" s="2" t="n"/>
      <c r="H412" s="2" t="n"/>
      <c r="I412" s="2" t="n"/>
      <c r="J412" s="2" t="n"/>
      <c r="K412" s="2" t="n"/>
      <c r="L412" s="2" t="n"/>
      <c r="M412" s="2" t="n"/>
      <c r="N412" s="2" t="n"/>
      <c r="O412" s="2" t="n"/>
      <c r="P412" s="2" t="n"/>
      <c r="Q412" s="2" t="n"/>
      <c r="R412" s="2" t="n"/>
      <c r="S412" s="2" t="n"/>
    </row>
    <row r="413" ht="25" customHeight="1">
      <c r="A413" s="3" t="n"/>
      <c r="B413" s="3" t="n"/>
      <c r="C413" s="3" t="n"/>
      <c r="D413" s="3" t="n"/>
      <c r="E413" s="3" t="n"/>
      <c r="F413" s="3" t="n"/>
      <c r="G413" s="3" t="n"/>
      <c r="H413" s="3" t="n"/>
      <c r="I413" s="3" t="n"/>
      <c r="J413" s="3" t="n"/>
      <c r="K413" s="3" t="n"/>
      <c r="L413" s="3" t="n"/>
      <c r="M413" s="3" t="n"/>
      <c r="N413" s="3" t="n"/>
      <c r="O413" s="3" t="n"/>
      <c r="P413" s="3" t="n"/>
      <c r="Q413" s="3" t="n"/>
      <c r="R413" s="3" t="n"/>
      <c r="S413" s="3" t="n"/>
    </row>
    <row r="414" ht="25" customHeight="1">
      <c r="A414" s="2" t="n"/>
      <c r="B414" s="2" t="n"/>
      <c r="C414" s="2" t="n"/>
      <c r="D414" s="2" t="n"/>
      <c r="E414" s="2" t="n"/>
      <c r="F414" s="2" t="n"/>
      <c r="G414" s="2" t="n"/>
      <c r="H414" s="2" t="n"/>
      <c r="I414" s="2" t="n"/>
      <c r="J414" s="2" t="n"/>
      <c r="K414" s="2" t="n"/>
      <c r="L414" s="2" t="n"/>
      <c r="M414" s="2" t="n"/>
      <c r="N414" s="2" t="n"/>
      <c r="O414" s="2" t="n"/>
      <c r="P414" s="2" t="n"/>
      <c r="Q414" s="2" t="n"/>
      <c r="R414" s="2" t="n"/>
      <c r="S414" s="2" t="n"/>
    </row>
    <row r="415" ht="25" customHeight="1">
      <c r="A415" s="3" t="n"/>
      <c r="B415" s="3" t="n"/>
      <c r="C415" s="3" t="n"/>
      <c r="D415" s="3" t="n"/>
      <c r="E415" s="3" t="n"/>
      <c r="F415" s="3" t="n"/>
      <c r="G415" s="3" t="n"/>
      <c r="H415" s="3" t="n"/>
      <c r="I415" s="3" t="n"/>
      <c r="J415" s="3" t="n"/>
      <c r="K415" s="3" t="n"/>
      <c r="L415" s="3" t="n"/>
      <c r="M415" s="3" t="n"/>
      <c r="N415" s="3" t="n"/>
      <c r="O415" s="3" t="n"/>
      <c r="P415" s="3" t="n"/>
      <c r="Q415" s="3" t="n"/>
      <c r="R415" s="3" t="n"/>
      <c r="S415" s="3" t="n"/>
    </row>
    <row r="416" ht="25" customHeight="1">
      <c r="A416" s="2" t="n"/>
      <c r="B416" s="2" t="n"/>
      <c r="C416" s="2" t="n"/>
      <c r="D416" s="2" t="n"/>
      <c r="E416" s="2" t="n"/>
      <c r="F416" s="2" t="n"/>
      <c r="G416" s="2" t="n"/>
      <c r="H416" s="2" t="n"/>
      <c r="I416" s="2" t="n"/>
      <c r="J416" s="2" t="n"/>
      <c r="K416" s="2" t="n"/>
      <c r="L416" s="2" t="n"/>
      <c r="M416" s="2" t="n"/>
      <c r="N416" s="2" t="n"/>
      <c r="O416" s="2" t="n"/>
      <c r="P416" s="2" t="n"/>
      <c r="Q416" s="2" t="n"/>
      <c r="R416" s="2" t="n"/>
      <c r="S416" s="2" t="n"/>
    </row>
    <row r="417" ht="25" customHeight="1">
      <c r="A417" s="3" t="n"/>
      <c r="B417" s="3" t="n"/>
      <c r="C417" s="3" t="n"/>
      <c r="D417" s="3" t="n"/>
      <c r="E417" s="3" t="n"/>
      <c r="F417" s="3" t="n"/>
      <c r="G417" s="3" t="n"/>
      <c r="H417" s="3" t="n"/>
      <c r="I417" s="3" t="n"/>
      <c r="J417" s="3" t="n"/>
      <c r="K417" s="3" t="n"/>
      <c r="L417" s="3" t="n"/>
      <c r="M417" s="3" t="n"/>
      <c r="N417" s="3" t="n"/>
      <c r="O417" s="3" t="n"/>
      <c r="P417" s="3" t="n"/>
      <c r="Q417" s="3" t="n"/>
      <c r="R417" s="3" t="n"/>
      <c r="S417" s="3" t="n"/>
    </row>
    <row r="418" ht="25" customHeight="1">
      <c r="A418" s="2" t="n"/>
      <c r="B418" s="2" t="n"/>
      <c r="C418" s="2" t="n"/>
      <c r="D418" s="2" t="n"/>
      <c r="E418" s="2" t="n"/>
      <c r="F418" s="2" t="n"/>
      <c r="G418" s="2" t="n"/>
      <c r="H418" s="2" t="n"/>
      <c r="I418" s="2" t="n"/>
      <c r="J418" s="2" t="n"/>
      <c r="K418" s="2" t="n"/>
      <c r="L418" s="2" t="n"/>
      <c r="M418" s="2" t="n"/>
      <c r="N418" s="2" t="n"/>
      <c r="O418" s="2" t="n"/>
      <c r="P418" s="2" t="n"/>
      <c r="Q418" s="2" t="n"/>
      <c r="R418" s="2" t="n"/>
      <c r="S418" s="2" t="n"/>
    </row>
    <row r="419" ht="25" customHeight="1">
      <c r="A419" s="3" t="n"/>
      <c r="B419" s="3" t="n"/>
      <c r="C419" s="3" t="n"/>
      <c r="D419" s="3" t="n"/>
      <c r="E419" s="3" t="n"/>
      <c r="F419" s="3" t="n"/>
      <c r="G419" s="3" t="n"/>
      <c r="H419" s="3" t="n"/>
      <c r="I419" s="3" t="n"/>
      <c r="J419" s="3" t="n"/>
      <c r="K419" s="3" t="n"/>
      <c r="L419" s="3" t="n"/>
      <c r="M419" s="3" t="n"/>
      <c r="N419" s="3" t="n"/>
      <c r="O419" s="3" t="n"/>
      <c r="P419" s="3" t="n"/>
      <c r="Q419" s="3" t="n"/>
      <c r="R419" s="3" t="n"/>
      <c r="S419" s="3" t="n"/>
    </row>
    <row r="420" ht="25" customHeight="1">
      <c r="A420" s="2" t="n"/>
      <c r="B420" s="2" t="n"/>
      <c r="C420" s="2" t="n"/>
      <c r="D420" s="2" t="n"/>
      <c r="E420" s="2" t="n"/>
      <c r="F420" s="2" t="n"/>
      <c r="G420" s="2" t="n"/>
      <c r="H420" s="2" t="n"/>
      <c r="I420" s="2" t="n"/>
      <c r="J420" s="2" t="n"/>
      <c r="K420" s="2" t="n"/>
      <c r="L420" s="2" t="n"/>
      <c r="M420" s="2" t="n"/>
      <c r="N420" s="2" t="n"/>
      <c r="O420" s="2" t="n"/>
      <c r="P420" s="2" t="n"/>
      <c r="Q420" s="2" t="n"/>
      <c r="R420" s="2" t="n"/>
      <c r="S420" s="2" t="n"/>
    </row>
    <row r="421" ht="25" customHeight="1">
      <c r="A421" s="3" t="n"/>
      <c r="B421" s="3" t="n"/>
      <c r="C421" s="3" t="n"/>
      <c r="D421" s="3" t="n"/>
      <c r="E421" s="3" t="n"/>
      <c r="F421" s="3" t="n"/>
      <c r="G421" s="3" t="n"/>
      <c r="H421" s="3" t="n"/>
      <c r="I421" s="3" t="n"/>
      <c r="J421" s="3" t="n"/>
      <c r="K421" s="3" t="n"/>
      <c r="L421" s="3" t="n"/>
      <c r="M421" s="3" t="n"/>
      <c r="N421" s="3" t="n"/>
      <c r="O421" s="3" t="n"/>
      <c r="P421" s="3" t="n"/>
      <c r="Q421" s="3" t="n"/>
      <c r="R421" s="3" t="n"/>
      <c r="S421" s="3" t="n"/>
    </row>
    <row r="422" ht="25" customHeight="1">
      <c r="A422" s="2" t="n"/>
      <c r="B422" s="2" t="n"/>
      <c r="C422" s="2" t="n"/>
      <c r="D422" s="2" t="n"/>
      <c r="E422" s="2" t="n"/>
      <c r="F422" s="2" t="n"/>
      <c r="G422" s="2" t="n"/>
      <c r="H422" s="2" t="n"/>
      <c r="I422" s="2" t="n"/>
      <c r="J422" s="2" t="n"/>
      <c r="K422" s="2" t="n"/>
      <c r="L422" s="2" t="n"/>
      <c r="M422" s="2" t="n"/>
      <c r="N422" s="2" t="n"/>
      <c r="O422" s="2" t="n"/>
      <c r="P422" s="2" t="n"/>
      <c r="Q422" s="2" t="n"/>
      <c r="R422" s="2" t="n"/>
      <c r="S422" s="2" t="n"/>
    </row>
    <row r="423" ht="25" customHeight="1">
      <c r="A423" s="3" t="n"/>
      <c r="B423" s="3" t="n"/>
      <c r="C423" s="3" t="n"/>
      <c r="D423" s="3" t="n"/>
      <c r="E423" s="3" t="n"/>
      <c r="F423" s="3" t="n"/>
      <c r="G423" s="3" t="n"/>
      <c r="H423" s="3" t="n"/>
      <c r="I423" s="3" t="n"/>
      <c r="J423" s="3" t="n"/>
      <c r="K423" s="3" t="n"/>
      <c r="L423" s="3" t="n"/>
      <c r="M423" s="3" t="n"/>
      <c r="N423" s="3" t="n"/>
      <c r="O423" s="3" t="n"/>
      <c r="P423" s="3" t="n"/>
      <c r="Q423" s="3" t="n"/>
      <c r="R423" s="3" t="n"/>
      <c r="S423" s="3" t="n"/>
    </row>
    <row r="424" ht="25" customHeight="1">
      <c r="A424" s="2" t="n"/>
      <c r="B424" s="2" t="n"/>
      <c r="C424" s="2" t="n"/>
      <c r="D424" s="2" t="n"/>
      <c r="E424" s="2" t="n"/>
      <c r="F424" s="2" t="n"/>
      <c r="G424" s="2" t="n"/>
      <c r="H424" s="2" t="n"/>
      <c r="I424" s="2" t="n"/>
      <c r="J424" s="2" t="n"/>
      <c r="K424" s="2" t="n"/>
      <c r="L424" s="2" t="n"/>
      <c r="M424" s="2" t="n"/>
      <c r="N424" s="2" t="n"/>
      <c r="O424" s="2" t="n"/>
      <c r="P424" s="2" t="n"/>
      <c r="Q424" s="2" t="n"/>
      <c r="R424" s="2" t="n"/>
      <c r="S424" s="2" t="n"/>
    </row>
    <row r="425" ht="25" customHeight="1">
      <c r="A425" s="3" t="n"/>
      <c r="B425" s="3" t="n"/>
      <c r="C425" s="3" t="n"/>
      <c r="D425" s="3" t="n"/>
      <c r="E425" s="3" t="n"/>
      <c r="F425" s="3" t="n"/>
      <c r="G425" s="3" t="n"/>
      <c r="H425" s="3" t="n"/>
      <c r="I425" s="3" t="n"/>
      <c r="J425" s="3" t="n"/>
      <c r="K425" s="3" t="n"/>
      <c r="L425" s="3" t="n"/>
      <c r="M425" s="3" t="n"/>
      <c r="N425" s="3" t="n"/>
      <c r="O425" s="3" t="n"/>
      <c r="P425" s="3" t="n"/>
      <c r="Q425" s="3" t="n"/>
      <c r="R425" s="3" t="n"/>
      <c r="S425" s="3" t="n"/>
    </row>
    <row r="426" ht="25" customHeight="1">
      <c r="A426" s="2" t="n"/>
      <c r="B426" s="2" t="n"/>
      <c r="C426" s="2" t="n"/>
      <c r="D426" s="2" t="n"/>
      <c r="E426" s="2" t="n"/>
      <c r="F426" s="2" t="n"/>
      <c r="G426" s="2" t="n"/>
      <c r="H426" s="2" t="n"/>
      <c r="I426" s="2" t="n"/>
      <c r="J426" s="2" t="n"/>
      <c r="K426" s="2" t="n"/>
      <c r="L426" s="2" t="n"/>
      <c r="M426" s="2" t="n"/>
      <c r="N426" s="2" t="n"/>
      <c r="O426" s="2" t="n"/>
      <c r="P426" s="2" t="n"/>
      <c r="Q426" s="2" t="n"/>
      <c r="R426" s="2" t="n"/>
      <c r="S426" s="2" t="n"/>
    </row>
    <row r="427" ht="25" customHeight="1">
      <c r="A427" s="3" t="n"/>
      <c r="B427" s="3" t="n"/>
      <c r="C427" s="3" t="n"/>
      <c r="D427" s="3" t="n"/>
      <c r="E427" s="3" t="n"/>
      <c r="F427" s="3" t="n"/>
      <c r="G427" s="3" t="n"/>
      <c r="H427" s="3" t="n"/>
      <c r="I427" s="3" t="n"/>
      <c r="J427" s="3" t="n"/>
      <c r="K427" s="3" t="n"/>
      <c r="L427" s="3" t="n"/>
      <c r="M427" s="3" t="n"/>
      <c r="N427" s="3" t="n"/>
      <c r="O427" s="3" t="n"/>
      <c r="P427" s="3" t="n"/>
      <c r="Q427" s="3" t="n"/>
      <c r="R427" s="3" t="n"/>
      <c r="S427" s="3" t="n"/>
    </row>
    <row r="428" ht="25" customHeight="1">
      <c r="A428" s="2" t="n"/>
      <c r="B428" s="2" t="n"/>
      <c r="C428" s="2" t="n"/>
      <c r="D428" s="2" t="n"/>
      <c r="E428" s="2" t="n"/>
      <c r="F428" s="2" t="n"/>
      <c r="G428" s="2" t="n"/>
      <c r="H428" s="2" t="n"/>
      <c r="I428" s="2" t="n"/>
      <c r="J428" s="2" t="n"/>
      <c r="K428" s="2" t="n"/>
      <c r="L428" s="2" t="n"/>
      <c r="M428" s="2" t="n"/>
      <c r="N428" s="2" t="n"/>
      <c r="O428" s="2" t="n"/>
      <c r="P428" s="2" t="n"/>
      <c r="Q428" s="2" t="n"/>
      <c r="R428" s="2" t="n"/>
      <c r="S428" s="2" t="n"/>
    </row>
    <row r="429" ht="25" customHeight="1">
      <c r="A429" s="3" t="n"/>
      <c r="B429" s="3" t="n"/>
      <c r="C429" s="3" t="n"/>
      <c r="D429" s="3" t="n"/>
      <c r="E429" s="3" t="n"/>
      <c r="F429" s="3" t="n"/>
      <c r="G429" s="3" t="n"/>
      <c r="H429" s="3" t="n"/>
      <c r="I429" s="3" t="n"/>
      <c r="J429" s="3" t="n"/>
      <c r="K429" s="3" t="n"/>
      <c r="L429" s="3" t="n"/>
      <c r="M429" s="3" t="n"/>
      <c r="N429" s="3" t="n"/>
      <c r="O429" s="3" t="n"/>
      <c r="P429" s="3" t="n"/>
      <c r="Q429" s="3" t="n"/>
      <c r="R429" s="3" t="n"/>
      <c r="S429" s="3" t="n"/>
    </row>
    <row r="430" ht="25" customHeight="1">
      <c r="A430" s="2" t="n"/>
      <c r="B430" s="2" t="n"/>
      <c r="C430" s="2" t="n"/>
      <c r="D430" s="2" t="n"/>
      <c r="E430" s="2" t="n"/>
      <c r="F430" s="2" t="n"/>
      <c r="G430" s="2" t="n"/>
      <c r="H430" s="2" t="n"/>
      <c r="I430" s="2" t="n"/>
      <c r="J430" s="2" t="n"/>
      <c r="K430" s="2" t="n"/>
      <c r="L430" s="2" t="n"/>
      <c r="M430" s="2" t="n"/>
      <c r="N430" s="2" t="n"/>
      <c r="O430" s="2" t="n"/>
      <c r="P430" s="2" t="n"/>
      <c r="Q430" s="2" t="n"/>
      <c r="R430" s="2" t="n"/>
      <c r="S430" s="2" t="n"/>
    </row>
    <row r="431" ht="25" customHeight="1">
      <c r="A431" s="3" t="n"/>
      <c r="B431" s="3" t="n"/>
      <c r="C431" s="3" t="n"/>
      <c r="D431" s="3" t="n"/>
      <c r="E431" s="3" t="n"/>
      <c r="F431" s="3" t="n"/>
      <c r="G431" s="3" t="n"/>
      <c r="H431" s="3" t="n"/>
      <c r="I431" s="3" t="n"/>
      <c r="J431" s="3" t="n"/>
      <c r="K431" s="3" t="n"/>
      <c r="L431" s="3" t="n"/>
      <c r="M431" s="3" t="n"/>
      <c r="N431" s="3" t="n"/>
      <c r="O431" s="3" t="n"/>
      <c r="P431" s="3" t="n"/>
      <c r="Q431" s="3" t="n"/>
      <c r="R431" s="3" t="n"/>
      <c r="S431" s="3" t="n"/>
    </row>
    <row r="432" ht="25" customHeight="1">
      <c r="A432" s="2" t="n"/>
      <c r="B432" s="2" t="n"/>
      <c r="C432" s="2" t="n"/>
      <c r="D432" s="2" t="n"/>
      <c r="E432" s="2" t="n"/>
      <c r="F432" s="2" t="n"/>
      <c r="G432" s="2" t="n"/>
      <c r="H432" s="2" t="n"/>
      <c r="I432" s="2" t="n"/>
      <c r="J432" s="2" t="n"/>
      <c r="K432" s="2" t="n"/>
      <c r="L432" s="2" t="n"/>
      <c r="M432" s="2" t="n"/>
      <c r="N432" s="2" t="n"/>
      <c r="O432" s="2" t="n"/>
      <c r="P432" s="2" t="n"/>
      <c r="Q432" s="2" t="n"/>
      <c r="R432" s="2" t="n"/>
      <c r="S432" s="2" t="n"/>
    </row>
    <row r="433" ht="25" customHeight="1">
      <c r="A433" s="3" t="n"/>
      <c r="B433" s="3" t="n"/>
      <c r="C433" s="3" t="n"/>
      <c r="D433" s="3" t="n"/>
      <c r="E433" s="3" t="n"/>
      <c r="F433" s="3" t="n"/>
      <c r="G433" s="3" t="n"/>
      <c r="H433" s="3" t="n"/>
      <c r="I433" s="3" t="n"/>
      <c r="J433" s="3" t="n"/>
      <c r="K433" s="3" t="n"/>
      <c r="L433" s="3" t="n"/>
      <c r="M433" s="3" t="n"/>
      <c r="N433" s="3" t="n"/>
      <c r="O433" s="3" t="n"/>
      <c r="P433" s="3" t="n"/>
      <c r="Q433" s="3" t="n"/>
      <c r="R433" s="3" t="n"/>
      <c r="S433" s="3" t="n"/>
    </row>
    <row r="434" ht="25" customHeight="1">
      <c r="A434" s="2" t="n"/>
      <c r="B434" s="2" t="n"/>
      <c r="C434" s="2" t="n"/>
      <c r="D434" s="2" t="n"/>
      <c r="E434" s="2" t="n"/>
      <c r="F434" s="2" t="n"/>
      <c r="G434" s="2" t="n"/>
      <c r="H434" s="2" t="n"/>
      <c r="I434" s="2" t="n"/>
      <c r="J434" s="2" t="n"/>
      <c r="K434" s="2" t="n"/>
      <c r="L434" s="2" t="n"/>
      <c r="M434" s="2" t="n"/>
      <c r="N434" s="2" t="n"/>
      <c r="O434" s="2" t="n"/>
      <c r="P434" s="2" t="n"/>
      <c r="Q434" s="2" t="n"/>
      <c r="R434" s="2" t="n"/>
      <c r="S434" s="2" t="n"/>
    </row>
    <row r="435" ht="25" customHeight="1">
      <c r="A435" s="3" t="n"/>
      <c r="B435" s="3" t="n"/>
      <c r="C435" s="3" t="n"/>
      <c r="D435" s="3" t="n"/>
      <c r="E435" s="3" t="n"/>
      <c r="F435" s="3" t="n"/>
      <c r="G435" s="3" t="n"/>
      <c r="H435" s="3" t="n"/>
      <c r="I435" s="3" t="n"/>
      <c r="J435" s="3" t="n"/>
      <c r="K435" s="3" t="n"/>
      <c r="L435" s="3" t="n"/>
      <c r="M435" s="3" t="n"/>
      <c r="N435" s="3" t="n"/>
      <c r="O435" s="3" t="n"/>
      <c r="P435" s="3" t="n"/>
      <c r="Q435" s="3" t="n"/>
      <c r="R435" s="3" t="n"/>
      <c r="S435" s="3" t="n"/>
    </row>
    <row r="436" ht="25" customHeight="1">
      <c r="A436" s="2" t="n"/>
      <c r="B436" s="2" t="n"/>
      <c r="C436" s="2" t="n"/>
      <c r="D436" s="2" t="n"/>
      <c r="E436" s="2" t="n"/>
      <c r="F436" s="2" t="n"/>
      <c r="G436" s="2" t="n"/>
      <c r="H436" s="2" t="n"/>
      <c r="I436" s="2" t="n"/>
      <c r="J436" s="2" t="n"/>
      <c r="K436" s="2" t="n"/>
      <c r="L436" s="2" t="n"/>
      <c r="M436" s="2" t="n"/>
      <c r="N436" s="2" t="n"/>
      <c r="O436" s="2" t="n"/>
      <c r="P436" s="2" t="n"/>
      <c r="Q436" s="2" t="n"/>
      <c r="R436" s="2" t="n"/>
      <c r="S436" s="2" t="n"/>
    </row>
    <row r="437" ht="25" customHeight="1">
      <c r="A437" s="3" t="n"/>
      <c r="B437" s="3" t="n"/>
      <c r="C437" s="3" t="n"/>
      <c r="D437" s="3" t="n"/>
      <c r="E437" s="3" t="n"/>
      <c r="F437" s="3" t="n"/>
      <c r="G437" s="3" t="n"/>
      <c r="H437" s="3" t="n"/>
      <c r="I437" s="3" t="n"/>
      <c r="J437" s="3" t="n"/>
      <c r="K437" s="3" t="n"/>
      <c r="L437" s="3" t="n"/>
      <c r="M437" s="3" t="n"/>
      <c r="N437" s="3" t="n"/>
      <c r="O437" s="3" t="n"/>
      <c r="P437" s="3" t="n"/>
      <c r="Q437" s="3" t="n"/>
      <c r="R437" s="3" t="n"/>
      <c r="S437" s="3" t="n"/>
    </row>
    <row r="438" ht="25" customHeight="1">
      <c r="A438" s="2" t="n"/>
      <c r="B438" s="2" t="n"/>
      <c r="C438" s="2" t="n"/>
      <c r="D438" s="2" t="n"/>
      <c r="E438" s="2" t="n"/>
      <c r="F438" s="2" t="n"/>
      <c r="G438" s="2" t="n"/>
      <c r="H438" s="2" t="n"/>
      <c r="I438" s="2" t="n"/>
      <c r="J438" s="2" t="n"/>
      <c r="K438" s="2" t="n"/>
      <c r="L438" s="2" t="n"/>
      <c r="M438" s="2" t="n"/>
      <c r="N438" s="2" t="n"/>
      <c r="O438" s="2" t="n"/>
      <c r="P438" s="2" t="n"/>
      <c r="Q438" s="2" t="n"/>
      <c r="R438" s="2" t="n"/>
      <c r="S438" s="2" t="n"/>
    </row>
    <row r="439" ht="25" customHeight="1">
      <c r="A439" s="3" t="n"/>
      <c r="B439" s="3" t="n"/>
      <c r="C439" s="3" t="n"/>
      <c r="D439" s="3" t="n"/>
      <c r="E439" s="3" t="n"/>
      <c r="F439" s="3" t="n"/>
      <c r="G439" s="3" t="n"/>
      <c r="H439" s="3" t="n"/>
      <c r="I439" s="3" t="n"/>
      <c r="J439" s="3" t="n"/>
      <c r="K439" s="3" t="n"/>
      <c r="L439" s="3" t="n"/>
      <c r="M439" s="3" t="n"/>
      <c r="N439" s="3" t="n"/>
      <c r="O439" s="3" t="n"/>
      <c r="P439" s="3" t="n"/>
      <c r="Q439" s="3" t="n"/>
      <c r="R439" s="3" t="n"/>
      <c r="S439" s="3" t="n"/>
    </row>
    <row r="440" ht="25" customHeight="1">
      <c r="A440" s="2" t="n"/>
      <c r="B440" s="2" t="n"/>
      <c r="C440" s="2" t="n"/>
      <c r="D440" s="2" t="n"/>
      <c r="E440" s="2" t="n"/>
      <c r="F440" s="2" t="n"/>
      <c r="G440" s="2" t="n"/>
      <c r="H440" s="2" t="n"/>
      <c r="I440" s="2" t="n"/>
      <c r="J440" s="2" t="n"/>
      <c r="K440" s="2" t="n"/>
      <c r="L440" s="2" t="n"/>
      <c r="M440" s="2" t="n"/>
      <c r="N440" s="2" t="n"/>
      <c r="O440" s="2" t="n"/>
      <c r="P440" s="2" t="n"/>
      <c r="Q440" s="2" t="n"/>
      <c r="R440" s="2" t="n"/>
      <c r="S440" s="2" t="n"/>
    </row>
    <row r="441" ht="25" customHeight="1">
      <c r="A441" s="3" t="n"/>
      <c r="B441" s="3" t="n"/>
      <c r="C441" s="3" t="n"/>
      <c r="D441" s="3" t="n"/>
      <c r="E441" s="3" t="n"/>
      <c r="F441" s="3" t="n"/>
      <c r="G441" s="3" t="n"/>
      <c r="H441" s="3" t="n"/>
      <c r="I441" s="3" t="n"/>
      <c r="J441" s="3" t="n"/>
      <c r="K441" s="3" t="n"/>
      <c r="L441" s="3" t="n"/>
      <c r="M441" s="3" t="n"/>
      <c r="N441" s="3" t="n"/>
      <c r="O441" s="3" t="n"/>
      <c r="P441" s="3" t="n"/>
      <c r="Q441" s="3" t="n"/>
      <c r="R441" s="3" t="n"/>
      <c r="S441" s="3" t="n"/>
    </row>
    <row r="442" ht="25" customHeight="1">
      <c r="A442" s="2" t="n"/>
      <c r="B442" s="2" t="n"/>
      <c r="C442" s="2" t="n"/>
      <c r="D442" s="2" t="n"/>
      <c r="E442" s="2" t="n"/>
      <c r="F442" s="2" t="n"/>
      <c r="G442" s="2" t="n"/>
      <c r="H442" s="2" t="n"/>
      <c r="I442" s="2" t="n"/>
      <c r="J442" s="2" t="n"/>
      <c r="K442" s="2" t="n"/>
      <c r="L442" s="2" t="n"/>
      <c r="M442" s="2" t="n"/>
      <c r="N442" s="2" t="n"/>
      <c r="O442" s="2" t="n"/>
      <c r="P442" s="2" t="n"/>
      <c r="Q442" s="2" t="n"/>
      <c r="R442" s="2" t="n"/>
      <c r="S442" s="2" t="n"/>
    </row>
    <row r="443" ht="25" customHeight="1">
      <c r="A443" s="3" t="n"/>
      <c r="B443" s="3" t="n"/>
      <c r="C443" s="3" t="n"/>
      <c r="D443" s="3" t="n"/>
      <c r="E443" s="3" t="n"/>
      <c r="F443" s="3" t="n"/>
      <c r="G443" s="3" t="n"/>
      <c r="H443" s="3" t="n"/>
      <c r="I443" s="3" t="n"/>
      <c r="J443" s="3" t="n"/>
      <c r="K443" s="3" t="n"/>
      <c r="L443" s="3" t="n"/>
      <c r="M443" s="3" t="n"/>
      <c r="N443" s="3" t="n"/>
      <c r="O443" s="3" t="n"/>
      <c r="P443" s="3" t="n"/>
      <c r="Q443" s="3" t="n"/>
      <c r="R443" s="3" t="n"/>
      <c r="S443" s="3" t="n"/>
    </row>
    <row r="444" ht="25" customHeight="1">
      <c r="A444" s="2" t="n"/>
      <c r="B444" s="2" t="n"/>
      <c r="C444" s="2" t="n"/>
      <c r="D444" s="2" t="n"/>
      <c r="E444" s="2" t="n"/>
      <c r="F444" s="2" t="n"/>
      <c r="G444" s="2" t="n"/>
      <c r="H444" s="2" t="n"/>
      <c r="I444" s="2" t="n"/>
      <c r="J444" s="2" t="n"/>
      <c r="K444" s="2" t="n"/>
      <c r="L444" s="2" t="n"/>
      <c r="M444" s="2" t="n"/>
      <c r="N444" s="2" t="n"/>
      <c r="O444" s="2" t="n"/>
      <c r="P444" s="2" t="n"/>
      <c r="Q444" s="2" t="n"/>
      <c r="R444" s="2" t="n"/>
      <c r="S444" s="2" t="n"/>
    </row>
    <row r="445" ht="25" customHeight="1">
      <c r="A445" s="3" t="n"/>
      <c r="B445" s="3" t="n"/>
      <c r="C445" s="3" t="n"/>
      <c r="D445" s="3" t="n"/>
      <c r="E445" s="3" t="n"/>
      <c r="F445" s="3" t="n"/>
      <c r="G445" s="3" t="n"/>
      <c r="H445" s="3" t="n"/>
      <c r="I445" s="3" t="n"/>
      <c r="J445" s="3" t="n"/>
      <c r="K445" s="3" t="n"/>
      <c r="L445" s="3" t="n"/>
      <c r="M445" s="3" t="n"/>
      <c r="N445" s="3" t="n"/>
      <c r="O445" s="3" t="n"/>
      <c r="P445" s="3" t="n"/>
      <c r="Q445" s="3" t="n"/>
      <c r="R445" s="3" t="n"/>
      <c r="S445" s="3" t="n"/>
    </row>
    <row r="446" ht="25" customHeight="1">
      <c r="A446" s="2" t="n"/>
      <c r="B446" s="2" t="n"/>
      <c r="C446" s="2" t="n"/>
      <c r="D446" s="2" t="n"/>
      <c r="E446" s="2" t="n"/>
      <c r="F446" s="2" t="n"/>
      <c r="G446" s="2" t="n"/>
      <c r="H446" s="2" t="n"/>
      <c r="I446" s="2" t="n"/>
      <c r="J446" s="2" t="n"/>
      <c r="K446" s="2" t="n"/>
      <c r="L446" s="2" t="n"/>
      <c r="M446" s="2" t="n"/>
      <c r="N446" s="2" t="n"/>
      <c r="O446" s="2" t="n"/>
      <c r="P446" s="2" t="n"/>
      <c r="Q446" s="2" t="n"/>
      <c r="R446" s="2" t="n"/>
      <c r="S446" s="2" t="n"/>
    </row>
    <row r="447" ht="25" customHeight="1">
      <c r="A447" s="3" t="n"/>
      <c r="B447" s="3" t="n"/>
      <c r="C447" s="3" t="n"/>
      <c r="D447" s="3" t="n"/>
      <c r="E447" s="3" t="n"/>
      <c r="F447" s="3" t="n"/>
      <c r="G447" s="3" t="n"/>
      <c r="H447" s="3" t="n"/>
      <c r="I447" s="3" t="n"/>
      <c r="J447" s="3" t="n"/>
      <c r="K447" s="3" t="n"/>
      <c r="L447" s="3" t="n"/>
      <c r="M447" s="3" t="n"/>
      <c r="N447" s="3" t="n"/>
      <c r="O447" s="3" t="n"/>
      <c r="P447" s="3" t="n"/>
      <c r="Q447" s="3" t="n"/>
      <c r="R447" s="3" t="n"/>
      <c r="S447" s="3" t="n"/>
    </row>
    <row r="448" ht="25" customHeight="1">
      <c r="A448" s="2" t="n"/>
      <c r="B448" s="2" t="n"/>
      <c r="C448" s="2" t="n"/>
      <c r="D448" s="2" t="n"/>
      <c r="E448" s="2" t="n"/>
      <c r="F448" s="2" t="n"/>
      <c r="G448" s="2" t="n"/>
      <c r="H448" s="2" t="n"/>
      <c r="I448" s="2" t="n"/>
      <c r="J448" s="2" t="n"/>
      <c r="K448" s="2" t="n"/>
      <c r="L448" s="2" t="n"/>
      <c r="M448" s="2" t="n"/>
      <c r="N448" s="2" t="n"/>
      <c r="O448" s="2" t="n"/>
      <c r="P448" s="2" t="n"/>
      <c r="Q448" s="2" t="n"/>
      <c r="R448" s="2" t="n"/>
      <c r="S448" s="2" t="n"/>
    </row>
    <row r="449" ht="25" customHeight="1">
      <c r="A449" s="3" t="n"/>
      <c r="B449" s="3" t="n"/>
      <c r="C449" s="3" t="n"/>
      <c r="D449" s="3" t="n"/>
      <c r="E449" s="3" t="n"/>
      <c r="F449" s="3" t="n"/>
      <c r="G449" s="3" t="n"/>
      <c r="H449" s="3" t="n"/>
      <c r="I449" s="3" t="n"/>
      <c r="J449" s="3" t="n"/>
      <c r="K449" s="3" t="n"/>
      <c r="L449" s="3" t="n"/>
      <c r="M449" s="3" t="n"/>
      <c r="N449" s="3" t="n"/>
      <c r="O449" s="3" t="n"/>
      <c r="P449" s="3" t="n"/>
      <c r="Q449" s="3" t="n"/>
      <c r="R449" s="3" t="n"/>
      <c r="S449" s="3" t="n"/>
    </row>
    <row r="450" ht="25" customHeight="1">
      <c r="A450" s="2" t="n"/>
      <c r="B450" s="2" t="n"/>
      <c r="C450" s="2" t="n"/>
      <c r="D450" s="2" t="n"/>
      <c r="E450" s="2" t="n"/>
      <c r="F450" s="2" t="n"/>
      <c r="G450" s="2" t="n"/>
      <c r="H450" s="2" t="n"/>
      <c r="I450" s="2" t="n"/>
      <c r="J450" s="2" t="n"/>
      <c r="K450" s="2" t="n"/>
      <c r="L450" s="2" t="n"/>
      <c r="M450" s="2" t="n"/>
      <c r="N450" s="2" t="n"/>
      <c r="O450" s="2" t="n"/>
      <c r="P450" s="2" t="n"/>
      <c r="Q450" s="2" t="n"/>
      <c r="R450" s="2" t="n"/>
      <c r="S450" s="2" t="n"/>
    </row>
    <row r="451" ht="25" customHeight="1">
      <c r="A451" s="3" t="n"/>
      <c r="B451" s="3" t="n"/>
      <c r="C451" s="3" t="n"/>
      <c r="D451" s="3" t="n"/>
      <c r="E451" s="3" t="n"/>
      <c r="F451" s="3" t="n"/>
      <c r="G451" s="3" t="n"/>
      <c r="H451" s="3" t="n"/>
      <c r="I451" s="3" t="n"/>
      <c r="J451" s="3" t="n"/>
      <c r="K451" s="3" t="n"/>
      <c r="L451" s="3" t="n"/>
      <c r="M451" s="3" t="n"/>
      <c r="N451" s="3" t="n"/>
      <c r="O451" s="3" t="n"/>
      <c r="P451" s="3" t="n"/>
      <c r="Q451" s="3" t="n"/>
      <c r="R451" s="3" t="n"/>
      <c r="S451" s="3" t="n"/>
    </row>
    <row r="452" ht="25" customHeight="1">
      <c r="A452" s="2" t="n"/>
      <c r="B452" s="2" t="n"/>
      <c r="C452" s="2" t="n"/>
      <c r="D452" s="2" t="n"/>
      <c r="E452" s="2" t="n"/>
      <c r="F452" s="2" t="n"/>
      <c r="G452" s="2" t="n"/>
      <c r="H452" s="2" t="n"/>
      <c r="I452" s="2" t="n"/>
      <c r="J452" s="2" t="n"/>
      <c r="K452" s="2" t="n"/>
      <c r="L452" s="2" t="n"/>
      <c r="M452" s="2" t="n"/>
      <c r="N452" s="2" t="n"/>
      <c r="O452" s="2" t="n"/>
      <c r="P452" s="2" t="n"/>
      <c r="Q452" s="2" t="n"/>
      <c r="R452" s="2" t="n"/>
      <c r="S452" s="2" t="n"/>
    </row>
    <row r="453" ht="25" customHeight="1">
      <c r="A453" s="3" t="n"/>
      <c r="B453" s="3" t="n"/>
      <c r="C453" s="3" t="n"/>
      <c r="D453" s="3" t="n"/>
      <c r="E453" s="3" t="n"/>
      <c r="F453" s="3" t="n"/>
      <c r="G453" s="3" t="n"/>
      <c r="H453" s="3" t="n"/>
      <c r="I453" s="3" t="n"/>
      <c r="J453" s="3" t="n"/>
      <c r="K453" s="3" t="n"/>
      <c r="L453" s="3" t="n"/>
      <c r="M453" s="3" t="n"/>
      <c r="N453" s="3" t="n"/>
      <c r="O453" s="3" t="n"/>
      <c r="P453" s="3" t="n"/>
      <c r="Q453" s="3" t="n"/>
      <c r="R453" s="3" t="n"/>
      <c r="S453" s="3" t="n"/>
    </row>
    <row r="454" ht="25" customHeight="1">
      <c r="A454" s="2" t="n"/>
      <c r="B454" s="2" t="n"/>
      <c r="C454" s="2" t="n"/>
      <c r="D454" s="2" t="n"/>
      <c r="E454" s="2" t="n"/>
      <c r="F454" s="2" t="n"/>
      <c r="G454" s="2" t="n"/>
      <c r="H454" s="2" t="n"/>
      <c r="I454" s="2" t="n"/>
      <c r="J454" s="2" t="n"/>
      <c r="K454" s="2" t="n"/>
      <c r="L454" s="2" t="n"/>
      <c r="M454" s="2" t="n"/>
      <c r="N454" s="2" t="n"/>
      <c r="O454" s="2" t="n"/>
      <c r="P454" s="2" t="n"/>
      <c r="Q454" s="2" t="n"/>
      <c r="R454" s="2" t="n"/>
      <c r="S454" s="2" t="n"/>
    </row>
    <row r="455" ht="25" customHeight="1">
      <c r="A455" s="3" t="n"/>
      <c r="B455" s="3" t="n"/>
      <c r="C455" s="3" t="n"/>
      <c r="D455" s="3" t="n"/>
      <c r="E455" s="3" t="n"/>
      <c r="F455" s="3" t="n"/>
      <c r="G455" s="3" t="n"/>
      <c r="H455" s="3" t="n"/>
      <c r="I455" s="3" t="n"/>
      <c r="J455" s="3" t="n"/>
      <c r="K455" s="3" t="n"/>
      <c r="L455" s="3" t="n"/>
      <c r="M455" s="3" t="n"/>
      <c r="N455" s="3" t="n"/>
      <c r="O455" s="3" t="n"/>
      <c r="P455" s="3" t="n"/>
      <c r="Q455" s="3" t="n"/>
      <c r="R455" s="3" t="n"/>
      <c r="S455" s="3" t="n"/>
    </row>
    <row r="456" ht="25" customHeight="1">
      <c r="A456" s="2" t="n"/>
      <c r="B456" s="2" t="n"/>
      <c r="C456" s="2" t="n"/>
      <c r="D456" s="2" t="n"/>
      <c r="E456" s="2" t="n"/>
      <c r="F456" s="2" t="n"/>
      <c r="G456" s="2" t="n"/>
      <c r="H456" s="2" t="n"/>
      <c r="I456" s="2" t="n"/>
      <c r="J456" s="2" t="n"/>
      <c r="K456" s="2" t="n"/>
      <c r="L456" s="2" t="n"/>
      <c r="M456" s="2" t="n"/>
      <c r="N456" s="2" t="n"/>
      <c r="O456" s="2" t="n"/>
      <c r="P456" s="2" t="n"/>
      <c r="Q456" s="2" t="n"/>
      <c r="R456" s="2" t="n"/>
      <c r="S456" s="2" t="n"/>
    </row>
    <row r="457" ht="25" customHeight="1">
      <c r="A457" s="3" t="n"/>
      <c r="B457" s="3" t="n"/>
      <c r="C457" s="3" t="n"/>
      <c r="D457" s="3" t="n"/>
      <c r="E457" s="3" t="n"/>
      <c r="F457" s="3" t="n"/>
      <c r="G457" s="3" t="n"/>
      <c r="H457" s="3" t="n"/>
      <c r="I457" s="3" t="n"/>
      <c r="J457" s="3" t="n"/>
      <c r="K457" s="3" t="n"/>
      <c r="L457" s="3" t="n"/>
      <c r="M457" s="3" t="n"/>
      <c r="N457" s="3" t="n"/>
      <c r="O457" s="3" t="n"/>
      <c r="P457" s="3" t="n"/>
      <c r="Q457" s="3" t="n"/>
      <c r="R457" s="3" t="n"/>
      <c r="S457" s="3" t="n"/>
    </row>
    <row r="458" ht="25" customHeight="1">
      <c r="A458" s="2" t="n"/>
      <c r="B458" s="2" t="n"/>
      <c r="C458" s="2" t="n"/>
      <c r="D458" s="2" t="n"/>
      <c r="E458" s="2" t="n"/>
      <c r="F458" s="2" t="n"/>
      <c r="G458" s="2" t="n"/>
      <c r="H458" s="2" t="n"/>
      <c r="I458" s="2" t="n"/>
      <c r="J458" s="2" t="n"/>
      <c r="K458" s="2" t="n"/>
      <c r="L458" s="2" t="n"/>
      <c r="M458" s="2" t="n"/>
      <c r="N458" s="2" t="n"/>
      <c r="O458" s="2" t="n"/>
      <c r="P458" s="2" t="n"/>
      <c r="Q458" s="2" t="n"/>
      <c r="R458" s="2" t="n"/>
      <c r="S458" s="2" t="n"/>
    </row>
    <row r="459" ht="25" customHeight="1">
      <c r="A459" s="3" t="n"/>
      <c r="B459" s="3" t="n"/>
      <c r="C459" s="3" t="n"/>
      <c r="D459" s="3" t="n"/>
      <c r="E459" s="3" t="n"/>
      <c r="F459" s="3" t="n"/>
      <c r="G459" s="3" t="n"/>
      <c r="H459" s="3" t="n"/>
      <c r="I459" s="3" t="n"/>
      <c r="J459" s="3" t="n"/>
      <c r="K459" s="3" t="n"/>
      <c r="L459" s="3" t="n"/>
      <c r="M459" s="3" t="n"/>
      <c r="N459" s="3" t="n"/>
      <c r="O459" s="3" t="n"/>
      <c r="P459" s="3" t="n"/>
      <c r="Q459" s="3" t="n"/>
      <c r="R459" s="3" t="n"/>
      <c r="S459" s="3" t="n"/>
    </row>
    <row r="460" ht="25" customHeight="1">
      <c r="A460" s="2" t="n"/>
      <c r="B460" s="2" t="n"/>
      <c r="C460" s="2" t="n"/>
      <c r="D460" s="2" t="n"/>
      <c r="E460" s="2" t="n"/>
      <c r="F460" s="2" t="n"/>
      <c r="G460" s="2" t="n"/>
      <c r="H460" s="2" t="n"/>
      <c r="I460" s="2" t="n"/>
      <c r="J460" s="2" t="n"/>
      <c r="K460" s="2" t="n"/>
      <c r="L460" s="2" t="n"/>
      <c r="M460" s="2" t="n"/>
      <c r="N460" s="2" t="n"/>
      <c r="O460" s="2" t="n"/>
      <c r="P460" s="2" t="n"/>
      <c r="Q460" s="2" t="n"/>
      <c r="R460" s="2" t="n"/>
      <c r="S460" s="2" t="n"/>
    </row>
    <row r="461" ht="25" customHeight="1">
      <c r="A461" s="3" t="n"/>
      <c r="B461" s="3" t="n"/>
      <c r="C461" s="3" t="n"/>
      <c r="D461" s="3" t="n"/>
      <c r="E461" s="3" t="n"/>
      <c r="F461" s="3" t="n"/>
      <c r="G461" s="3" t="n"/>
      <c r="H461" s="3" t="n"/>
      <c r="I461" s="3" t="n"/>
      <c r="J461" s="3" t="n"/>
      <c r="K461" s="3" t="n"/>
      <c r="L461" s="3" t="n"/>
      <c r="M461" s="3" t="n"/>
      <c r="N461" s="3" t="n"/>
      <c r="O461" s="3" t="n"/>
      <c r="P461" s="3" t="n"/>
      <c r="Q461" s="3" t="n"/>
      <c r="R461" s="3" t="n"/>
      <c r="S461" s="3" t="n"/>
    </row>
    <row r="462" ht="25" customHeight="1">
      <c r="A462" s="2" t="n"/>
      <c r="B462" s="2" t="n"/>
      <c r="C462" s="2" t="n"/>
      <c r="D462" s="2" t="n"/>
      <c r="E462" s="2" t="n"/>
      <c r="F462" s="2" t="n"/>
      <c r="G462" s="2" t="n"/>
      <c r="H462" s="2" t="n"/>
      <c r="I462" s="2" t="n"/>
      <c r="J462" s="2" t="n"/>
      <c r="K462" s="2" t="n"/>
      <c r="L462" s="2" t="n"/>
      <c r="M462" s="2" t="n"/>
      <c r="N462" s="2" t="n"/>
      <c r="O462" s="2" t="n"/>
      <c r="P462" s="2" t="n"/>
      <c r="Q462" s="2" t="n"/>
      <c r="R462" s="2" t="n"/>
      <c r="S462" s="2" t="n"/>
    </row>
    <row r="463" ht="25" customHeight="1">
      <c r="A463" s="3" t="n"/>
      <c r="B463" s="3" t="n"/>
      <c r="C463" s="3" t="n"/>
      <c r="D463" s="3" t="n"/>
      <c r="E463" s="3" t="n"/>
      <c r="F463" s="3" t="n"/>
      <c r="G463" s="3" t="n"/>
      <c r="H463" s="3" t="n"/>
      <c r="I463" s="3" t="n"/>
      <c r="J463" s="3" t="n"/>
      <c r="K463" s="3" t="n"/>
      <c r="L463" s="3" t="n"/>
      <c r="M463" s="3" t="n"/>
      <c r="N463" s="3" t="n"/>
      <c r="O463" s="3" t="n"/>
      <c r="P463" s="3" t="n"/>
      <c r="Q463" s="3" t="n"/>
      <c r="R463" s="3" t="n"/>
      <c r="S463" s="3" t="n"/>
    </row>
    <row r="464" ht="25" customHeight="1">
      <c r="A464" s="2" t="n"/>
      <c r="B464" s="2" t="n"/>
      <c r="C464" s="2" t="n"/>
      <c r="D464" s="2" t="n"/>
      <c r="E464" s="2" t="n"/>
      <c r="F464" s="2" t="n"/>
      <c r="G464" s="2" t="n"/>
      <c r="H464" s="2" t="n"/>
      <c r="I464" s="2" t="n"/>
      <c r="J464" s="2" t="n"/>
      <c r="K464" s="2" t="n"/>
      <c r="L464" s="2" t="n"/>
      <c r="M464" s="2" t="n"/>
      <c r="N464" s="2" t="n"/>
      <c r="O464" s="2" t="n"/>
      <c r="P464" s="2" t="n"/>
      <c r="Q464" s="2" t="n"/>
      <c r="R464" s="2" t="n"/>
      <c r="S464" s="2" t="n"/>
    </row>
    <row r="465" ht="25" customHeight="1">
      <c r="A465" s="3" t="n"/>
      <c r="B465" s="3" t="n"/>
      <c r="C465" s="3" t="n"/>
      <c r="D465" s="3" t="n"/>
      <c r="E465" s="3" t="n"/>
      <c r="F465" s="3" t="n"/>
      <c r="G465" s="3" t="n"/>
      <c r="H465" s="3" t="n"/>
      <c r="I465" s="3" t="n"/>
      <c r="J465" s="3" t="n"/>
      <c r="K465" s="3" t="n"/>
      <c r="L465" s="3" t="n"/>
      <c r="M465" s="3" t="n"/>
      <c r="N465" s="3" t="n"/>
      <c r="O465" s="3" t="n"/>
      <c r="P465" s="3" t="n"/>
      <c r="Q465" s="3" t="n"/>
      <c r="R465" s="3" t="n"/>
      <c r="S465" s="3" t="n"/>
    </row>
    <row r="466" ht="25" customHeight="1">
      <c r="A466" s="2" t="n"/>
      <c r="B466" s="2" t="n"/>
      <c r="C466" s="2" t="n"/>
      <c r="D466" s="2" t="n"/>
      <c r="E466" s="2" t="n"/>
      <c r="F466" s="2" t="n"/>
      <c r="G466" s="2" t="n"/>
      <c r="H466" s="2" t="n"/>
      <c r="I466" s="2" t="n"/>
      <c r="J466" s="2" t="n"/>
      <c r="K466" s="2" t="n"/>
      <c r="L466" s="2" t="n"/>
      <c r="M466" s="2" t="n"/>
      <c r="N466" s="2" t="n"/>
      <c r="O466" s="2" t="n"/>
      <c r="P466" s="2" t="n"/>
      <c r="Q466" s="2" t="n"/>
      <c r="R466" s="2" t="n"/>
      <c r="S466" s="2" t="n"/>
    </row>
    <row r="467" ht="25" customHeight="1">
      <c r="A467" s="3" t="n"/>
      <c r="B467" s="3" t="n"/>
      <c r="C467" s="3" t="n"/>
      <c r="D467" s="3" t="n"/>
      <c r="E467" s="3" t="n"/>
      <c r="F467" s="3" t="n"/>
      <c r="G467" s="3" t="n"/>
      <c r="H467" s="3" t="n"/>
      <c r="I467" s="3" t="n"/>
      <c r="J467" s="3" t="n"/>
      <c r="K467" s="3" t="n"/>
      <c r="L467" s="3" t="n"/>
      <c r="M467" s="3" t="n"/>
      <c r="N467" s="3" t="n"/>
      <c r="O467" s="3" t="n"/>
      <c r="P467" s="3" t="n"/>
      <c r="Q467" s="3" t="n"/>
      <c r="R467" s="3" t="n"/>
      <c r="S467" s="3" t="n"/>
    </row>
    <row r="468" ht="25" customHeight="1">
      <c r="A468" s="2" t="n"/>
      <c r="B468" s="2" t="n"/>
      <c r="C468" s="2" t="n"/>
      <c r="D468" s="2" t="n"/>
      <c r="E468" s="2" t="n"/>
      <c r="F468" s="2" t="n"/>
      <c r="G468" s="2" t="n"/>
      <c r="H468" s="2" t="n"/>
      <c r="I468" s="2" t="n"/>
      <c r="J468" s="2" t="n"/>
      <c r="K468" s="2" t="n"/>
      <c r="L468" s="2" t="n"/>
      <c r="M468" s="2" t="n"/>
      <c r="N468" s="2" t="n"/>
      <c r="O468" s="2" t="n"/>
      <c r="P468" s="2" t="n"/>
      <c r="Q468" s="2" t="n"/>
      <c r="R468" s="2" t="n"/>
      <c r="S468" s="2" t="n"/>
    </row>
    <row r="469" ht="25" customHeight="1">
      <c r="A469" s="3" t="n"/>
      <c r="B469" s="3" t="n"/>
      <c r="C469" s="3" t="n"/>
      <c r="D469" s="3" t="n"/>
      <c r="E469" s="3" t="n"/>
      <c r="F469" s="3" t="n"/>
      <c r="G469" s="3" t="n"/>
      <c r="H469" s="3" t="n"/>
      <c r="I469" s="3" t="n"/>
      <c r="J469" s="3" t="n"/>
      <c r="K469" s="3" t="n"/>
      <c r="L469" s="3" t="n"/>
      <c r="M469" s="3" t="n"/>
      <c r="N469" s="3" t="n"/>
      <c r="O469" s="3" t="n"/>
      <c r="P469" s="3" t="n"/>
      <c r="Q469" s="3" t="n"/>
      <c r="R469" s="3" t="n"/>
      <c r="S469" s="3" t="n"/>
    </row>
    <row r="470" ht="25" customHeight="1">
      <c r="A470" s="2" t="n"/>
      <c r="B470" s="2" t="n"/>
      <c r="C470" s="2" t="n"/>
      <c r="D470" s="2" t="n"/>
      <c r="E470" s="2" t="n"/>
      <c r="F470" s="2" t="n"/>
      <c r="G470" s="2" t="n"/>
      <c r="H470" s="2" t="n"/>
      <c r="I470" s="2" t="n"/>
      <c r="J470" s="2" t="n"/>
      <c r="K470" s="2" t="n"/>
      <c r="L470" s="2" t="n"/>
      <c r="M470" s="2" t="n"/>
      <c r="N470" s="2" t="n"/>
      <c r="O470" s="2" t="n"/>
      <c r="P470" s="2" t="n"/>
      <c r="Q470" s="2" t="n"/>
      <c r="R470" s="2" t="n"/>
      <c r="S470" s="2" t="n"/>
    </row>
    <row r="471" ht="25" customHeight="1">
      <c r="A471" s="3" t="n"/>
      <c r="B471" s="3" t="n"/>
      <c r="C471" s="3" t="n"/>
      <c r="D471" s="3" t="n"/>
      <c r="E471" s="3" t="n"/>
      <c r="F471" s="3" t="n"/>
      <c r="G471" s="3" t="n"/>
      <c r="H471" s="3" t="n"/>
      <c r="I471" s="3" t="n"/>
      <c r="J471" s="3" t="n"/>
      <c r="K471" s="3" t="n"/>
      <c r="L471" s="3" t="n"/>
      <c r="M471" s="3" t="n"/>
      <c r="N471" s="3" t="n"/>
      <c r="O471" s="3" t="n"/>
      <c r="P471" s="3" t="n"/>
      <c r="Q471" s="3" t="n"/>
      <c r="R471" s="3" t="n"/>
      <c r="S471" s="3" t="n"/>
    </row>
    <row r="472" ht="25" customHeight="1">
      <c r="A472" s="2" t="n"/>
      <c r="B472" s="2" t="n"/>
      <c r="C472" s="2" t="n"/>
      <c r="D472" s="2" t="n"/>
      <c r="E472" s="2" t="n"/>
      <c r="F472" s="2" t="n"/>
      <c r="G472" s="2" t="n"/>
      <c r="H472" s="2" t="n"/>
      <c r="I472" s="2" t="n"/>
      <c r="J472" s="2" t="n"/>
      <c r="K472" s="2" t="n"/>
      <c r="L472" s="2" t="n"/>
      <c r="M472" s="2" t="n"/>
      <c r="N472" s="2" t="n"/>
      <c r="O472" s="2" t="n"/>
      <c r="P472" s="2" t="n"/>
      <c r="Q472" s="2" t="n"/>
      <c r="R472" s="2" t="n"/>
      <c r="S472" s="2" t="n"/>
    </row>
    <row r="473" ht="25" customHeight="1">
      <c r="A473" s="3" t="n"/>
      <c r="B473" s="3" t="n"/>
      <c r="C473" s="3" t="n"/>
      <c r="D473" s="3" t="n"/>
      <c r="E473" s="3" t="n"/>
      <c r="F473" s="3" t="n"/>
      <c r="G473" s="3" t="n"/>
      <c r="H473" s="3" t="n"/>
      <c r="I473" s="3" t="n"/>
      <c r="J473" s="3" t="n"/>
      <c r="K473" s="3" t="n"/>
      <c r="L473" s="3" t="n"/>
      <c r="M473" s="3" t="n"/>
      <c r="N473" s="3" t="n"/>
      <c r="O473" s="3" t="n"/>
      <c r="P473" s="3" t="n"/>
      <c r="Q473" s="3" t="n"/>
      <c r="R473" s="3" t="n"/>
      <c r="S473" s="3" t="n"/>
    </row>
    <row r="474" ht="25" customHeight="1">
      <c r="A474" s="2" t="n"/>
      <c r="B474" s="2" t="n"/>
      <c r="C474" s="2" t="n"/>
      <c r="D474" s="2" t="n"/>
      <c r="E474" s="2" t="n"/>
      <c r="F474" s="2" t="n"/>
      <c r="G474" s="2" t="n"/>
      <c r="H474" s="2" t="n"/>
      <c r="I474" s="2" t="n"/>
      <c r="J474" s="2" t="n"/>
      <c r="K474" s="2" t="n"/>
      <c r="L474" s="2" t="n"/>
      <c r="M474" s="2" t="n"/>
      <c r="N474" s="2" t="n"/>
      <c r="O474" s="2" t="n"/>
      <c r="P474" s="2" t="n"/>
      <c r="Q474" s="2" t="n"/>
      <c r="R474" s="2" t="n"/>
      <c r="S474" s="2" t="n"/>
    </row>
    <row r="475" ht="25" customHeight="1">
      <c r="A475" s="3" t="n"/>
      <c r="B475" s="3" t="n"/>
      <c r="C475" s="3" t="n"/>
      <c r="D475" s="3" t="n"/>
      <c r="E475" s="3" t="n"/>
      <c r="F475" s="3" t="n"/>
      <c r="G475" s="3" t="n"/>
      <c r="H475" s="3" t="n"/>
      <c r="I475" s="3" t="n"/>
      <c r="J475" s="3" t="n"/>
      <c r="K475" s="3" t="n"/>
      <c r="L475" s="3" t="n"/>
      <c r="M475" s="3" t="n"/>
      <c r="N475" s="3" t="n"/>
      <c r="O475" s="3" t="n"/>
      <c r="P475" s="3" t="n"/>
      <c r="Q475" s="3" t="n"/>
      <c r="R475" s="3" t="n"/>
      <c r="S475" s="3" t="n"/>
    </row>
    <row r="476" ht="25" customHeight="1">
      <c r="A476" s="2" t="n"/>
      <c r="B476" s="2" t="n"/>
      <c r="C476" s="2" t="n"/>
      <c r="D476" s="2" t="n"/>
      <c r="E476" s="2" t="n"/>
      <c r="F476" s="2" t="n"/>
      <c r="G476" s="2" t="n"/>
      <c r="H476" s="2" t="n"/>
      <c r="I476" s="2" t="n"/>
      <c r="J476" s="2" t="n"/>
      <c r="K476" s="2" t="n"/>
      <c r="L476" s="2" t="n"/>
      <c r="M476" s="2" t="n"/>
      <c r="N476" s="2" t="n"/>
      <c r="O476" s="2" t="n"/>
      <c r="P476" s="2" t="n"/>
      <c r="Q476" s="2" t="n"/>
      <c r="R476" s="2" t="n"/>
      <c r="S476" s="2" t="n"/>
    </row>
    <row r="477" ht="25" customHeight="1">
      <c r="A477" s="3" t="n"/>
      <c r="B477" s="3" t="n"/>
      <c r="C477" s="3" t="n"/>
      <c r="D477" s="3" t="n"/>
      <c r="E477" s="3" t="n"/>
      <c r="F477" s="3" t="n"/>
      <c r="G477" s="3" t="n"/>
      <c r="H477" s="3" t="n"/>
      <c r="I477" s="3" t="n"/>
      <c r="J477" s="3" t="n"/>
      <c r="K477" s="3" t="n"/>
      <c r="L477" s="3" t="n"/>
      <c r="M477" s="3" t="n"/>
      <c r="N477" s="3" t="n"/>
      <c r="O477" s="3" t="n"/>
      <c r="P477" s="3" t="n"/>
      <c r="Q477" s="3" t="n"/>
      <c r="R477" s="3" t="n"/>
      <c r="S477" s="3" t="n"/>
    </row>
    <row r="478" ht="25" customHeight="1">
      <c r="A478" s="2" t="n"/>
      <c r="B478" s="2" t="n"/>
      <c r="C478" s="2" t="n"/>
      <c r="D478" s="2" t="n"/>
      <c r="E478" s="2" t="n"/>
      <c r="F478" s="2" t="n"/>
      <c r="G478" s="2" t="n"/>
      <c r="H478" s="2" t="n"/>
      <c r="I478" s="2" t="n"/>
      <c r="J478" s="2" t="n"/>
      <c r="K478" s="2" t="n"/>
      <c r="L478" s="2" t="n"/>
      <c r="M478" s="2" t="n"/>
      <c r="N478" s="2" t="n"/>
      <c r="O478" s="2" t="n"/>
      <c r="P478" s="2" t="n"/>
      <c r="Q478" s="2" t="n"/>
      <c r="R478" s="2" t="n"/>
      <c r="S478" s="2" t="n"/>
    </row>
    <row r="479" ht="25" customHeight="1">
      <c r="A479" s="3" t="n"/>
      <c r="B479" s="3" t="n"/>
      <c r="C479" s="3" t="n"/>
      <c r="D479" s="3" t="n"/>
      <c r="E479" s="3" t="n"/>
      <c r="F479" s="3" t="n"/>
      <c r="G479" s="3" t="n"/>
      <c r="H479" s="3" t="n"/>
      <c r="I479" s="3" t="n"/>
      <c r="J479" s="3" t="n"/>
      <c r="K479" s="3" t="n"/>
      <c r="L479" s="3" t="n"/>
      <c r="M479" s="3" t="n"/>
      <c r="N479" s="3" t="n"/>
      <c r="O479" s="3" t="n"/>
      <c r="P479" s="3" t="n"/>
      <c r="Q479" s="3" t="n"/>
      <c r="R479" s="3" t="n"/>
      <c r="S479" s="3" t="n"/>
    </row>
    <row r="480" ht="25" customHeight="1">
      <c r="A480" s="2" t="n"/>
      <c r="B480" s="2" t="n"/>
      <c r="C480" s="2" t="n"/>
      <c r="D480" s="2" t="n"/>
      <c r="E480" s="2" t="n"/>
      <c r="F480" s="2" t="n"/>
      <c r="G480" s="2" t="n"/>
      <c r="H480" s="2" t="n"/>
      <c r="I480" s="2" t="n"/>
      <c r="J480" s="2" t="n"/>
      <c r="K480" s="2" t="n"/>
      <c r="L480" s="2" t="n"/>
      <c r="M480" s="2" t="n"/>
      <c r="N480" s="2" t="n"/>
      <c r="O480" s="2" t="n"/>
      <c r="P480" s="2" t="n"/>
      <c r="Q480" s="2" t="n"/>
      <c r="R480" s="2" t="n"/>
      <c r="S480" s="2" t="n"/>
    </row>
    <row r="481" ht="25" customHeight="1">
      <c r="A481" s="3" t="n"/>
      <c r="B481" s="3" t="n"/>
      <c r="C481" s="3" t="n"/>
      <c r="D481" s="3" t="n"/>
      <c r="E481" s="3" t="n"/>
      <c r="F481" s="3" t="n"/>
      <c r="G481" s="3" t="n"/>
      <c r="H481" s="3" t="n"/>
      <c r="I481" s="3" t="n"/>
      <c r="J481" s="3" t="n"/>
      <c r="K481" s="3" t="n"/>
      <c r="L481" s="3" t="n"/>
      <c r="M481" s="3" t="n"/>
      <c r="N481" s="3" t="n"/>
      <c r="O481" s="3" t="n"/>
      <c r="P481" s="3" t="n"/>
      <c r="Q481" s="3" t="n"/>
      <c r="R481" s="3" t="n"/>
      <c r="S481" s="3" t="n"/>
    </row>
    <row r="482" ht="25" customHeight="1">
      <c r="A482" s="2" t="n"/>
      <c r="B482" s="2" t="n"/>
      <c r="C482" s="2" t="n"/>
      <c r="D482" s="2" t="n"/>
      <c r="E482" s="2" t="n"/>
      <c r="F482" s="2" t="n"/>
      <c r="G482" s="2" t="n"/>
      <c r="H482" s="2" t="n"/>
      <c r="I482" s="2" t="n"/>
      <c r="J482" s="2" t="n"/>
      <c r="K482" s="2" t="n"/>
      <c r="L482" s="2" t="n"/>
      <c r="M482" s="2" t="n"/>
      <c r="N482" s="2" t="n"/>
      <c r="O482" s="2" t="n"/>
      <c r="P482" s="2" t="n"/>
      <c r="Q482" s="2" t="n"/>
      <c r="R482" s="2" t="n"/>
      <c r="S482" s="2" t="n"/>
    </row>
    <row r="483" ht="25" customHeight="1">
      <c r="A483" s="3" t="n"/>
      <c r="B483" s="3" t="n"/>
      <c r="C483" s="3" t="n"/>
      <c r="D483" s="3" t="n"/>
      <c r="E483" s="3" t="n"/>
      <c r="F483" s="3" t="n"/>
      <c r="G483" s="3" t="n"/>
      <c r="H483" s="3" t="n"/>
      <c r="I483" s="3" t="n"/>
      <c r="J483" s="3" t="n"/>
      <c r="K483" s="3" t="n"/>
      <c r="L483" s="3" t="n"/>
      <c r="M483" s="3" t="n"/>
      <c r="N483" s="3" t="n"/>
      <c r="O483" s="3" t="n"/>
      <c r="P483" s="3" t="n"/>
      <c r="Q483" s="3" t="n"/>
      <c r="R483" s="3" t="n"/>
      <c r="S483" s="3" t="n"/>
    </row>
    <row r="484" ht="25" customHeight="1">
      <c r="A484" s="2" t="n"/>
      <c r="B484" s="2" t="n"/>
      <c r="C484" s="2" t="n"/>
      <c r="D484" s="2" t="n"/>
      <c r="E484" s="2" t="n"/>
      <c r="F484" s="2" t="n"/>
      <c r="G484" s="2" t="n"/>
      <c r="H484" s="2" t="n"/>
      <c r="I484" s="2" t="n"/>
      <c r="J484" s="2" t="n"/>
      <c r="K484" s="2" t="n"/>
      <c r="L484" s="2" t="n"/>
      <c r="M484" s="2" t="n"/>
      <c r="N484" s="2" t="n"/>
      <c r="O484" s="2" t="n"/>
      <c r="P484" s="2" t="n"/>
      <c r="Q484" s="2" t="n"/>
      <c r="R484" s="2" t="n"/>
      <c r="S484" s="2" t="n"/>
    </row>
    <row r="485" ht="25" customHeight="1">
      <c r="A485" s="3" t="n"/>
      <c r="B485" s="3" t="n"/>
      <c r="C485" s="3" t="n"/>
      <c r="D485" s="3" t="n"/>
      <c r="E485" s="3" t="n"/>
      <c r="F485" s="3" t="n"/>
      <c r="G485" s="3" t="n"/>
      <c r="H485" s="3" t="n"/>
      <c r="I485" s="3" t="n"/>
      <c r="J485" s="3" t="n"/>
      <c r="K485" s="3" t="n"/>
      <c r="L485" s="3" t="n"/>
      <c r="M485" s="3" t="n"/>
      <c r="N485" s="3" t="n"/>
      <c r="O485" s="3" t="n"/>
      <c r="P485" s="3" t="n"/>
      <c r="Q485" s="3" t="n"/>
      <c r="R485" s="3" t="n"/>
      <c r="S485" s="3" t="n"/>
    </row>
    <row r="486" ht="25" customHeight="1">
      <c r="A486" s="2" t="n"/>
      <c r="B486" s="2" t="n"/>
      <c r="C486" s="2" t="n"/>
      <c r="D486" s="2" t="n"/>
      <c r="E486" s="2" t="n"/>
      <c r="F486" s="2" t="n"/>
      <c r="G486" s="2" t="n"/>
      <c r="H486" s="2" t="n"/>
      <c r="I486" s="2" t="n"/>
      <c r="J486" s="2" t="n"/>
      <c r="K486" s="2" t="n"/>
      <c r="L486" s="2" t="n"/>
      <c r="M486" s="2" t="n"/>
      <c r="N486" s="2" t="n"/>
      <c r="O486" s="2" t="n"/>
      <c r="P486" s="2" t="n"/>
      <c r="Q486" s="2" t="n"/>
      <c r="R486" s="2" t="n"/>
      <c r="S486" s="2" t="n"/>
    </row>
    <row r="487" ht="25" customHeight="1">
      <c r="A487" s="3" t="n"/>
      <c r="B487" s="3" t="n"/>
      <c r="C487" s="3" t="n"/>
      <c r="D487" s="3" t="n"/>
      <c r="E487" s="3" t="n"/>
      <c r="F487" s="3" t="n"/>
      <c r="G487" s="3" t="n"/>
      <c r="H487" s="3" t="n"/>
      <c r="I487" s="3" t="n"/>
      <c r="J487" s="3" t="n"/>
      <c r="K487" s="3" t="n"/>
      <c r="L487" s="3" t="n"/>
      <c r="M487" s="3" t="n"/>
      <c r="N487" s="3" t="n"/>
      <c r="O487" s="3" t="n"/>
      <c r="P487" s="3" t="n"/>
      <c r="Q487" s="3" t="n"/>
      <c r="R487" s="3" t="n"/>
      <c r="S487" s="3" t="n"/>
    </row>
    <row r="488" ht="25" customHeight="1">
      <c r="A488" s="2" t="n"/>
      <c r="B488" s="2" t="n"/>
      <c r="C488" s="2" t="n"/>
      <c r="D488" s="2" t="n"/>
      <c r="E488" s="2" t="n"/>
      <c r="F488" s="2" t="n"/>
      <c r="G488" s="2" t="n"/>
      <c r="H488" s="2" t="n"/>
      <c r="I488" s="2" t="n"/>
      <c r="J488" s="2" t="n"/>
      <c r="K488" s="2" t="n"/>
      <c r="L488" s="2" t="n"/>
      <c r="M488" s="2" t="n"/>
      <c r="N488" s="2" t="n"/>
      <c r="O488" s="2" t="n"/>
      <c r="P488" s="2" t="n"/>
      <c r="Q488" s="2" t="n"/>
      <c r="R488" s="2" t="n"/>
      <c r="S488" s="2" t="n"/>
    </row>
    <row r="489" ht="25" customHeight="1">
      <c r="A489" s="3" t="n"/>
      <c r="B489" s="3" t="n"/>
      <c r="C489" s="3" t="n"/>
      <c r="D489" s="3" t="n"/>
      <c r="E489" s="3" t="n"/>
      <c r="F489" s="3" t="n"/>
      <c r="G489" s="3" t="n"/>
      <c r="H489" s="3" t="n"/>
      <c r="I489" s="3" t="n"/>
      <c r="J489" s="3" t="n"/>
      <c r="K489" s="3" t="n"/>
      <c r="L489" s="3" t="n"/>
      <c r="M489" s="3" t="n"/>
      <c r="N489" s="3" t="n"/>
      <c r="O489" s="3" t="n"/>
      <c r="P489" s="3" t="n"/>
      <c r="Q489" s="3" t="n"/>
      <c r="R489" s="3" t="n"/>
      <c r="S489" s="3" t="n"/>
    </row>
    <row r="490" ht="25" customHeight="1">
      <c r="A490" s="2" t="n"/>
      <c r="B490" s="2" t="n"/>
      <c r="C490" s="2" t="n"/>
      <c r="D490" s="2" t="n"/>
      <c r="E490" s="2" t="n"/>
      <c r="F490" s="2" t="n"/>
      <c r="G490" s="2" t="n"/>
      <c r="H490" s="2" t="n"/>
      <c r="I490" s="2" t="n"/>
      <c r="J490" s="2" t="n"/>
      <c r="K490" s="2" t="n"/>
      <c r="L490" s="2" t="n"/>
      <c r="M490" s="2" t="n"/>
      <c r="N490" s="2" t="n"/>
      <c r="O490" s="2" t="n"/>
      <c r="P490" s="2" t="n"/>
      <c r="Q490" s="2" t="n"/>
      <c r="R490" s="2" t="n"/>
      <c r="S490" s="2" t="n"/>
    </row>
    <row r="491" ht="25" customHeight="1">
      <c r="A491" s="3" t="n"/>
      <c r="B491" s="3" t="n"/>
      <c r="C491" s="3" t="n"/>
      <c r="D491" s="3" t="n"/>
      <c r="E491" s="3" t="n"/>
      <c r="F491" s="3" t="n"/>
      <c r="G491" s="3" t="n"/>
      <c r="H491" s="3" t="n"/>
      <c r="I491" s="3" t="n"/>
      <c r="J491" s="3" t="n"/>
      <c r="K491" s="3" t="n"/>
      <c r="L491" s="3" t="n"/>
      <c r="M491" s="3" t="n"/>
      <c r="N491" s="3" t="n"/>
      <c r="O491" s="3" t="n"/>
      <c r="P491" s="3" t="n"/>
      <c r="Q491" s="3" t="n"/>
      <c r="R491" s="3" t="n"/>
      <c r="S491" s="3" t="n"/>
    </row>
    <row r="492" ht="25" customHeight="1">
      <c r="A492" s="2" t="n"/>
      <c r="B492" s="2" t="n"/>
      <c r="C492" s="2" t="n"/>
      <c r="D492" s="2" t="n"/>
      <c r="E492" s="2" t="n"/>
      <c r="F492" s="2" t="n"/>
      <c r="G492" s="2" t="n"/>
      <c r="H492" s="2" t="n"/>
      <c r="I492" s="2" t="n"/>
      <c r="J492" s="2" t="n"/>
      <c r="K492" s="2" t="n"/>
      <c r="L492" s="2" t="n"/>
      <c r="M492" s="2" t="n"/>
      <c r="N492" s="2" t="n"/>
      <c r="O492" s="2" t="n"/>
      <c r="P492" s="2" t="n"/>
      <c r="Q492" s="2" t="n"/>
      <c r="R492" s="2" t="n"/>
      <c r="S492" s="2" t="n"/>
    </row>
    <row r="493" ht="25" customHeight="1">
      <c r="A493" s="3" t="n"/>
      <c r="B493" s="3" t="n"/>
      <c r="C493" s="3" t="n"/>
      <c r="D493" s="3" t="n"/>
      <c r="E493" s="3" t="n"/>
      <c r="F493" s="3" t="n"/>
      <c r="G493" s="3" t="n"/>
      <c r="H493" s="3" t="n"/>
      <c r="I493" s="3" t="n"/>
      <c r="J493" s="3" t="n"/>
      <c r="K493" s="3" t="n"/>
      <c r="L493" s="3" t="n"/>
      <c r="M493" s="3" t="n"/>
      <c r="N493" s="3" t="n"/>
      <c r="O493" s="3" t="n"/>
      <c r="P493" s="3" t="n"/>
      <c r="Q493" s="3" t="n"/>
      <c r="R493" s="3" t="n"/>
      <c r="S493" s="3" t="n"/>
    </row>
    <row r="494" ht="25" customHeight="1">
      <c r="A494" s="2" t="n"/>
      <c r="B494" s="2" t="n"/>
      <c r="C494" s="2" t="n"/>
      <c r="D494" s="2" t="n"/>
      <c r="E494" s="2" t="n"/>
      <c r="F494" s="2" t="n"/>
      <c r="G494" s="2" t="n"/>
      <c r="H494" s="2" t="n"/>
      <c r="I494" s="2" t="n"/>
      <c r="J494" s="2" t="n"/>
      <c r="K494" s="2" t="n"/>
      <c r="L494" s="2" t="n"/>
      <c r="M494" s="2" t="n"/>
      <c r="N494" s="2" t="n"/>
      <c r="O494" s="2" t="n"/>
      <c r="P494" s="2" t="n"/>
      <c r="Q494" s="2" t="n"/>
      <c r="R494" s="2" t="n"/>
      <c r="S494" s="2" t="n"/>
    </row>
    <row r="495" ht="25" customHeight="1">
      <c r="A495" s="3" t="n"/>
      <c r="B495" s="3" t="n"/>
      <c r="C495" s="3" t="n"/>
      <c r="D495" s="3" t="n"/>
      <c r="E495" s="3" t="n"/>
      <c r="F495" s="3" t="n"/>
      <c r="G495" s="3" t="n"/>
      <c r="H495" s="3" t="n"/>
      <c r="I495" s="3" t="n"/>
      <c r="J495" s="3" t="n"/>
      <c r="K495" s="3" t="n"/>
      <c r="L495" s="3" t="n"/>
      <c r="M495" s="3" t="n"/>
      <c r="N495" s="3" t="n"/>
      <c r="O495" s="3" t="n"/>
      <c r="P495" s="3" t="n"/>
      <c r="Q495" s="3" t="n"/>
      <c r="R495" s="3" t="n"/>
      <c r="S495" s="3" t="n"/>
    </row>
    <row r="496" ht="25" customHeight="1">
      <c r="A496" s="2" t="n"/>
      <c r="B496" s="2" t="n"/>
      <c r="C496" s="2" t="n"/>
      <c r="D496" s="2" t="n"/>
      <c r="E496" s="2" t="n"/>
      <c r="F496" s="2" t="n"/>
      <c r="G496" s="2" t="n"/>
      <c r="H496" s="2" t="n"/>
      <c r="I496" s="2" t="n"/>
      <c r="J496" s="2" t="n"/>
      <c r="K496" s="2" t="n"/>
      <c r="L496" s="2" t="n"/>
      <c r="M496" s="2" t="n"/>
      <c r="N496" s="2" t="n"/>
      <c r="O496" s="2" t="n"/>
      <c r="P496" s="2" t="n"/>
      <c r="Q496" s="2" t="n"/>
      <c r="R496" s="2" t="n"/>
      <c r="S496" s="2" t="n"/>
    </row>
    <row r="497" ht="25" customHeight="1">
      <c r="A497" s="3" t="n"/>
      <c r="B497" s="3" t="n"/>
      <c r="C497" s="3" t="n"/>
      <c r="D497" s="3" t="n"/>
      <c r="E497" s="3" t="n"/>
      <c r="F497" s="3" t="n"/>
      <c r="G497" s="3" t="n"/>
      <c r="H497" s="3" t="n"/>
      <c r="I497" s="3" t="n"/>
      <c r="J497" s="3" t="n"/>
      <c r="K497" s="3" t="n"/>
      <c r="L497" s="3" t="n"/>
      <c r="M497" s="3" t="n"/>
      <c r="N497" s="3" t="n"/>
      <c r="O497" s="3" t="n"/>
      <c r="P497" s="3" t="n"/>
      <c r="Q497" s="3" t="n"/>
      <c r="R497" s="3" t="n"/>
      <c r="S497" s="3" t="n"/>
    </row>
    <row r="498" ht="25" customHeight="1">
      <c r="A498" s="2" t="n"/>
      <c r="B498" s="2" t="n"/>
      <c r="C498" s="2" t="n"/>
      <c r="D498" s="2" t="n"/>
      <c r="E498" s="2" t="n"/>
      <c r="F498" s="2" t="n"/>
      <c r="G498" s="2" t="n"/>
      <c r="H498" s="2" t="n"/>
      <c r="I498" s="2" t="n"/>
      <c r="J498" s="2" t="n"/>
      <c r="K498" s="2" t="n"/>
      <c r="L498" s="2" t="n"/>
      <c r="M498" s="2" t="n"/>
      <c r="N498" s="2" t="n"/>
      <c r="O498" s="2" t="n"/>
      <c r="P498" s="2" t="n"/>
      <c r="Q498" s="2" t="n"/>
      <c r="R498" s="2" t="n"/>
      <c r="S498" s="2" t="n"/>
    </row>
    <row r="499" ht="25" customHeight="1">
      <c r="A499" s="3" t="n"/>
      <c r="B499" s="3" t="n"/>
      <c r="C499" s="3" t="n"/>
      <c r="D499" s="3" t="n"/>
      <c r="E499" s="3" t="n"/>
      <c r="F499" s="3" t="n"/>
      <c r="G499" s="3" t="n"/>
      <c r="H499" s="3" t="n"/>
      <c r="I499" s="3" t="n"/>
      <c r="J499" s="3" t="n"/>
      <c r="K499" s="3" t="n"/>
      <c r="L499" s="3" t="n"/>
      <c r="M499" s="3" t="n"/>
      <c r="N499" s="3" t="n"/>
      <c r="O499" s="3" t="n"/>
      <c r="P499" s="3" t="n"/>
      <c r="Q499" s="3" t="n"/>
      <c r="R499" s="3" t="n"/>
      <c r="S499" s="3" t="n"/>
    </row>
    <row r="500" ht="25" customHeight="1">
      <c r="A500" s="2" t="n"/>
      <c r="B500" s="2" t="n"/>
      <c r="C500" s="2" t="n"/>
      <c r="D500" s="2" t="n"/>
      <c r="E500" s="2" t="n"/>
      <c r="F500" s="2" t="n"/>
      <c r="G500" s="2" t="n"/>
      <c r="H500" s="2" t="n"/>
      <c r="I500" s="2" t="n"/>
      <c r="J500" s="2" t="n"/>
      <c r="K500" s="2" t="n"/>
      <c r="L500" s="2" t="n"/>
      <c r="M500" s="2" t="n"/>
      <c r="N500" s="2" t="n"/>
      <c r="O500" s="2" t="n"/>
      <c r="P500" s="2" t="n"/>
      <c r="Q500" s="2" t="n"/>
      <c r="R500" s="2" t="n"/>
      <c r="S500" s="2" t="n"/>
    </row>
    <row r="501" ht="25" customHeight="1">
      <c r="A501" s="3" t="n"/>
      <c r="B501" s="3" t="n"/>
      <c r="C501" s="3" t="n"/>
      <c r="D501" s="3" t="n"/>
      <c r="E501" s="3" t="n"/>
      <c r="F501" s="3" t="n"/>
      <c r="G501" s="3" t="n"/>
      <c r="H501" s="3" t="n"/>
      <c r="I501" s="3" t="n"/>
      <c r="J501" s="3" t="n"/>
      <c r="K501" s="3" t="n"/>
      <c r="L501" s="3" t="n"/>
      <c r="M501" s="3" t="n"/>
      <c r="N501" s="3" t="n"/>
      <c r="O501" s="3" t="n"/>
      <c r="P501" s="3" t="n"/>
      <c r="Q501" s="3" t="n"/>
      <c r="R501" s="3" t="n"/>
      <c r="S501" s="3" t="n"/>
    </row>
    <row r="502" ht="25" customHeight="1">
      <c r="A502" s="2" t="n"/>
      <c r="B502" s="2" t="n"/>
      <c r="C502" s="2" t="n"/>
      <c r="D502" s="2" t="n"/>
      <c r="E502" s="2" t="n"/>
      <c r="F502" s="2" t="n"/>
      <c r="G502" s="2" t="n"/>
      <c r="H502" s="2" t="n"/>
      <c r="I502" s="2" t="n"/>
      <c r="J502" s="2" t="n"/>
      <c r="K502" s="2" t="n"/>
      <c r="L502" s="2" t="n"/>
      <c r="M502" s="2" t="n"/>
      <c r="N502" s="2" t="n"/>
      <c r="O502" s="2" t="n"/>
      <c r="P502" s="2" t="n"/>
      <c r="Q502" s="2" t="n"/>
      <c r="R502" s="2" t="n"/>
      <c r="S502" s="2" t="n"/>
    </row>
    <row r="503" ht="25" customHeight="1">
      <c r="A503" s="3" t="n"/>
      <c r="B503" s="3" t="n"/>
      <c r="C503" s="3" t="n"/>
      <c r="D503" s="3" t="n"/>
      <c r="E503" s="3" t="n"/>
      <c r="F503" s="3" t="n"/>
      <c r="G503" s="3" t="n"/>
      <c r="H503" s="3" t="n"/>
      <c r="I503" s="3" t="n"/>
      <c r="J503" s="3" t="n"/>
      <c r="K503" s="3" t="n"/>
      <c r="L503" s="3" t="n"/>
      <c r="M503" s="3" t="n"/>
      <c r="N503" s="3" t="n"/>
      <c r="O503" s="3" t="n"/>
      <c r="P503" s="3" t="n"/>
      <c r="Q503" s="3" t="n"/>
      <c r="R503" s="3" t="n"/>
      <c r="S503" s="3" t="n"/>
    </row>
    <row r="504" ht="25" customHeight="1">
      <c r="A504" s="2" t="n"/>
      <c r="B504" s="2" t="n"/>
      <c r="C504" s="2" t="n"/>
      <c r="D504" s="2" t="n"/>
      <c r="E504" s="2" t="n"/>
      <c r="F504" s="2" t="n"/>
      <c r="G504" s="2" t="n"/>
      <c r="H504" s="2" t="n"/>
      <c r="I504" s="2" t="n"/>
      <c r="J504" s="2" t="n"/>
      <c r="K504" s="2" t="n"/>
      <c r="L504" s="2" t="n"/>
      <c r="M504" s="2" t="n"/>
      <c r="N504" s="2" t="n"/>
      <c r="O504" s="2" t="n"/>
      <c r="P504" s="2" t="n"/>
      <c r="Q504" s="2" t="n"/>
      <c r="R504" s="2" t="n"/>
      <c r="S504" s="2" t="n"/>
    </row>
    <row r="505" ht="25" customHeight="1">
      <c r="A505" s="3" t="n"/>
      <c r="B505" s="3" t="n"/>
      <c r="C505" s="3" t="n"/>
      <c r="D505" s="3" t="n"/>
      <c r="E505" s="3" t="n"/>
      <c r="F505" s="3" t="n"/>
      <c r="G505" s="3" t="n"/>
      <c r="H505" s="3" t="n"/>
      <c r="I505" s="3" t="n"/>
      <c r="J505" s="3" t="n"/>
      <c r="K505" s="3" t="n"/>
      <c r="L505" s="3" t="n"/>
      <c r="M505" s="3" t="n"/>
      <c r="N505" s="3" t="n"/>
      <c r="O505" s="3" t="n"/>
      <c r="P505" s="3" t="n"/>
      <c r="Q505" s="3" t="n"/>
      <c r="R505" s="3" t="n"/>
      <c r="S505" s="3" t="n"/>
    </row>
    <row r="506" ht="25" customHeight="1">
      <c r="A506" s="2" t="n"/>
      <c r="B506" s="2" t="n"/>
      <c r="C506" s="2" t="n"/>
      <c r="D506" s="2" t="n"/>
      <c r="E506" s="2" t="n"/>
      <c r="F506" s="2" t="n"/>
      <c r="G506" s="2" t="n"/>
      <c r="H506" s="2" t="n"/>
      <c r="I506" s="2" t="n"/>
      <c r="J506" s="2" t="n"/>
      <c r="K506" s="2" t="n"/>
      <c r="L506" s="2" t="n"/>
      <c r="M506" s="2" t="n"/>
      <c r="N506" s="2" t="n"/>
      <c r="O506" s="2" t="n"/>
      <c r="P506" s="2" t="n"/>
      <c r="Q506" s="2" t="n"/>
      <c r="R506" s="2" t="n"/>
      <c r="S506" s="2" t="n"/>
    </row>
    <row r="507" ht="25" customHeight="1">
      <c r="A507" s="3" t="n"/>
      <c r="B507" s="3" t="n"/>
      <c r="C507" s="3" t="n"/>
      <c r="D507" s="3" t="n"/>
      <c r="E507" s="3" t="n"/>
      <c r="F507" s="3" t="n"/>
      <c r="G507" s="3" t="n"/>
      <c r="H507" s="3" t="n"/>
      <c r="I507" s="3" t="n"/>
      <c r="J507" s="3" t="n"/>
      <c r="K507" s="3" t="n"/>
      <c r="L507" s="3" t="n"/>
      <c r="M507" s="3" t="n"/>
      <c r="N507" s="3" t="n"/>
      <c r="O507" s="3" t="n"/>
      <c r="P507" s="3" t="n"/>
      <c r="Q507" s="3" t="n"/>
      <c r="R507" s="3" t="n"/>
      <c r="S507" s="3" t="n"/>
    </row>
    <row r="508" ht="25" customHeight="1">
      <c r="A508" s="2" t="n"/>
      <c r="B508" s="2" t="n"/>
      <c r="C508" s="2" t="n"/>
      <c r="D508" s="2" t="n"/>
      <c r="E508" s="2" t="n"/>
      <c r="F508" s="2" t="n"/>
      <c r="G508" s="2" t="n"/>
      <c r="H508" s="2" t="n"/>
      <c r="I508" s="2" t="n"/>
      <c r="J508" s="2" t="n"/>
      <c r="K508" s="2" t="n"/>
      <c r="L508" s="2" t="n"/>
      <c r="M508" s="2" t="n"/>
      <c r="N508" s="2" t="n"/>
      <c r="O508" s="2" t="n"/>
      <c r="P508" s="2" t="n"/>
      <c r="Q508" s="2" t="n"/>
      <c r="R508" s="2" t="n"/>
      <c r="S508" s="2" t="n"/>
    </row>
    <row r="509" ht="25" customHeight="1">
      <c r="A509" s="3" t="n"/>
      <c r="B509" s="3" t="n"/>
      <c r="C509" s="3" t="n"/>
      <c r="D509" s="3" t="n"/>
      <c r="E509" s="3" t="n"/>
      <c r="F509" s="3" t="n"/>
      <c r="G509" s="3" t="n"/>
      <c r="H509" s="3" t="n"/>
      <c r="I509" s="3" t="n"/>
      <c r="J509" s="3" t="n"/>
      <c r="K509" s="3" t="n"/>
      <c r="L509" s="3" t="n"/>
      <c r="M509" s="3" t="n"/>
      <c r="N509" s="3" t="n"/>
      <c r="O509" s="3" t="n"/>
      <c r="P509" s="3" t="n"/>
      <c r="Q509" s="3" t="n"/>
      <c r="R509" s="3" t="n"/>
      <c r="S509" s="3" t="n"/>
    </row>
    <row r="510" ht="25" customHeight="1">
      <c r="A510" s="2" t="n"/>
      <c r="B510" s="2" t="n"/>
      <c r="C510" s="2" t="n"/>
      <c r="D510" s="2" t="n"/>
      <c r="E510" s="2" t="n"/>
      <c r="F510" s="2" t="n"/>
      <c r="G510" s="2" t="n"/>
      <c r="H510" s="2" t="n"/>
      <c r="I510" s="2" t="n"/>
      <c r="J510" s="2" t="n"/>
      <c r="K510" s="2" t="n"/>
      <c r="L510" s="2" t="n"/>
      <c r="M510" s="2" t="n"/>
      <c r="N510" s="2" t="n"/>
      <c r="O510" s="2" t="n"/>
      <c r="P510" s="2" t="n"/>
      <c r="Q510" s="2" t="n"/>
      <c r="R510" s="2" t="n"/>
      <c r="S510" s="2" t="n"/>
    </row>
    <row r="511" ht="25" customHeight="1">
      <c r="A511" s="3" t="n"/>
      <c r="B511" s="3" t="n"/>
      <c r="C511" s="3" t="n"/>
      <c r="D511" s="3" t="n"/>
      <c r="E511" s="3" t="n"/>
      <c r="F511" s="3" t="n"/>
      <c r="G511" s="3" t="n"/>
      <c r="H511" s="3" t="n"/>
      <c r="I511" s="3" t="n"/>
      <c r="J511" s="3" t="n"/>
      <c r="K511" s="3" t="n"/>
      <c r="L511" s="3" t="n"/>
      <c r="M511" s="3" t="n"/>
      <c r="N511" s="3" t="n"/>
      <c r="O511" s="3" t="n"/>
      <c r="P511" s="3" t="n"/>
      <c r="Q511" s="3" t="n"/>
      <c r="R511" s="3" t="n"/>
      <c r="S511" s="3" t="n"/>
    </row>
    <row r="512" ht="25" customHeight="1">
      <c r="A512" s="2" t="n"/>
      <c r="B512" s="2" t="n"/>
      <c r="C512" s="2" t="n"/>
      <c r="D512" s="2" t="n"/>
      <c r="E512" s="2" t="n"/>
      <c r="F512" s="2" t="n"/>
      <c r="G512" s="2" t="n"/>
      <c r="H512" s="2" t="n"/>
      <c r="I512" s="2" t="n"/>
      <c r="J512" s="2" t="n"/>
      <c r="K512" s="2" t="n"/>
      <c r="L512" s="2" t="n"/>
      <c r="M512" s="2" t="n"/>
      <c r="N512" s="2" t="n"/>
      <c r="O512" s="2" t="n"/>
      <c r="P512" s="2" t="n"/>
      <c r="Q512" s="2" t="n"/>
      <c r="R512" s="2" t="n"/>
      <c r="S512" s="2" t="n"/>
    </row>
    <row r="513" ht="25" customHeight="1">
      <c r="A513" s="3" t="n"/>
      <c r="B513" s="3" t="n"/>
      <c r="C513" s="3" t="n"/>
      <c r="D513" s="3" t="n"/>
      <c r="E513" s="3" t="n"/>
      <c r="F513" s="3" t="n"/>
      <c r="G513" s="3" t="n"/>
      <c r="H513" s="3" t="n"/>
      <c r="I513" s="3" t="n"/>
      <c r="J513" s="3" t="n"/>
      <c r="K513" s="3" t="n"/>
      <c r="L513" s="3" t="n"/>
      <c r="M513" s="3" t="n"/>
      <c r="N513" s="3" t="n"/>
      <c r="O513" s="3" t="n"/>
      <c r="P513" s="3" t="n"/>
      <c r="Q513" s="3" t="n"/>
      <c r="R513" s="3" t="n"/>
      <c r="S513" s="3" t="n"/>
    </row>
    <row r="514" ht="25" customHeight="1">
      <c r="A514" s="2" t="n"/>
      <c r="B514" s="2" t="n"/>
      <c r="C514" s="2" t="n"/>
      <c r="D514" s="2" t="n"/>
      <c r="E514" s="2" t="n"/>
      <c r="F514" s="2" t="n"/>
      <c r="G514" s="2" t="n"/>
      <c r="H514" s="2" t="n"/>
      <c r="I514" s="2" t="n"/>
      <c r="J514" s="2" t="n"/>
      <c r="K514" s="2" t="n"/>
      <c r="L514" s="2" t="n"/>
      <c r="M514" s="2" t="n"/>
      <c r="N514" s="2" t="n"/>
      <c r="O514" s="2" t="n"/>
      <c r="P514" s="2" t="n"/>
      <c r="Q514" s="2" t="n"/>
      <c r="R514" s="2" t="n"/>
      <c r="S514" s="2" t="n"/>
    </row>
    <row r="515" ht="25" customHeight="1">
      <c r="A515" s="3" t="n"/>
      <c r="B515" s="3" t="n"/>
      <c r="C515" s="3" t="n"/>
      <c r="D515" s="3" t="n"/>
      <c r="E515" s="3" t="n"/>
      <c r="F515" s="3" t="n"/>
      <c r="G515" s="3" t="n"/>
      <c r="H515" s="3" t="n"/>
      <c r="I515" s="3" t="n"/>
      <c r="J515" s="3" t="n"/>
      <c r="K515" s="3" t="n"/>
      <c r="L515" s="3" t="n"/>
      <c r="M515" s="3" t="n"/>
      <c r="N515" s="3" t="n"/>
      <c r="O515" s="3" t="n"/>
      <c r="P515" s="3" t="n"/>
      <c r="Q515" s="3" t="n"/>
      <c r="R515" s="3" t="n"/>
      <c r="S515" s="3" t="n"/>
    </row>
    <row r="516" ht="25" customHeight="1">
      <c r="A516" s="2" t="n"/>
      <c r="B516" s="2" t="n"/>
      <c r="C516" s="2" t="n"/>
      <c r="D516" s="2" t="n"/>
      <c r="E516" s="2" t="n"/>
      <c r="F516" s="2" t="n"/>
      <c r="G516" s="2" t="n"/>
      <c r="H516" s="2" t="n"/>
      <c r="I516" s="2" t="n"/>
      <c r="J516" s="2" t="n"/>
      <c r="K516" s="2" t="n"/>
      <c r="L516" s="2" t="n"/>
      <c r="M516" s="2" t="n"/>
      <c r="N516" s="2" t="n"/>
      <c r="O516" s="2" t="n"/>
      <c r="P516" s="2" t="n"/>
      <c r="Q516" s="2" t="n"/>
      <c r="R516" s="2" t="n"/>
      <c r="S516" s="2" t="n"/>
    </row>
    <row r="517" ht="25" customHeight="1">
      <c r="A517" s="3" t="n"/>
      <c r="B517" s="3" t="n"/>
      <c r="C517" s="3" t="n"/>
      <c r="D517" s="3" t="n"/>
      <c r="E517" s="3" t="n"/>
      <c r="F517" s="3" t="n"/>
      <c r="G517" s="3" t="n"/>
      <c r="H517" s="3" t="n"/>
      <c r="I517" s="3" t="n"/>
      <c r="J517" s="3" t="n"/>
      <c r="K517" s="3" t="n"/>
      <c r="L517" s="3" t="n"/>
      <c r="M517" s="3" t="n"/>
      <c r="N517" s="3" t="n"/>
      <c r="O517" s="3" t="n"/>
      <c r="P517" s="3" t="n"/>
      <c r="Q517" s="3" t="n"/>
      <c r="R517" s="3" t="n"/>
      <c r="S517" s="3" t="n"/>
    </row>
    <row r="518" ht="25" customHeight="1">
      <c r="A518" s="2" t="n"/>
      <c r="B518" s="2" t="n"/>
      <c r="C518" s="2" t="n"/>
      <c r="D518" s="2" t="n"/>
      <c r="E518" s="2" t="n"/>
      <c r="F518" s="2" t="n"/>
      <c r="G518" s="2" t="n"/>
      <c r="H518" s="2" t="n"/>
      <c r="I518" s="2" t="n"/>
      <c r="J518" s="2" t="n"/>
      <c r="K518" s="2" t="n"/>
      <c r="L518" s="2" t="n"/>
      <c r="M518" s="2" t="n"/>
      <c r="N518" s="2" t="n"/>
      <c r="O518" s="2" t="n"/>
      <c r="P518" s="2" t="n"/>
      <c r="Q518" s="2" t="n"/>
      <c r="R518" s="2" t="n"/>
      <c r="S518" s="2" t="n"/>
    </row>
    <row r="519" ht="25" customHeight="1">
      <c r="A519" s="3" t="n"/>
      <c r="B519" s="3" t="n"/>
      <c r="C519" s="3" t="n"/>
      <c r="D519" s="3" t="n"/>
      <c r="E519" s="3" t="n"/>
      <c r="F519" s="3" t="n"/>
      <c r="G519" s="3" t="n"/>
      <c r="H519" s="3" t="n"/>
      <c r="I519" s="3" t="n"/>
      <c r="J519" s="3" t="n"/>
      <c r="K519" s="3" t="n"/>
      <c r="L519" s="3" t="n"/>
      <c r="M519" s="3" t="n"/>
      <c r="N519" s="3" t="n"/>
      <c r="O519" s="3" t="n"/>
      <c r="P519" s="3" t="n"/>
      <c r="Q519" s="3" t="n"/>
      <c r="R519" s="3" t="n"/>
      <c r="S519" s="3" t="n"/>
    </row>
    <row r="520" ht="25" customHeight="1">
      <c r="A520" s="2" t="n"/>
      <c r="B520" s="2" t="n"/>
      <c r="C520" s="2" t="n"/>
      <c r="D520" s="2" t="n"/>
      <c r="E520" s="2" t="n"/>
      <c r="F520" s="2" t="n"/>
      <c r="G520" s="2" t="n"/>
      <c r="H520" s="2" t="n"/>
      <c r="I520" s="2" t="n"/>
      <c r="J520" s="2" t="n"/>
      <c r="K520" s="2" t="n"/>
      <c r="L520" s="2" t="n"/>
      <c r="M520" s="2" t="n"/>
      <c r="N520" s="2" t="n"/>
      <c r="O520" s="2" t="n"/>
      <c r="P520" s="2" t="n"/>
      <c r="Q520" s="2" t="n"/>
      <c r="R520" s="2" t="n"/>
      <c r="S520" s="2" t="n"/>
    </row>
    <row r="521" ht="25" customHeight="1">
      <c r="A521" s="3" t="n"/>
      <c r="B521" s="3" t="n"/>
      <c r="C521" s="3" t="n"/>
      <c r="D521" s="3" t="n"/>
      <c r="E521" s="3" t="n"/>
      <c r="F521" s="3" t="n"/>
      <c r="G521" s="3" t="n"/>
      <c r="H521" s="3" t="n"/>
      <c r="I521" s="3" t="n"/>
      <c r="J521" s="3" t="n"/>
      <c r="K521" s="3" t="n"/>
      <c r="L521" s="3" t="n"/>
      <c r="M521" s="3" t="n"/>
      <c r="N521" s="3" t="n"/>
      <c r="O521" s="3" t="n"/>
      <c r="P521" s="3" t="n"/>
      <c r="Q521" s="3" t="n"/>
      <c r="R521" s="3" t="n"/>
      <c r="S521" s="3" t="n"/>
    </row>
    <row r="522" ht="25" customHeight="1">
      <c r="A522" s="2" t="n"/>
      <c r="B522" s="2" t="n"/>
      <c r="C522" s="2" t="n"/>
      <c r="D522" s="2" t="n"/>
      <c r="E522" s="2" t="n"/>
      <c r="F522" s="2" t="n"/>
      <c r="G522" s="2" t="n"/>
      <c r="H522" s="2" t="n"/>
      <c r="I522" s="2" t="n"/>
      <c r="J522" s="2" t="n"/>
      <c r="K522" s="2" t="n"/>
      <c r="L522" s="2" t="n"/>
      <c r="M522" s="2" t="n"/>
      <c r="N522" s="2" t="n"/>
      <c r="O522" s="2" t="n"/>
      <c r="P522" s="2" t="n"/>
      <c r="Q522" s="2" t="n"/>
      <c r="R522" s="2" t="n"/>
      <c r="S522" s="2" t="n"/>
    </row>
    <row r="523" ht="25" customHeight="1">
      <c r="A523" s="3" t="n"/>
      <c r="B523" s="3" t="n"/>
      <c r="C523" s="3" t="n"/>
      <c r="D523" s="3" t="n"/>
      <c r="E523" s="3" t="n"/>
      <c r="F523" s="3" t="n"/>
      <c r="G523" s="3" t="n"/>
      <c r="H523" s="3" t="n"/>
      <c r="I523" s="3" t="n"/>
      <c r="J523" s="3" t="n"/>
      <c r="K523" s="3" t="n"/>
      <c r="L523" s="3" t="n"/>
      <c r="M523" s="3" t="n"/>
      <c r="N523" s="3" t="n"/>
      <c r="O523" s="3" t="n"/>
      <c r="P523" s="3" t="n"/>
      <c r="Q523" s="3" t="n"/>
      <c r="R523" s="3" t="n"/>
      <c r="S523" s="3" t="n"/>
    </row>
    <row r="524" ht="25" customHeight="1">
      <c r="A524" s="2" t="n"/>
      <c r="B524" s="2" t="n"/>
      <c r="C524" s="2" t="n"/>
      <c r="D524" s="2" t="n"/>
      <c r="E524" s="2" t="n"/>
      <c r="F524" s="2" t="n"/>
      <c r="G524" s="2" t="n"/>
      <c r="H524" s="2" t="n"/>
      <c r="I524" s="2" t="n"/>
      <c r="J524" s="2" t="n"/>
      <c r="K524" s="2" t="n"/>
      <c r="L524" s="2" t="n"/>
      <c r="M524" s="2" t="n"/>
      <c r="N524" s="2" t="n"/>
      <c r="O524" s="2" t="n"/>
      <c r="P524" s="2" t="n"/>
      <c r="Q524" s="2" t="n"/>
      <c r="R524" s="2" t="n"/>
      <c r="S524" s="2" t="n"/>
    </row>
    <row r="525" ht="25" customHeight="1">
      <c r="A525" s="3" t="n"/>
      <c r="B525" s="3" t="n"/>
      <c r="C525" s="3" t="n"/>
      <c r="D525" s="3" t="n"/>
      <c r="E525" s="3" t="n"/>
      <c r="F525" s="3" t="n"/>
      <c r="G525" s="3" t="n"/>
      <c r="H525" s="3" t="n"/>
      <c r="I525" s="3" t="n"/>
      <c r="J525" s="3" t="n"/>
      <c r="K525" s="3" t="n"/>
      <c r="L525" s="3" t="n"/>
      <c r="M525" s="3" t="n"/>
      <c r="N525" s="3" t="n"/>
      <c r="O525" s="3" t="n"/>
      <c r="P525" s="3" t="n"/>
      <c r="Q525" s="3" t="n"/>
      <c r="R525" s="3" t="n"/>
      <c r="S525" s="3" t="n"/>
    </row>
    <row r="526" ht="25" customHeight="1">
      <c r="A526" s="2" t="n"/>
      <c r="B526" s="2" t="n"/>
      <c r="C526" s="2" t="n"/>
      <c r="D526" s="2" t="n"/>
      <c r="E526" s="2" t="n"/>
      <c r="F526" s="2" t="n"/>
      <c r="G526" s="2" t="n"/>
      <c r="H526" s="2" t="n"/>
      <c r="I526" s="2" t="n"/>
      <c r="J526" s="2" t="n"/>
      <c r="K526" s="2" t="n"/>
      <c r="L526" s="2" t="n"/>
      <c r="M526" s="2" t="n"/>
      <c r="N526" s="2" t="n"/>
      <c r="O526" s="2" t="n"/>
      <c r="P526" s="2" t="n"/>
      <c r="Q526" s="2" t="n"/>
      <c r="R526" s="2" t="n"/>
      <c r="S526" s="2" t="n"/>
    </row>
    <row r="527" ht="25" customHeight="1">
      <c r="A527" s="3" t="n"/>
      <c r="B527" s="3" t="n"/>
      <c r="C527" s="3" t="n"/>
      <c r="D527" s="3" t="n"/>
      <c r="E527" s="3" t="n"/>
      <c r="F527" s="3" t="n"/>
      <c r="G527" s="3" t="n"/>
      <c r="H527" s="3" t="n"/>
      <c r="I527" s="3" t="n"/>
      <c r="J527" s="3" t="n"/>
      <c r="K527" s="3" t="n"/>
      <c r="L527" s="3" t="n"/>
      <c r="M527" s="3" t="n"/>
      <c r="N527" s="3" t="n"/>
      <c r="O527" s="3" t="n"/>
      <c r="P527" s="3" t="n"/>
      <c r="Q527" s="3" t="n"/>
      <c r="R527" s="3" t="n"/>
      <c r="S527" s="3" t="n"/>
    </row>
    <row r="528" ht="25" customHeight="1">
      <c r="A528" s="2" t="n"/>
      <c r="B528" s="2" t="n"/>
      <c r="C528" s="2" t="n"/>
      <c r="D528" s="2" t="n"/>
      <c r="E528" s="2" t="n"/>
      <c r="F528" s="2" t="n"/>
      <c r="G528" s="2" t="n"/>
      <c r="H528" s="2" t="n"/>
      <c r="I528" s="2" t="n"/>
      <c r="J528" s="2" t="n"/>
      <c r="K528" s="2" t="n"/>
      <c r="L528" s="2" t="n"/>
      <c r="M528" s="2" t="n"/>
      <c r="N528" s="2" t="n"/>
      <c r="O528" s="2" t="n"/>
      <c r="P528" s="2" t="n"/>
      <c r="Q528" s="2" t="n"/>
      <c r="R528" s="2" t="n"/>
      <c r="S528" s="2" t="n"/>
    </row>
    <row r="529" ht="25" customHeight="1">
      <c r="A529" s="3" t="n"/>
      <c r="B529" s="3" t="n"/>
      <c r="C529" s="3" t="n"/>
      <c r="D529" s="3" t="n"/>
      <c r="E529" s="3" t="n"/>
      <c r="F529" s="3" t="n"/>
      <c r="G529" s="3" t="n"/>
      <c r="H529" s="3" t="n"/>
      <c r="I529" s="3" t="n"/>
      <c r="J529" s="3" t="n"/>
      <c r="K529" s="3" t="n"/>
      <c r="L529" s="3" t="n"/>
      <c r="M529" s="3" t="n"/>
      <c r="N529" s="3" t="n"/>
      <c r="O529" s="3" t="n"/>
      <c r="P529" s="3" t="n"/>
      <c r="Q529" s="3" t="n"/>
      <c r="R529" s="3" t="n"/>
      <c r="S529" s="3" t="n"/>
    </row>
    <row r="530" ht="25" customHeight="1">
      <c r="A530" s="2" t="n"/>
      <c r="B530" s="2" t="n"/>
      <c r="C530" s="2" t="n"/>
      <c r="D530" s="2" t="n"/>
      <c r="E530" s="2" t="n"/>
      <c r="F530" s="2" t="n"/>
      <c r="G530" s="2" t="n"/>
      <c r="H530" s="2" t="n"/>
      <c r="I530" s="2" t="n"/>
      <c r="J530" s="2" t="n"/>
      <c r="K530" s="2" t="n"/>
      <c r="L530" s="2" t="n"/>
      <c r="M530" s="2" t="n"/>
      <c r="N530" s="2" t="n"/>
      <c r="O530" s="2" t="n"/>
      <c r="P530" s="2" t="n"/>
      <c r="Q530" s="2" t="n"/>
      <c r="R530" s="2" t="n"/>
      <c r="S530" s="2" t="n"/>
    </row>
    <row r="531" ht="25" customHeight="1">
      <c r="A531" s="3" t="n"/>
      <c r="B531" s="3" t="n"/>
      <c r="C531" s="3" t="n"/>
      <c r="D531" s="3" t="n"/>
      <c r="E531" s="3" t="n"/>
      <c r="F531" s="3" t="n"/>
      <c r="G531" s="3" t="n"/>
      <c r="H531" s="3" t="n"/>
      <c r="I531" s="3" t="n"/>
      <c r="J531" s="3" t="n"/>
      <c r="K531" s="3" t="n"/>
      <c r="L531" s="3" t="n"/>
      <c r="M531" s="3" t="n"/>
      <c r="N531" s="3" t="n"/>
      <c r="O531" s="3" t="n"/>
      <c r="P531" s="3" t="n"/>
      <c r="Q531" s="3" t="n"/>
      <c r="R531" s="3" t="n"/>
      <c r="S531" s="3" t="n"/>
    </row>
    <row r="532" ht="25" customHeight="1">
      <c r="A532" s="2" t="n"/>
      <c r="B532" s="2" t="n"/>
      <c r="C532" s="2" t="n"/>
      <c r="D532" s="2" t="n"/>
      <c r="E532" s="2" t="n"/>
      <c r="F532" s="2" t="n"/>
      <c r="G532" s="2" t="n"/>
      <c r="H532" s="2" t="n"/>
      <c r="I532" s="2" t="n"/>
      <c r="J532" s="2" t="n"/>
      <c r="K532" s="2" t="n"/>
      <c r="L532" s="2" t="n"/>
      <c r="M532" s="2" t="n"/>
      <c r="N532" s="2" t="n"/>
      <c r="O532" s="2" t="n"/>
      <c r="P532" s="2" t="n"/>
      <c r="Q532" s="2" t="n"/>
      <c r="R532" s="2" t="n"/>
      <c r="S532" s="2" t="n"/>
    </row>
    <row r="533" ht="25" customHeight="1">
      <c r="A533" s="3" t="n"/>
      <c r="B533" s="3" t="n"/>
      <c r="C533" s="3" t="n"/>
      <c r="D533" s="3" t="n"/>
      <c r="E533" s="3" t="n"/>
      <c r="F533" s="3" t="n"/>
      <c r="G533" s="3" t="n"/>
      <c r="H533" s="3" t="n"/>
      <c r="I533" s="3" t="n"/>
      <c r="J533" s="3" t="n"/>
      <c r="K533" s="3" t="n"/>
      <c r="L533" s="3" t="n"/>
      <c r="M533" s="3" t="n"/>
      <c r="N533" s="3" t="n"/>
      <c r="O533" s="3" t="n"/>
      <c r="P533" s="3" t="n"/>
      <c r="Q533" s="3" t="n"/>
      <c r="R533" s="3" t="n"/>
      <c r="S533" s="3" t="n"/>
    </row>
    <row r="534" ht="25" customHeight="1">
      <c r="A534" s="2" t="n"/>
      <c r="B534" s="2" t="n"/>
      <c r="C534" s="2" t="n"/>
      <c r="D534" s="2" t="n"/>
      <c r="E534" s="2" t="n"/>
      <c r="F534" s="2" t="n"/>
      <c r="G534" s="2" t="n"/>
      <c r="H534" s="2" t="n"/>
      <c r="I534" s="2" t="n"/>
      <c r="J534" s="2" t="n"/>
      <c r="K534" s="2" t="n"/>
      <c r="L534" s="2" t="n"/>
      <c r="M534" s="2" t="n"/>
      <c r="N534" s="2" t="n"/>
      <c r="O534" s="2" t="n"/>
      <c r="P534" s="2" t="n"/>
      <c r="Q534" s="2" t="n"/>
      <c r="R534" s="2" t="n"/>
      <c r="S534" s="2" t="n"/>
    </row>
    <row r="535" ht="25" customHeight="1">
      <c r="A535" s="3" t="n"/>
      <c r="B535" s="3" t="n"/>
      <c r="C535" s="3" t="n"/>
      <c r="D535" s="3" t="n"/>
      <c r="E535" s="3" t="n"/>
      <c r="F535" s="3" t="n"/>
      <c r="G535" s="3" t="n"/>
      <c r="H535" s="3" t="n"/>
      <c r="I535" s="3" t="n"/>
      <c r="J535" s="3" t="n"/>
      <c r="K535" s="3" t="n"/>
      <c r="L535" s="3" t="n"/>
      <c r="M535" s="3" t="n"/>
      <c r="N535" s="3" t="n"/>
      <c r="O535" s="3" t="n"/>
      <c r="P535" s="3" t="n"/>
      <c r="Q535" s="3" t="n"/>
      <c r="R535" s="3" t="n"/>
      <c r="S535" s="3" t="n"/>
    </row>
    <row r="536" ht="25" customHeight="1">
      <c r="A536" s="2" t="n"/>
      <c r="B536" s="2" t="n"/>
      <c r="C536" s="2" t="n"/>
      <c r="D536" s="2" t="n"/>
      <c r="E536" s="2" t="n"/>
      <c r="F536" s="2" t="n"/>
      <c r="G536" s="2" t="n"/>
      <c r="H536" s="2" t="n"/>
      <c r="I536" s="2" t="n"/>
      <c r="J536" s="2" t="n"/>
      <c r="K536" s="2" t="n"/>
      <c r="L536" s="2" t="n"/>
      <c r="M536" s="2" t="n"/>
      <c r="N536" s="2" t="n"/>
      <c r="O536" s="2" t="n"/>
      <c r="P536" s="2" t="n"/>
      <c r="Q536" s="2" t="n"/>
      <c r="R536" s="2" t="n"/>
      <c r="S536" s="2" t="n"/>
    </row>
    <row r="537" ht="25" customHeight="1">
      <c r="A537" s="3" t="n"/>
      <c r="B537" s="3" t="n"/>
      <c r="C537" s="3" t="n"/>
      <c r="D537" s="3" t="n"/>
      <c r="E537" s="3" t="n"/>
      <c r="F537" s="3" t="n"/>
      <c r="G537" s="3" t="n"/>
      <c r="H537" s="3" t="n"/>
      <c r="I537" s="3" t="n"/>
      <c r="J537" s="3" t="n"/>
      <c r="K537" s="3" t="n"/>
      <c r="L537" s="3" t="n"/>
      <c r="M537" s="3" t="n"/>
      <c r="N537" s="3" t="n"/>
      <c r="O537" s="3" t="n"/>
      <c r="P537" s="3" t="n"/>
      <c r="Q537" s="3" t="n"/>
      <c r="R537" s="3" t="n"/>
      <c r="S537" s="3" t="n"/>
    </row>
    <row r="538" ht="25" customHeight="1">
      <c r="A538" s="2" t="n"/>
      <c r="B538" s="2" t="n"/>
      <c r="C538" s="2" t="n"/>
      <c r="D538" s="2" t="n"/>
      <c r="E538" s="2" t="n"/>
      <c r="F538" s="2" t="n"/>
      <c r="G538" s="2" t="n"/>
      <c r="H538" s="2" t="n"/>
      <c r="I538" s="2" t="n"/>
      <c r="J538" s="2" t="n"/>
      <c r="K538" s="2" t="n"/>
      <c r="L538" s="2" t="n"/>
      <c r="M538" s="2" t="n"/>
      <c r="N538" s="2" t="n"/>
      <c r="O538" s="2" t="n"/>
      <c r="P538" s="2" t="n"/>
      <c r="Q538" s="2" t="n"/>
      <c r="R538" s="2" t="n"/>
      <c r="S538" s="2" t="n"/>
    </row>
    <row r="539" ht="25" customHeight="1">
      <c r="A539" s="3" t="n"/>
      <c r="B539" s="3" t="n"/>
      <c r="C539" s="3" t="n"/>
      <c r="D539" s="3" t="n"/>
      <c r="E539" s="3" t="n"/>
      <c r="F539" s="3" t="n"/>
      <c r="G539" s="3" t="n"/>
      <c r="H539" s="3" t="n"/>
      <c r="I539" s="3" t="n"/>
      <c r="J539" s="3" t="n"/>
      <c r="K539" s="3" t="n"/>
      <c r="L539" s="3" t="n"/>
      <c r="M539" s="3" t="n"/>
      <c r="N539" s="3" t="n"/>
      <c r="O539" s="3" t="n"/>
      <c r="P539" s="3" t="n"/>
      <c r="Q539" s="3" t="n"/>
      <c r="R539" s="3" t="n"/>
      <c r="S539" s="3" t="n"/>
    </row>
    <row r="540" ht="25" customHeight="1">
      <c r="A540" s="2" t="n"/>
      <c r="B540" s="2" t="n"/>
      <c r="C540" s="2" t="n"/>
      <c r="D540" s="2" t="n"/>
      <c r="E540" s="2" t="n"/>
      <c r="F540" s="2" t="n"/>
      <c r="G540" s="2" t="n"/>
      <c r="H540" s="2" t="n"/>
      <c r="I540" s="2" t="n"/>
      <c r="J540" s="2" t="n"/>
      <c r="K540" s="2" t="n"/>
      <c r="L540" s="2" t="n"/>
      <c r="M540" s="2" t="n"/>
      <c r="N540" s="2" t="n"/>
      <c r="O540" s="2" t="n"/>
      <c r="P540" s="2" t="n"/>
      <c r="Q540" s="2" t="n"/>
      <c r="R540" s="2" t="n"/>
      <c r="S540" s="2" t="n"/>
    </row>
    <row r="541" ht="25" customHeight="1">
      <c r="A541" s="3" t="n"/>
      <c r="B541" s="3" t="n"/>
      <c r="C541" s="3" t="n"/>
      <c r="D541" s="3" t="n"/>
      <c r="E541" s="3" t="n"/>
      <c r="F541" s="3" t="n"/>
      <c r="G541" s="3" t="n"/>
      <c r="H541" s="3" t="n"/>
      <c r="I541" s="3" t="n"/>
      <c r="J541" s="3" t="n"/>
      <c r="K541" s="3" t="n"/>
      <c r="L541" s="3" t="n"/>
      <c r="M541" s="3" t="n"/>
      <c r="N541" s="3" t="n"/>
      <c r="O541" s="3" t="n"/>
      <c r="P541" s="3" t="n"/>
      <c r="Q541" s="3" t="n"/>
      <c r="R541" s="3" t="n"/>
      <c r="S541" s="3" t="n"/>
    </row>
    <row r="542" ht="25" customHeight="1">
      <c r="A542" s="2" t="n"/>
      <c r="B542" s="2" t="n"/>
      <c r="C542" s="2" t="n"/>
      <c r="D542" s="2" t="n"/>
      <c r="E542" s="2" t="n"/>
      <c r="F542" s="2" t="n"/>
      <c r="G542" s="2" t="n"/>
      <c r="H542" s="2" t="n"/>
      <c r="I542" s="2" t="n"/>
      <c r="J542" s="2" t="n"/>
      <c r="K542" s="2" t="n"/>
      <c r="L542" s="2" t="n"/>
      <c r="M542" s="2" t="n"/>
      <c r="N542" s="2" t="n"/>
      <c r="O542" s="2" t="n"/>
      <c r="P542" s="2" t="n"/>
      <c r="Q542" s="2" t="n"/>
      <c r="R542" s="2" t="n"/>
      <c r="S542" s="2" t="n"/>
    </row>
    <row r="543" ht="25" customHeight="1">
      <c r="A543" s="3" t="n"/>
      <c r="B543" s="3" t="n"/>
      <c r="C543" s="3" t="n"/>
      <c r="D543" s="3" t="n"/>
      <c r="E543" s="3" t="n"/>
      <c r="F543" s="3" t="n"/>
      <c r="G543" s="3" t="n"/>
      <c r="H543" s="3" t="n"/>
      <c r="I543" s="3" t="n"/>
      <c r="J543" s="3" t="n"/>
      <c r="K543" s="3" t="n"/>
      <c r="L543" s="3" t="n"/>
      <c r="M543" s="3" t="n"/>
      <c r="N543" s="3" t="n"/>
      <c r="O543" s="3" t="n"/>
      <c r="P543" s="3" t="n"/>
      <c r="Q543" s="3" t="n"/>
      <c r="R543" s="3" t="n"/>
      <c r="S543" s="3" t="n"/>
    </row>
    <row r="544" ht="25" customHeight="1">
      <c r="A544" s="2" t="n"/>
      <c r="B544" s="2" t="n"/>
      <c r="C544" s="2" t="n"/>
      <c r="D544" s="2" t="n"/>
      <c r="E544" s="2" t="n"/>
      <c r="F544" s="2" t="n"/>
      <c r="G544" s="2" t="n"/>
      <c r="H544" s="2" t="n"/>
      <c r="I544" s="2" t="n"/>
      <c r="J544" s="2" t="n"/>
      <c r="K544" s="2" t="n"/>
      <c r="L544" s="2" t="n"/>
      <c r="M544" s="2" t="n"/>
      <c r="N544" s="2" t="n"/>
      <c r="O544" s="2" t="n"/>
      <c r="P544" s="2" t="n"/>
      <c r="Q544" s="2" t="n"/>
      <c r="R544" s="2" t="n"/>
      <c r="S544" s="2" t="n"/>
    </row>
    <row r="545" ht="25" customHeight="1">
      <c r="A545" s="3" t="n"/>
      <c r="B545" s="3" t="n"/>
      <c r="C545" s="3" t="n"/>
      <c r="D545" s="3" t="n"/>
      <c r="E545" s="3" t="n"/>
      <c r="F545" s="3" t="n"/>
      <c r="G545" s="3" t="n"/>
      <c r="H545" s="3" t="n"/>
      <c r="I545" s="3" t="n"/>
      <c r="J545" s="3" t="n"/>
      <c r="K545" s="3" t="n"/>
      <c r="L545" s="3" t="n"/>
      <c r="M545" s="3" t="n"/>
      <c r="N545" s="3" t="n"/>
      <c r="O545" s="3" t="n"/>
      <c r="P545" s="3" t="n"/>
      <c r="Q545" s="3" t="n"/>
      <c r="R545" s="3" t="n"/>
      <c r="S545" s="3" t="n"/>
    </row>
    <row r="546" ht="25" customHeight="1">
      <c r="A546" s="2" t="n"/>
      <c r="B546" s="2" t="n"/>
      <c r="C546" s="2" t="n"/>
      <c r="D546" s="2" t="n"/>
      <c r="E546" s="2" t="n"/>
      <c r="F546" s="2" t="n"/>
      <c r="G546" s="2" t="n"/>
      <c r="H546" s="2" t="n"/>
      <c r="I546" s="2" t="n"/>
      <c r="J546" s="2" t="n"/>
      <c r="K546" s="2" t="n"/>
      <c r="L546" s="2" t="n"/>
      <c r="M546" s="2" t="n"/>
      <c r="N546" s="2" t="n"/>
      <c r="O546" s="2" t="n"/>
      <c r="P546" s="2" t="n"/>
      <c r="Q546" s="2" t="n"/>
      <c r="R546" s="2" t="n"/>
      <c r="S546" s="2" t="n"/>
    </row>
    <row r="547" ht="25" customHeight="1">
      <c r="A547" s="3" t="n"/>
      <c r="B547" s="3" t="n"/>
      <c r="C547" s="3" t="n"/>
      <c r="D547" s="3" t="n"/>
      <c r="E547" s="3" t="n"/>
      <c r="F547" s="3" t="n"/>
      <c r="G547" s="3" t="n"/>
      <c r="H547" s="3" t="n"/>
      <c r="I547" s="3" t="n"/>
      <c r="J547" s="3" t="n"/>
      <c r="K547" s="3" t="n"/>
      <c r="L547" s="3" t="n"/>
      <c r="M547" s="3" t="n"/>
      <c r="N547" s="3" t="n"/>
      <c r="O547" s="3" t="n"/>
      <c r="P547" s="3" t="n"/>
      <c r="Q547" s="3" t="n"/>
      <c r="R547" s="3" t="n"/>
      <c r="S547" s="3" t="n"/>
    </row>
    <row r="548" ht="25" customHeight="1">
      <c r="A548" s="2" t="n"/>
      <c r="B548" s="2" t="n"/>
      <c r="C548" s="2" t="n"/>
      <c r="D548" s="2" t="n"/>
      <c r="E548" s="2" t="n"/>
      <c r="F548" s="2" t="n"/>
      <c r="G548" s="2" t="n"/>
      <c r="H548" s="2" t="n"/>
      <c r="I548" s="2" t="n"/>
      <c r="J548" s="2" t="n"/>
      <c r="K548" s="2" t="n"/>
      <c r="L548" s="2" t="n"/>
      <c r="M548" s="2" t="n"/>
      <c r="N548" s="2" t="n"/>
      <c r="O548" s="2" t="n"/>
      <c r="P548" s="2" t="n"/>
      <c r="Q548" s="2" t="n"/>
      <c r="R548" s="2" t="n"/>
      <c r="S548" s="2" t="n"/>
    </row>
    <row r="549" ht="25" customHeight="1">
      <c r="A549" s="3" t="n"/>
      <c r="B549" s="3" t="n"/>
      <c r="C549" s="3" t="n"/>
      <c r="D549" s="3" t="n"/>
      <c r="E549" s="3" t="n"/>
      <c r="F549" s="3" t="n"/>
      <c r="G549" s="3" t="n"/>
      <c r="H549" s="3" t="n"/>
      <c r="I549" s="3" t="n"/>
      <c r="J549" s="3" t="n"/>
      <c r="K549" s="3" t="n"/>
      <c r="L549" s="3" t="n"/>
      <c r="M549" s="3" t="n"/>
      <c r="N549" s="3" t="n"/>
      <c r="O549" s="3" t="n"/>
      <c r="P549" s="3" t="n"/>
      <c r="Q549" s="3" t="n"/>
      <c r="R549" s="3" t="n"/>
      <c r="S549" s="3" t="n"/>
    </row>
    <row r="550" ht="25" customHeight="1">
      <c r="A550" s="2" t="n"/>
      <c r="B550" s="2" t="n"/>
      <c r="C550" s="2" t="n"/>
      <c r="D550" s="2" t="n"/>
      <c r="E550" s="2" t="n"/>
      <c r="F550" s="2" t="n"/>
      <c r="G550" s="2" t="n"/>
      <c r="H550" s="2" t="n"/>
      <c r="I550" s="2" t="n"/>
      <c r="J550" s="2" t="n"/>
      <c r="K550" s="2" t="n"/>
      <c r="L550" s="2" t="n"/>
      <c r="M550" s="2" t="n"/>
      <c r="N550" s="2" t="n"/>
      <c r="O550" s="2" t="n"/>
      <c r="P550" s="2" t="n"/>
      <c r="Q550" s="2" t="n"/>
      <c r="R550" s="2" t="n"/>
      <c r="S550" s="2" t="n"/>
    </row>
    <row r="551" ht="25" customHeight="1">
      <c r="A551" s="3" t="n"/>
      <c r="B551" s="3" t="n"/>
      <c r="C551" s="3" t="n"/>
      <c r="D551" s="3" t="n"/>
      <c r="E551" s="3" t="n"/>
      <c r="F551" s="3" t="n"/>
      <c r="G551" s="3" t="n"/>
      <c r="H551" s="3" t="n"/>
      <c r="I551" s="3" t="n"/>
      <c r="J551" s="3" t="n"/>
      <c r="K551" s="3" t="n"/>
      <c r="L551" s="3" t="n"/>
      <c r="M551" s="3" t="n"/>
      <c r="N551" s="3" t="n"/>
      <c r="O551" s="3" t="n"/>
      <c r="P551" s="3" t="n"/>
      <c r="Q551" s="3" t="n"/>
      <c r="R551" s="3" t="n"/>
      <c r="S551" s="3" t="n"/>
    </row>
    <row r="552" ht="25" customHeight="1">
      <c r="A552" s="2" t="n"/>
      <c r="B552" s="2" t="n"/>
      <c r="C552" s="2" t="n"/>
      <c r="D552" s="2" t="n"/>
      <c r="E552" s="2" t="n"/>
      <c r="F552" s="2" t="n"/>
      <c r="G552" s="2" t="n"/>
      <c r="H552" s="2" t="n"/>
      <c r="I552" s="2" t="n"/>
      <c r="J552" s="2" t="n"/>
      <c r="K552" s="2" t="n"/>
      <c r="L552" s="2" t="n"/>
      <c r="M552" s="2" t="n"/>
      <c r="N552" s="2" t="n"/>
      <c r="O552" s="2" t="n"/>
      <c r="P552" s="2" t="n"/>
      <c r="Q552" s="2" t="n"/>
      <c r="R552" s="2" t="n"/>
      <c r="S552" s="2" t="n"/>
    </row>
    <row r="553" ht="25" customHeight="1">
      <c r="A553" s="3" t="n"/>
      <c r="B553" s="3" t="n"/>
      <c r="C553" s="3" t="n"/>
      <c r="D553" s="3" t="n"/>
      <c r="E553" s="3" t="n"/>
      <c r="F553" s="3" t="n"/>
      <c r="G553" s="3" t="n"/>
      <c r="H553" s="3" t="n"/>
      <c r="I553" s="3" t="n"/>
      <c r="J553" s="3" t="n"/>
      <c r="K553" s="3" t="n"/>
      <c r="L553" s="3" t="n"/>
      <c r="M553" s="3" t="n"/>
      <c r="N553" s="3" t="n"/>
      <c r="O553" s="3" t="n"/>
      <c r="P553" s="3" t="n"/>
      <c r="Q553" s="3" t="n"/>
      <c r="R553" s="3" t="n"/>
      <c r="S553" s="3" t="n"/>
    </row>
    <row r="554" ht="25" customHeight="1">
      <c r="A554" s="2" t="n"/>
      <c r="B554" s="2" t="n"/>
      <c r="C554" s="2" t="n"/>
      <c r="D554" s="2" t="n"/>
      <c r="E554" s="2" t="n"/>
      <c r="F554" s="2" t="n"/>
      <c r="G554" s="2" t="n"/>
      <c r="H554" s="2" t="n"/>
      <c r="I554" s="2" t="n"/>
      <c r="J554" s="2" t="n"/>
      <c r="K554" s="2" t="n"/>
      <c r="L554" s="2" t="n"/>
      <c r="M554" s="2" t="n"/>
      <c r="N554" s="2" t="n"/>
      <c r="O554" s="2" t="n"/>
      <c r="P554" s="2" t="n"/>
      <c r="Q554" s="2" t="n"/>
      <c r="R554" s="2" t="n"/>
      <c r="S554" s="2" t="n"/>
    </row>
    <row r="555" ht="25" customHeight="1">
      <c r="A555" s="3" t="n"/>
      <c r="B555" s="3" t="n"/>
      <c r="C555" s="3" t="n"/>
      <c r="D555" s="3" t="n"/>
      <c r="E555" s="3" t="n"/>
      <c r="F555" s="3" t="n"/>
      <c r="G555" s="3" t="n"/>
      <c r="H555" s="3" t="n"/>
      <c r="I555" s="3" t="n"/>
      <c r="J555" s="3" t="n"/>
      <c r="K555" s="3" t="n"/>
      <c r="L555" s="3" t="n"/>
      <c r="M555" s="3" t="n"/>
      <c r="N555" s="3" t="n"/>
      <c r="O555" s="3" t="n"/>
      <c r="P555" s="3" t="n"/>
      <c r="Q555" s="3" t="n"/>
      <c r="R555" s="3" t="n"/>
      <c r="S555" s="3" t="n"/>
    </row>
    <row r="556" ht="25" customHeight="1">
      <c r="A556" s="2" t="n"/>
      <c r="B556" s="2" t="n"/>
      <c r="C556" s="2" t="n"/>
      <c r="D556" s="2" t="n"/>
      <c r="E556" s="2" t="n"/>
      <c r="F556" s="2" t="n"/>
      <c r="G556" s="2" t="n"/>
      <c r="H556" s="2" t="n"/>
      <c r="I556" s="2" t="n"/>
      <c r="J556" s="2" t="n"/>
      <c r="K556" s="2" t="n"/>
      <c r="L556" s="2" t="n"/>
      <c r="M556" s="2" t="n"/>
      <c r="N556" s="2" t="n"/>
      <c r="O556" s="2" t="n"/>
      <c r="P556" s="2" t="n"/>
      <c r="Q556" s="2" t="n"/>
      <c r="R556" s="2" t="n"/>
      <c r="S556" s="2" t="n"/>
    </row>
    <row r="557" ht="25" customHeight="1">
      <c r="A557" s="3" t="n"/>
      <c r="B557" s="3" t="n"/>
      <c r="C557" s="3" t="n"/>
      <c r="D557" s="3" t="n"/>
      <c r="E557" s="3" t="n"/>
      <c r="F557" s="3" t="n"/>
      <c r="G557" s="3" t="n"/>
      <c r="H557" s="3" t="n"/>
      <c r="I557" s="3" t="n"/>
      <c r="J557" s="3" t="n"/>
      <c r="K557" s="3" t="n"/>
      <c r="L557" s="3" t="n"/>
      <c r="M557" s="3" t="n"/>
      <c r="N557" s="3" t="n"/>
      <c r="O557" s="3" t="n"/>
      <c r="P557" s="3" t="n"/>
      <c r="Q557" s="3" t="n"/>
      <c r="R557" s="3" t="n"/>
      <c r="S557" s="3" t="n"/>
    </row>
    <row r="558" ht="25" customHeight="1">
      <c r="A558" s="2" t="n"/>
      <c r="B558" s="2" t="n"/>
      <c r="C558" s="2" t="n"/>
      <c r="D558" s="2" t="n"/>
      <c r="E558" s="2" t="n"/>
      <c r="F558" s="2" t="n"/>
      <c r="G558" s="2" t="n"/>
      <c r="H558" s="2" t="n"/>
      <c r="I558" s="2" t="n"/>
      <c r="J558" s="2" t="n"/>
      <c r="K558" s="2" t="n"/>
      <c r="L558" s="2" t="n"/>
      <c r="M558" s="2" t="n"/>
      <c r="N558" s="2" t="n"/>
      <c r="O558" s="2" t="n"/>
      <c r="P558" s="2" t="n"/>
      <c r="Q558" s="2" t="n"/>
      <c r="R558" s="2" t="n"/>
      <c r="S558" s="2" t="n"/>
    </row>
    <row r="559" ht="25" customHeight="1">
      <c r="A559" s="3" t="n"/>
      <c r="B559" s="3" t="n"/>
      <c r="C559" s="3" t="n"/>
      <c r="D559" s="3" t="n"/>
      <c r="E559" s="3" t="n"/>
      <c r="F559" s="3" t="n"/>
      <c r="G559" s="3" t="n"/>
      <c r="H559" s="3" t="n"/>
      <c r="I559" s="3" t="n"/>
      <c r="J559" s="3" t="n"/>
      <c r="K559" s="3" t="n"/>
      <c r="L559" s="3" t="n"/>
      <c r="M559" s="3" t="n"/>
      <c r="N559" s="3" t="n"/>
      <c r="O559" s="3" t="n"/>
      <c r="P559" s="3" t="n"/>
      <c r="Q559" s="3" t="n"/>
      <c r="R559" s="3" t="n"/>
      <c r="S559" s="3" t="n"/>
    </row>
    <row r="560" ht="25" customHeight="1">
      <c r="A560" s="2" t="n"/>
      <c r="B560" s="2" t="n"/>
      <c r="C560" s="2" t="n"/>
      <c r="D560" s="2" t="n"/>
      <c r="E560" s="2" t="n"/>
      <c r="F560" s="2" t="n"/>
      <c r="G560" s="2" t="n"/>
      <c r="H560" s="2" t="n"/>
      <c r="I560" s="2" t="n"/>
      <c r="J560" s="2" t="n"/>
      <c r="K560" s="2" t="n"/>
      <c r="L560" s="2" t="n"/>
      <c r="M560" s="2" t="n"/>
      <c r="N560" s="2" t="n"/>
      <c r="O560" s="2" t="n"/>
      <c r="P560" s="2" t="n"/>
      <c r="Q560" s="2" t="n"/>
      <c r="R560" s="2" t="n"/>
      <c r="S560" s="2" t="n"/>
    </row>
    <row r="561" ht="25" customHeight="1">
      <c r="A561" s="3" t="n"/>
      <c r="B561" s="3" t="n"/>
      <c r="C561" s="3" t="n"/>
      <c r="D561" s="3" t="n"/>
      <c r="E561" s="3" t="n"/>
      <c r="F561" s="3" t="n"/>
      <c r="G561" s="3" t="n"/>
      <c r="H561" s="3" t="n"/>
      <c r="I561" s="3" t="n"/>
      <c r="J561" s="3" t="n"/>
      <c r="K561" s="3" t="n"/>
      <c r="L561" s="3" t="n"/>
      <c r="M561" s="3" t="n"/>
      <c r="N561" s="3" t="n"/>
      <c r="O561" s="3" t="n"/>
      <c r="P561" s="3" t="n"/>
      <c r="Q561" s="3" t="n"/>
      <c r="R561" s="3" t="n"/>
      <c r="S561" s="3" t="n"/>
    </row>
    <row r="562" ht="25" customHeight="1">
      <c r="A562" s="2" t="n"/>
      <c r="B562" s="2" t="n"/>
      <c r="C562" s="2" t="n"/>
      <c r="D562" s="2" t="n"/>
      <c r="E562" s="2" t="n"/>
      <c r="F562" s="2" t="n"/>
      <c r="G562" s="2" t="n"/>
      <c r="H562" s="2" t="n"/>
      <c r="I562" s="2" t="n"/>
      <c r="J562" s="2" t="n"/>
      <c r="K562" s="2" t="n"/>
      <c r="L562" s="2" t="n"/>
      <c r="M562" s="2" t="n"/>
      <c r="N562" s="2" t="n"/>
      <c r="O562" s="2" t="n"/>
      <c r="P562" s="2" t="n"/>
      <c r="Q562" s="2" t="n"/>
      <c r="R562" s="2" t="n"/>
      <c r="S562" s="2" t="n"/>
    </row>
    <row r="563" ht="25" customHeight="1">
      <c r="A563" s="3" t="n"/>
      <c r="B563" s="3" t="n"/>
      <c r="C563" s="3" t="n"/>
      <c r="D563" s="3" t="n"/>
      <c r="E563" s="3" t="n"/>
      <c r="F563" s="3" t="n"/>
      <c r="G563" s="3" t="n"/>
      <c r="H563" s="3" t="n"/>
      <c r="I563" s="3" t="n"/>
      <c r="J563" s="3" t="n"/>
      <c r="K563" s="3" t="n"/>
      <c r="L563" s="3" t="n"/>
      <c r="M563" s="3" t="n"/>
      <c r="N563" s="3" t="n"/>
      <c r="O563" s="3" t="n"/>
      <c r="P563" s="3" t="n"/>
      <c r="Q563" s="3" t="n"/>
      <c r="R563" s="3" t="n"/>
      <c r="S563" s="3" t="n"/>
    </row>
    <row r="564" ht="25" customHeight="1">
      <c r="A564" s="2" t="n"/>
      <c r="B564" s="2" t="n"/>
      <c r="C564" s="2" t="n"/>
      <c r="D564" s="2" t="n"/>
      <c r="E564" s="2" t="n"/>
      <c r="F564" s="2" t="n"/>
      <c r="G564" s="2" t="n"/>
      <c r="H564" s="2" t="n"/>
      <c r="I564" s="2" t="n"/>
      <c r="J564" s="2" t="n"/>
      <c r="K564" s="2" t="n"/>
      <c r="L564" s="2" t="n"/>
      <c r="M564" s="2" t="n"/>
      <c r="N564" s="2" t="n"/>
      <c r="O564" s="2" t="n"/>
      <c r="P564" s="2" t="n"/>
      <c r="Q564" s="2" t="n"/>
      <c r="R564" s="2" t="n"/>
      <c r="S564" s="2" t="n"/>
    </row>
    <row r="565" ht="25" customHeight="1">
      <c r="A565" s="3" t="n"/>
      <c r="B565" s="3" t="n"/>
      <c r="C565" s="3" t="n"/>
      <c r="D565" s="3" t="n"/>
      <c r="E565" s="3" t="n"/>
      <c r="F565" s="3" t="n"/>
      <c r="G565" s="3" t="n"/>
      <c r="H565" s="3" t="n"/>
      <c r="I565" s="3" t="n"/>
      <c r="J565" s="3" t="n"/>
      <c r="K565" s="3" t="n"/>
      <c r="L565" s="3" t="n"/>
      <c r="M565" s="3" t="n"/>
      <c r="N565" s="3" t="n"/>
      <c r="O565" s="3" t="n"/>
      <c r="P565" s="3" t="n"/>
      <c r="Q565" s="3" t="n"/>
      <c r="R565" s="3" t="n"/>
      <c r="S565" s="3" t="n"/>
    </row>
    <row r="566" ht="25" customHeight="1">
      <c r="A566" s="2" t="n"/>
      <c r="B566" s="2" t="n"/>
      <c r="C566" s="2" t="n"/>
      <c r="D566" s="2" t="n"/>
      <c r="E566" s="2" t="n"/>
      <c r="F566" s="2" t="n"/>
      <c r="G566" s="2" t="n"/>
      <c r="H566" s="2" t="n"/>
      <c r="I566" s="2" t="n"/>
      <c r="J566" s="2" t="n"/>
      <c r="K566" s="2" t="n"/>
      <c r="L566" s="2" t="n"/>
      <c r="M566" s="2" t="n"/>
      <c r="N566" s="2" t="n"/>
      <c r="O566" s="2" t="n"/>
      <c r="P566" s="2" t="n"/>
      <c r="Q566" s="2" t="n"/>
      <c r="R566" s="2" t="n"/>
      <c r="S566" s="2" t="n"/>
    </row>
    <row r="567" ht="25" customHeight="1">
      <c r="A567" s="3" t="n"/>
      <c r="B567" s="3" t="n"/>
      <c r="C567" s="3" t="n"/>
      <c r="D567" s="3" t="n"/>
      <c r="E567" s="3" t="n"/>
      <c r="F567" s="3" t="n"/>
      <c r="G567" s="3" t="n"/>
      <c r="H567" s="3" t="n"/>
      <c r="I567" s="3" t="n"/>
      <c r="J567" s="3" t="n"/>
      <c r="K567" s="3" t="n"/>
      <c r="L567" s="3" t="n"/>
      <c r="M567" s="3" t="n"/>
      <c r="N567" s="3" t="n"/>
      <c r="O567" s="3" t="n"/>
      <c r="P567" s="3" t="n"/>
      <c r="Q567" s="3" t="n"/>
      <c r="R567" s="3" t="n"/>
      <c r="S567" s="3" t="n"/>
    </row>
    <row r="568" ht="25" customHeight="1">
      <c r="A568" s="2" t="n"/>
      <c r="B568" s="2" t="n"/>
      <c r="C568" s="2" t="n"/>
      <c r="D568" s="2" t="n"/>
      <c r="E568" s="2" t="n"/>
      <c r="F568" s="2" t="n"/>
      <c r="G568" s="2" t="n"/>
      <c r="H568" s="2" t="n"/>
      <c r="I568" s="2" t="n"/>
      <c r="J568" s="2" t="n"/>
      <c r="K568" s="2" t="n"/>
      <c r="L568" s="2" t="n"/>
      <c r="M568" s="2" t="n"/>
      <c r="N568" s="2" t="n"/>
      <c r="O568" s="2" t="n"/>
      <c r="P568" s="2" t="n"/>
      <c r="Q568" s="2" t="n"/>
      <c r="R568" s="2" t="n"/>
      <c r="S568" s="2" t="n"/>
    </row>
    <row r="569" ht="25" customHeight="1">
      <c r="A569" s="3" t="n"/>
      <c r="B569" s="3" t="n"/>
      <c r="C569" s="3" t="n"/>
      <c r="D569" s="3" t="n"/>
      <c r="E569" s="3" t="n"/>
      <c r="F569" s="3" t="n"/>
      <c r="G569" s="3" t="n"/>
      <c r="H569" s="3" t="n"/>
      <c r="I569" s="3" t="n"/>
      <c r="J569" s="3" t="n"/>
      <c r="K569" s="3" t="n"/>
      <c r="L569" s="3" t="n"/>
      <c r="M569" s="3" t="n"/>
      <c r="N569" s="3" t="n"/>
      <c r="O569" s="3" t="n"/>
      <c r="P569" s="3" t="n"/>
      <c r="Q569" s="3" t="n"/>
      <c r="R569" s="3" t="n"/>
      <c r="S569" s="3" t="n"/>
    </row>
    <row r="570" ht="25" customHeight="1">
      <c r="A570" s="2" t="n"/>
      <c r="B570" s="2" t="n"/>
      <c r="C570" s="2" t="n"/>
      <c r="D570" s="2" t="n"/>
      <c r="E570" s="2" t="n"/>
      <c r="F570" s="2" t="n"/>
      <c r="G570" s="2" t="n"/>
      <c r="H570" s="2" t="n"/>
      <c r="I570" s="2" t="n"/>
      <c r="J570" s="2" t="n"/>
      <c r="K570" s="2" t="n"/>
      <c r="L570" s="2" t="n"/>
      <c r="M570" s="2" t="n"/>
      <c r="N570" s="2" t="n"/>
      <c r="O570" s="2" t="n"/>
      <c r="P570" s="2" t="n"/>
      <c r="Q570" s="2" t="n"/>
      <c r="R570" s="2" t="n"/>
      <c r="S570" s="2" t="n"/>
    </row>
    <row r="571" ht="25" customHeight="1">
      <c r="A571" s="3" t="n"/>
      <c r="B571" s="3" t="n"/>
      <c r="C571" s="3" t="n"/>
      <c r="D571" s="3" t="n"/>
      <c r="E571" s="3" t="n"/>
      <c r="F571" s="3" t="n"/>
      <c r="G571" s="3" t="n"/>
      <c r="H571" s="3" t="n"/>
      <c r="I571" s="3" t="n"/>
      <c r="J571" s="3" t="n"/>
      <c r="K571" s="3" t="n"/>
      <c r="L571" s="3" t="n"/>
      <c r="M571" s="3" t="n"/>
      <c r="N571" s="3" t="n"/>
      <c r="O571" s="3" t="n"/>
      <c r="P571" s="3" t="n"/>
      <c r="Q571" s="3" t="n"/>
      <c r="R571" s="3" t="n"/>
      <c r="S571" s="3" t="n"/>
    </row>
    <row r="572" ht="25" customHeight="1">
      <c r="A572" s="2" t="n"/>
      <c r="B572" s="2" t="n"/>
      <c r="C572" s="2" t="n"/>
      <c r="D572" s="2" t="n"/>
      <c r="E572" s="2" t="n"/>
      <c r="F572" s="2" t="n"/>
      <c r="G572" s="2" t="n"/>
      <c r="H572" s="2" t="n"/>
      <c r="I572" s="2" t="n"/>
      <c r="J572" s="2" t="n"/>
      <c r="K572" s="2" t="n"/>
      <c r="L572" s="2" t="n"/>
      <c r="M572" s="2" t="n"/>
      <c r="N572" s="2" t="n"/>
      <c r="O572" s="2" t="n"/>
      <c r="P572" s="2" t="n"/>
      <c r="Q572" s="2" t="n"/>
      <c r="R572" s="2" t="n"/>
      <c r="S572" s="2" t="n"/>
    </row>
    <row r="573" ht="25" customHeight="1">
      <c r="A573" s="3" t="n"/>
      <c r="B573" s="3" t="n"/>
      <c r="C573" s="3" t="n"/>
      <c r="D573" s="3" t="n"/>
      <c r="E573" s="3" t="n"/>
      <c r="F573" s="3" t="n"/>
      <c r="G573" s="3" t="n"/>
      <c r="H573" s="3" t="n"/>
      <c r="I573" s="3" t="n"/>
      <c r="J573" s="3" t="n"/>
      <c r="K573" s="3" t="n"/>
      <c r="L573" s="3" t="n"/>
      <c r="M573" s="3" t="n"/>
      <c r="N573" s="3" t="n"/>
      <c r="O573" s="3" t="n"/>
      <c r="P573" s="3" t="n"/>
      <c r="Q573" s="3" t="n"/>
      <c r="R573" s="3" t="n"/>
      <c r="S573" s="3" t="n"/>
    </row>
    <row r="574" ht="25" customHeight="1">
      <c r="A574" s="2" t="n"/>
      <c r="B574" s="2" t="n"/>
      <c r="C574" s="2" t="n"/>
      <c r="D574" s="2" t="n"/>
      <c r="E574" s="2" t="n"/>
      <c r="F574" s="2" t="n"/>
      <c r="G574" s="2" t="n"/>
      <c r="H574" s="2" t="n"/>
      <c r="I574" s="2" t="n"/>
      <c r="J574" s="2" t="n"/>
      <c r="K574" s="2" t="n"/>
      <c r="L574" s="2" t="n"/>
      <c r="M574" s="2" t="n"/>
      <c r="N574" s="2" t="n"/>
      <c r="O574" s="2" t="n"/>
      <c r="P574" s="2" t="n"/>
      <c r="Q574" s="2" t="n"/>
      <c r="R574" s="2" t="n"/>
      <c r="S574" s="2" t="n"/>
    </row>
    <row r="575" ht="25" customHeight="1">
      <c r="A575" s="3" t="n"/>
      <c r="B575" s="3" t="n"/>
      <c r="C575" s="3" t="n"/>
      <c r="D575" s="3" t="n"/>
      <c r="E575" s="3" t="n"/>
      <c r="F575" s="3" t="n"/>
      <c r="G575" s="3" t="n"/>
      <c r="H575" s="3" t="n"/>
      <c r="I575" s="3" t="n"/>
      <c r="J575" s="3" t="n"/>
      <c r="K575" s="3" t="n"/>
      <c r="L575" s="3" t="n"/>
      <c r="M575" s="3" t="n"/>
      <c r="N575" s="3" t="n"/>
      <c r="O575" s="3" t="n"/>
      <c r="P575" s="3" t="n"/>
      <c r="Q575" s="3" t="n"/>
      <c r="R575" s="3" t="n"/>
      <c r="S575" s="3" t="n"/>
    </row>
    <row r="576" ht="25" customHeight="1">
      <c r="A576" s="2" t="n"/>
      <c r="B576" s="2" t="n"/>
      <c r="C576" s="2" t="n"/>
      <c r="D576" s="2" t="n"/>
      <c r="E576" s="2" t="n"/>
      <c r="F576" s="2" t="n"/>
      <c r="G576" s="2" t="n"/>
      <c r="H576" s="2" t="n"/>
      <c r="I576" s="2" t="n"/>
      <c r="J576" s="2" t="n"/>
      <c r="K576" s="2" t="n"/>
      <c r="L576" s="2" t="n"/>
      <c r="M576" s="2" t="n"/>
      <c r="N576" s="2" t="n"/>
      <c r="O576" s="2" t="n"/>
      <c r="P576" s="2" t="n"/>
      <c r="Q576" s="2" t="n"/>
      <c r="R576" s="2" t="n"/>
      <c r="S576" s="2" t="n"/>
    </row>
    <row r="577" ht="25" customHeight="1">
      <c r="A577" s="3" t="n"/>
      <c r="B577" s="3" t="n"/>
      <c r="C577" s="3" t="n"/>
      <c r="D577" s="3" t="n"/>
      <c r="E577" s="3" t="n"/>
      <c r="F577" s="3" t="n"/>
      <c r="G577" s="3" t="n"/>
      <c r="H577" s="3" t="n"/>
      <c r="I577" s="3" t="n"/>
      <c r="J577" s="3" t="n"/>
      <c r="K577" s="3" t="n"/>
      <c r="L577" s="3" t="n"/>
      <c r="M577" s="3" t="n"/>
      <c r="N577" s="3" t="n"/>
      <c r="O577" s="3" t="n"/>
      <c r="P577" s="3" t="n"/>
      <c r="Q577" s="3" t="n"/>
      <c r="R577" s="3" t="n"/>
      <c r="S577" s="3" t="n"/>
    </row>
    <row r="578" ht="25" customHeight="1">
      <c r="A578" s="2" t="n"/>
      <c r="B578" s="2" t="n"/>
      <c r="C578" s="2" t="n"/>
      <c r="D578" s="2" t="n"/>
      <c r="E578" s="2" t="n"/>
      <c r="F578" s="2" t="n"/>
      <c r="G578" s="2" t="n"/>
      <c r="H578" s="2" t="n"/>
      <c r="I578" s="2" t="n"/>
      <c r="J578" s="2" t="n"/>
      <c r="K578" s="2" t="n"/>
      <c r="L578" s="2" t="n"/>
      <c r="M578" s="2" t="n"/>
      <c r="N578" s="2" t="n"/>
      <c r="O578" s="2" t="n"/>
      <c r="P578" s="2" t="n"/>
      <c r="Q578" s="2" t="n"/>
      <c r="R578" s="2" t="n"/>
      <c r="S578" s="2" t="n"/>
    </row>
    <row r="579" ht="25" customHeight="1">
      <c r="A579" s="3" t="n"/>
      <c r="B579" s="3" t="n"/>
      <c r="C579" s="3" t="n"/>
      <c r="D579" s="3" t="n"/>
      <c r="E579" s="3" t="n"/>
      <c r="F579" s="3" t="n"/>
      <c r="G579" s="3" t="n"/>
      <c r="H579" s="3" t="n"/>
      <c r="I579" s="3" t="n"/>
      <c r="J579" s="3" t="n"/>
      <c r="K579" s="3" t="n"/>
      <c r="L579" s="3" t="n"/>
      <c r="M579" s="3" t="n"/>
      <c r="N579" s="3" t="n"/>
      <c r="O579" s="3" t="n"/>
      <c r="P579" s="3" t="n"/>
      <c r="Q579" s="3" t="n"/>
      <c r="R579" s="3" t="n"/>
      <c r="S579" s="3" t="n"/>
    </row>
    <row r="580" ht="25" customHeight="1">
      <c r="A580" s="2" t="n"/>
      <c r="B580" s="2" t="n"/>
      <c r="C580" s="2" t="n"/>
      <c r="D580" s="2" t="n"/>
      <c r="E580" s="2" t="n"/>
      <c r="F580" s="2" t="n"/>
      <c r="G580" s="2" t="n"/>
      <c r="H580" s="2" t="n"/>
      <c r="I580" s="2" t="n"/>
      <c r="J580" s="2" t="n"/>
      <c r="K580" s="2" t="n"/>
      <c r="L580" s="2" t="n"/>
      <c r="M580" s="2" t="n"/>
      <c r="N580" s="2" t="n"/>
      <c r="O580" s="2" t="n"/>
      <c r="P580" s="2" t="n"/>
      <c r="Q580" s="2" t="n"/>
      <c r="R580" s="2" t="n"/>
      <c r="S580" s="2" t="n"/>
    </row>
    <row r="581" ht="25" customHeight="1">
      <c r="A581" s="3" t="n"/>
      <c r="B581" s="3" t="n"/>
      <c r="C581" s="3" t="n"/>
      <c r="D581" s="3" t="n"/>
      <c r="E581" s="3" t="n"/>
      <c r="F581" s="3" t="n"/>
      <c r="G581" s="3" t="n"/>
      <c r="H581" s="3" t="n"/>
      <c r="I581" s="3" t="n"/>
      <c r="J581" s="3" t="n"/>
      <c r="K581" s="3" t="n"/>
      <c r="L581" s="3" t="n"/>
      <c r="M581" s="3" t="n"/>
      <c r="N581" s="3" t="n"/>
      <c r="O581" s="3" t="n"/>
      <c r="P581" s="3" t="n"/>
      <c r="Q581" s="3" t="n"/>
      <c r="R581" s="3" t="n"/>
      <c r="S581" s="3" t="n"/>
    </row>
    <row r="582" ht="25" customHeight="1">
      <c r="A582" s="2" t="n"/>
      <c r="B582" s="2" t="n"/>
      <c r="C582" s="2" t="n"/>
      <c r="D582" s="2" t="n"/>
      <c r="E582" s="2" t="n"/>
      <c r="F582" s="2" t="n"/>
      <c r="G582" s="2" t="n"/>
      <c r="H582" s="2" t="n"/>
      <c r="I582" s="2" t="n"/>
      <c r="J582" s="2" t="n"/>
      <c r="K582" s="2" t="n"/>
      <c r="L582" s="2" t="n"/>
      <c r="M582" s="2" t="n"/>
      <c r="N582" s="2" t="n"/>
      <c r="O582" s="2" t="n"/>
      <c r="P582" s="2" t="n"/>
      <c r="Q582" s="2" t="n"/>
      <c r="R582" s="2" t="n"/>
      <c r="S582" s="2" t="n"/>
    </row>
    <row r="583" ht="25" customHeight="1">
      <c r="A583" s="3" t="n"/>
      <c r="B583" s="3" t="n"/>
      <c r="C583" s="3" t="n"/>
      <c r="D583" s="3" t="n"/>
      <c r="E583" s="3" t="n"/>
      <c r="F583" s="3" t="n"/>
      <c r="G583" s="3" t="n"/>
      <c r="H583" s="3" t="n"/>
      <c r="I583" s="3" t="n"/>
      <c r="J583" s="3" t="n"/>
      <c r="K583" s="3" t="n"/>
      <c r="L583" s="3" t="n"/>
      <c r="M583" s="3" t="n"/>
      <c r="N583" s="3" t="n"/>
      <c r="O583" s="3" t="n"/>
      <c r="P583" s="3" t="n"/>
      <c r="Q583" s="3" t="n"/>
      <c r="R583" s="3" t="n"/>
      <c r="S583" s="3" t="n"/>
    </row>
    <row r="584" ht="25" customHeight="1">
      <c r="A584" s="2" t="n"/>
      <c r="B584" s="2" t="n"/>
      <c r="C584" s="2" t="n"/>
      <c r="D584" s="2" t="n"/>
      <c r="E584" s="2" t="n"/>
      <c r="F584" s="2" t="n"/>
      <c r="G584" s="2" t="n"/>
      <c r="H584" s="2" t="n"/>
      <c r="I584" s="2" t="n"/>
      <c r="J584" s="2" t="n"/>
      <c r="K584" s="2" t="n"/>
      <c r="L584" s="2" t="n"/>
      <c r="M584" s="2" t="n"/>
      <c r="N584" s="2" t="n"/>
      <c r="O584" s="2" t="n"/>
      <c r="P584" s="2" t="n"/>
      <c r="Q584" s="2" t="n"/>
      <c r="R584" s="2" t="n"/>
      <c r="S584" s="2" t="n"/>
    </row>
    <row r="585" ht="25" customHeight="1">
      <c r="A585" s="3" t="n"/>
      <c r="B585" s="3" t="n"/>
      <c r="C585" s="3" t="n"/>
      <c r="D585" s="3" t="n"/>
      <c r="E585" s="3" t="n"/>
      <c r="F585" s="3" t="n"/>
      <c r="G585" s="3" t="n"/>
      <c r="H585" s="3" t="n"/>
      <c r="I585" s="3" t="n"/>
      <c r="J585" s="3" t="n"/>
      <c r="K585" s="3" t="n"/>
      <c r="L585" s="3" t="n"/>
      <c r="M585" s="3" t="n"/>
      <c r="N585" s="3" t="n"/>
      <c r="O585" s="3" t="n"/>
      <c r="P585" s="3" t="n"/>
      <c r="Q585" s="3" t="n"/>
      <c r="R585" s="3" t="n"/>
      <c r="S585" s="3" t="n"/>
    </row>
    <row r="586" ht="25" customHeight="1">
      <c r="A586" s="2" t="n"/>
      <c r="B586" s="2" t="n"/>
      <c r="C586" s="2" t="n"/>
      <c r="D586" s="2" t="n"/>
      <c r="E586" s="2" t="n"/>
      <c r="F586" s="2" t="n"/>
      <c r="G586" s="2" t="n"/>
      <c r="H586" s="2" t="n"/>
      <c r="I586" s="2" t="n"/>
      <c r="J586" s="2" t="n"/>
      <c r="K586" s="2" t="n"/>
      <c r="L586" s="2" t="n"/>
      <c r="M586" s="2" t="n"/>
      <c r="N586" s="2" t="n"/>
      <c r="O586" s="2" t="n"/>
      <c r="P586" s="2" t="n"/>
      <c r="Q586" s="2" t="n"/>
      <c r="R586" s="2" t="n"/>
      <c r="S586" s="2" t="n"/>
    </row>
    <row r="587" ht="25" customHeight="1">
      <c r="A587" s="3" t="n"/>
      <c r="B587" s="3" t="n"/>
      <c r="C587" s="3" t="n"/>
      <c r="D587" s="3" t="n"/>
      <c r="E587" s="3" t="n"/>
      <c r="F587" s="3" t="n"/>
      <c r="G587" s="3" t="n"/>
      <c r="H587" s="3" t="n"/>
      <c r="I587" s="3" t="n"/>
      <c r="J587" s="3" t="n"/>
      <c r="K587" s="3" t="n"/>
      <c r="L587" s="3" t="n"/>
      <c r="M587" s="3" t="n"/>
      <c r="N587" s="3" t="n"/>
      <c r="O587" s="3" t="n"/>
      <c r="P587" s="3" t="n"/>
      <c r="Q587" s="3" t="n"/>
      <c r="R587" s="3" t="n"/>
      <c r="S587" s="3" t="n"/>
    </row>
    <row r="588" ht="25" customHeight="1">
      <c r="A588" s="2" t="n"/>
      <c r="B588" s="2" t="n"/>
      <c r="C588" s="2" t="n"/>
      <c r="D588" s="2" t="n"/>
      <c r="E588" s="2" t="n"/>
      <c r="F588" s="2" t="n"/>
      <c r="G588" s="2" t="n"/>
      <c r="H588" s="2" t="n"/>
      <c r="I588" s="2" t="n"/>
      <c r="J588" s="2" t="n"/>
      <c r="K588" s="2" t="n"/>
      <c r="L588" s="2" t="n"/>
      <c r="M588" s="2" t="n"/>
      <c r="N588" s="2" t="n"/>
      <c r="O588" s="2" t="n"/>
      <c r="P588" s="2" t="n"/>
      <c r="Q588" s="2" t="n"/>
      <c r="R588" s="2" t="n"/>
      <c r="S588" s="2" t="n"/>
    </row>
    <row r="589" ht="25" customHeight="1">
      <c r="A589" s="3" t="n"/>
      <c r="B589" s="3" t="n"/>
      <c r="C589" s="3" t="n"/>
      <c r="D589" s="3" t="n"/>
      <c r="E589" s="3" t="n"/>
      <c r="F589" s="3" t="n"/>
      <c r="G589" s="3" t="n"/>
      <c r="H589" s="3" t="n"/>
      <c r="I589" s="3" t="n"/>
      <c r="J589" s="3" t="n"/>
      <c r="K589" s="3" t="n"/>
      <c r="L589" s="3" t="n"/>
      <c r="M589" s="3" t="n"/>
      <c r="N589" s="3" t="n"/>
      <c r="O589" s="3" t="n"/>
      <c r="P589" s="3" t="n"/>
      <c r="Q589" s="3" t="n"/>
      <c r="R589" s="3" t="n"/>
      <c r="S589" s="3" t="n"/>
    </row>
    <row r="590" ht="25" customHeight="1">
      <c r="A590" s="2" t="n"/>
      <c r="B590" s="2" t="n"/>
      <c r="C590" s="2" t="n"/>
      <c r="D590" s="2" t="n"/>
      <c r="E590" s="2" t="n"/>
      <c r="F590" s="2" t="n"/>
      <c r="G590" s="2" t="n"/>
      <c r="H590" s="2" t="n"/>
      <c r="I590" s="2" t="n"/>
      <c r="J590" s="2" t="n"/>
      <c r="K590" s="2" t="n"/>
      <c r="L590" s="2" t="n"/>
      <c r="M590" s="2" t="n"/>
      <c r="N590" s="2" t="n"/>
      <c r="O590" s="2" t="n"/>
      <c r="P590" s="2" t="n"/>
      <c r="Q590" s="2" t="n"/>
      <c r="R590" s="2" t="n"/>
      <c r="S590" s="2" t="n"/>
    </row>
    <row r="591" ht="25" customHeight="1">
      <c r="A591" s="3" t="n"/>
      <c r="B591" s="3" t="n"/>
      <c r="C591" s="3" t="n"/>
      <c r="D591" s="3" t="n"/>
      <c r="E591" s="3" t="n"/>
      <c r="F591" s="3" t="n"/>
      <c r="G591" s="3" t="n"/>
      <c r="H591" s="3" t="n"/>
      <c r="I591" s="3" t="n"/>
      <c r="J591" s="3" t="n"/>
      <c r="K591" s="3" t="n"/>
      <c r="L591" s="3" t="n"/>
      <c r="M591" s="3" t="n"/>
      <c r="N591" s="3" t="n"/>
      <c r="O591" s="3" t="n"/>
      <c r="P591" s="3" t="n"/>
      <c r="Q591" s="3" t="n"/>
      <c r="R591" s="3" t="n"/>
      <c r="S591" s="3" t="n"/>
    </row>
    <row r="592" ht="25" customHeight="1">
      <c r="A592" s="2" t="n"/>
      <c r="B592" s="2" t="n"/>
      <c r="C592" s="2" t="n"/>
      <c r="D592" s="2" t="n"/>
      <c r="E592" s="2" t="n"/>
      <c r="F592" s="2" t="n"/>
      <c r="G592" s="2" t="n"/>
      <c r="H592" s="2" t="n"/>
      <c r="I592" s="2" t="n"/>
      <c r="J592" s="2" t="n"/>
      <c r="K592" s="2" t="n"/>
      <c r="L592" s="2" t="n"/>
      <c r="M592" s="2" t="n"/>
      <c r="N592" s="2" t="n"/>
      <c r="O592" s="2" t="n"/>
      <c r="P592" s="2" t="n"/>
      <c r="Q592" s="2" t="n"/>
      <c r="R592" s="2" t="n"/>
      <c r="S592" s="2" t="n"/>
    </row>
    <row r="593" ht="25" customHeight="1">
      <c r="A593" s="3" t="n"/>
      <c r="B593" s="3" t="n"/>
      <c r="C593" s="3" t="n"/>
      <c r="D593" s="3" t="n"/>
      <c r="E593" s="3" t="n"/>
      <c r="F593" s="3" t="n"/>
      <c r="G593" s="3" t="n"/>
      <c r="H593" s="3" t="n"/>
      <c r="I593" s="3" t="n"/>
      <c r="J593" s="3" t="n"/>
      <c r="K593" s="3" t="n"/>
      <c r="L593" s="3" t="n"/>
      <c r="M593" s="3" t="n"/>
      <c r="N593" s="3" t="n"/>
      <c r="O593" s="3" t="n"/>
      <c r="P593" s="3" t="n"/>
      <c r="Q593" s="3" t="n"/>
      <c r="R593" s="3" t="n"/>
      <c r="S593" s="3" t="n"/>
    </row>
    <row r="594" ht="25" customHeight="1">
      <c r="A594" s="2" t="n"/>
      <c r="B594" s="2" t="n"/>
      <c r="C594" s="2" t="n"/>
      <c r="D594" s="2" t="n"/>
      <c r="E594" s="2" t="n"/>
      <c r="F594" s="2" t="n"/>
      <c r="G594" s="2" t="n"/>
      <c r="H594" s="2" t="n"/>
      <c r="I594" s="2" t="n"/>
      <c r="J594" s="2" t="n"/>
      <c r="K594" s="2" t="n"/>
      <c r="L594" s="2" t="n"/>
      <c r="M594" s="2" t="n"/>
      <c r="N594" s="2" t="n"/>
      <c r="O594" s="2" t="n"/>
      <c r="P594" s="2" t="n"/>
      <c r="Q594" s="2" t="n"/>
      <c r="R594" s="2" t="n"/>
      <c r="S594" s="2" t="n"/>
    </row>
    <row r="595" ht="25" customHeight="1">
      <c r="A595" s="3" t="n"/>
      <c r="B595" s="3" t="n"/>
      <c r="C595" s="3" t="n"/>
      <c r="D595" s="3" t="n"/>
      <c r="E595" s="3" t="n"/>
      <c r="F595" s="3" t="n"/>
      <c r="G595" s="3" t="n"/>
      <c r="H595" s="3" t="n"/>
      <c r="I595" s="3" t="n"/>
      <c r="J595" s="3" t="n"/>
      <c r="K595" s="3" t="n"/>
      <c r="L595" s="3" t="n"/>
      <c r="M595" s="3" t="n"/>
      <c r="N595" s="3" t="n"/>
      <c r="O595" s="3" t="n"/>
      <c r="P595" s="3" t="n"/>
      <c r="Q595" s="3" t="n"/>
      <c r="R595" s="3" t="n"/>
      <c r="S595" s="3" t="n"/>
    </row>
    <row r="596" ht="25" customHeight="1">
      <c r="A596" s="2" t="n"/>
      <c r="B596" s="2" t="n"/>
      <c r="C596" s="2" t="n"/>
      <c r="D596" s="2" t="n"/>
      <c r="E596" s="2" t="n"/>
      <c r="F596" s="2" t="n"/>
      <c r="G596" s="2" t="n"/>
      <c r="H596" s="2" t="n"/>
      <c r="I596" s="2" t="n"/>
      <c r="J596" s="2" t="n"/>
      <c r="K596" s="2" t="n"/>
      <c r="L596" s="2" t="n"/>
      <c r="M596" s="2" t="n"/>
      <c r="N596" s="2" t="n"/>
      <c r="O596" s="2" t="n"/>
      <c r="P596" s="2" t="n"/>
      <c r="Q596" s="2" t="n"/>
      <c r="R596" s="2" t="n"/>
      <c r="S596" s="2" t="n"/>
    </row>
    <row r="597" ht="25" customHeight="1">
      <c r="A597" s="3" t="n"/>
      <c r="B597" s="3" t="n"/>
      <c r="C597" s="3" t="n"/>
      <c r="D597" s="3" t="n"/>
      <c r="E597" s="3" t="n"/>
      <c r="F597" s="3" t="n"/>
      <c r="G597" s="3" t="n"/>
      <c r="H597" s="3" t="n"/>
      <c r="I597" s="3" t="n"/>
      <c r="J597" s="3" t="n"/>
      <c r="K597" s="3" t="n"/>
      <c r="L597" s="3" t="n"/>
      <c r="M597" s="3" t="n"/>
      <c r="N597" s="3" t="n"/>
      <c r="O597" s="3" t="n"/>
      <c r="P597" s="3" t="n"/>
      <c r="Q597" s="3" t="n"/>
      <c r="R597" s="3" t="n"/>
      <c r="S597" s="3" t="n"/>
    </row>
    <row r="598" ht="25" customHeight="1">
      <c r="A598" s="2" t="n"/>
      <c r="B598" s="2" t="n"/>
      <c r="C598" s="2" t="n"/>
      <c r="D598" s="2" t="n"/>
      <c r="E598" s="2" t="n"/>
      <c r="F598" s="2" t="n"/>
      <c r="G598" s="2" t="n"/>
      <c r="H598" s="2" t="n"/>
      <c r="I598" s="2" t="n"/>
      <c r="J598" s="2" t="n"/>
      <c r="K598" s="2" t="n"/>
      <c r="L598" s="2" t="n"/>
      <c r="M598" s="2" t="n"/>
      <c r="N598" s="2" t="n"/>
      <c r="O598" s="2" t="n"/>
      <c r="P598" s="2" t="n"/>
      <c r="Q598" s="2" t="n"/>
      <c r="R598" s="2" t="n"/>
      <c r="S598" s="2" t="n"/>
    </row>
    <row r="599" ht="25" customHeight="1">
      <c r="A599" s="3" t="n"/>
      <c r="B599" s="3" t="n"/>
      <c r="C599" s="3" t="n"/>
      <c r="D599" s="3" t="n"/>
      <c r="E599" s="3" t="n"/>
      <c r="F599" s="3" t="n"/>
      <c r="G599" s="3" t="n"/>
      <c r="H599" s="3" t="n"/>
      <c r="I599" s="3" t="n"/>
      <c r="J599" s="3" t="n"/>
      <c r="K599" s="3" t="n"/>
      <c r="L599" s="3" t="n"/>
      <c r="M599" s="3" t="n"/>
      <c r="N599" s="3" t="n"/>
      <c r="O599" s="3" t="n"/>
      <c r="P599" s="3" t="n"/>
      <c r="Q599" s="3" t="n"/>
      <c r="R599" s="3" t="n"/>
      <c r="S599" s="3" t="n"/>
    </row>
    <row r="600" ht="25" customHeight="1">
      <c r="A600" s="2" t="n"/>
      <c r="B600" s="2" t="n"/>
      <c r="C600" s="2" t="n"/>
      <c r="D600" s="2" t="n"/>
      <c r="E600" s="2" t="n"/>
      <c r="F600" s="2" t="n"/>
      <c r="G600" s="2" t="n"/>
      <c r="H600" s="2" t="n"/>
      <c r="I600" s="2" t="n"/>
      <c r="J600" s="2" t="n"/>
      <c r="K600" s="2" t="n"/>
      <c r="L600" s="2" t="n"/>
      <c r="M600" s="2" t="n"/>
      <c r="N600" s="2" t="n"/>
      <c r="O600" s="2" t="n"/>
      <c r="P600" s="2" t="n"/>
      <c r="Q600" s="2" t="n"/>
      <c r="R600" s="2" t="n"/>
      <c r="S600" s="2" t="n"/>
    </row>
    <row r="601" ht="25" customHeight="1">
      <c r="A601" s="3" t="n"/>
      <c r="B601" s="3" t="n"/>
      <c r="C601" s="3" t="n"/>
      <c r="D601" s="3" t="n"/>
      <c r="E601" s="3" t="n"/>
      <c r="F601" s="3" t="n"/>
      <c r="G601" s="3" t="n"/>
      <c r="H601" s="3" t="n"/>
      <c r="I601" s="3" t="n"/>
      <c r="J601" s="3" t="n"/>
      <c r="K601" s="3" t="n"/>
      <c r="L601" s="3" t="n"/>
      <c r="M601" s="3" t="n"/>
      <c r="N601" s="3" t="n"/>
      <c r="O601" s="3" t="n"/>
      <c r="P601" s="3" t="n"/>
      <c r="Q601" s="3" t="n"/>
      <c r="R601" s="3" t="n"/>
      <c r="S601" s="3" t="n"/>
    </row>
    <row r="602" ht="25" customHeight="1">
      <c r="A602" s="2" t="n"/>
      <c r="B602" s="2" t="n"/>
      <c r="C602" s="2" t="n"/>
      <c r="D602" s="2" t="n"/>
      <c r="E602" s="2" t="n"/>
      <c r="F602" s="2" t="n"/>
      <c r="G602" s="2" t="n"/>
      <c r="H602" s="2" t="n"/>
      <c r="I602" s="2" t="n"/>
      <c r="J602" s="2" t="n"/>
      <c r="K602" s="2" t="n"/>
      <c r="L602" s="2" t="n"/>
      <c r="M602" s="2" t="n"/>
      <c r="N602" s="2" t="n"/>
      <c r="O602" s="2" t="n"/>
      <c r="P602" s="2" t="n"/>
      <c r="Q602" s="2" t="n"/>
      <c r="R602" s="2" t="n"/>
      <c r="S602" s="2" t="n"/>
    </row>
    <row r="603" ht="25" customHeight="1">
      <c r="A603" s="3" t="n"/>
      <c r="B603" s="3" t="n"/>
      <c r="C603" s="3" t="n"/>
      <c r="D603" s="3" t="n"/>
      <c r="E603" s="3" t="n"/>
      <c r="F603" s="3" t="n"/>
      <c r="G603" s="3" t="n"/>
      <c r="H603" s="3" t="n"/>
      <c r="I603" s="3" t="n"/>
      <c r="J603" s="3" t="n"/>
      <c r="K603" s="3" t="n"/>
      <c r="L603" s="3" t="n"/>
      <c r="M603" s="3" t="n"/>
      <c r="N603" s="3" t="n"/>
      <c r="O603" s="3" t="n"/>
      <c r="P603" s="3" t="n"/>
      <c r="Q603" s="3" t="n"/>
      <c r="R603" s="3" t="n"/>
      <c r="S603" s="3" t="n"/>
    </row>
    <row r="604" ht="25" customHeight="1">
      <c r="A604" s="2" t="n"/>
      <c r="B604" s="2" t="n"/>
      <c r="C604" s="2" t="n"/>
      <c r="D604" s="2" t="n"/>
      <c r="E604" s="2" t="n"/>
      <c r="F604" s="2" t="n"/>
      <c r="G604" s="2" t="n"/>
      <c r="H604" s="2" t="n"/>
      <c r="I604" s="2" t="n"/>
      <c r="J604" s="2" t="n"/>
      <c r="K604" s="2" t="n"/>
      <c r="L604" s="2" t="n"/>
      <c r="M604" s="2" t="n"/>
      <c r="N604" s="2" t="n"/>
      <c r="O604" s="2" t="n"/>
      <c r="P604" s="2" t="n"/>
      <c r="Q604" s="2" t="n"/>
      <c r="R604" s="2" t="n"/>
      <c r="S604" s="2" t="n"/>
    </row>
    <row r="605" ht="25" customHeight="1">
      <c r="A605" s="3" t="n"/>
      <c r="B605" s="3" t="n"/>
      <c r="C605" s="3" t="n"/>
      <c r="D605" s="3" t="n"/>
      <c r="E605" s="3" t="n"/>
      <c r="F605" s="3" t="n"/>
      <c r="G605" s="3" t="n"/>
      <c r="H605" s="3" t="n"/>
      <c r="I605" s="3" t="n"/>
      <c r="J605" s="3" t="n"/>
      <c r="K605" s="3" t="n"/>
      <c r="L605" s="3" t="n"/>
      <c r="M605" s="3" t="n"/>
      <c r="N605" s="3" t="n"/>
      <c r="O605" s="3" t="n"/>
      <c r="P605" s="3" t="n"/>
      <c r="Q605" s="3" t="n"/>
      <c r="R605" s="3" t="n"/>
      <c r="S605" s="3" t="n"/>
    </row>
    <row r="606" ht="25" customHeight="1">
      <c r="A606" s="2" t="n"/>
      <c r="B606" s="2" t="n"/>
      <c r="C606" s="2" t="n"/>
      <c r="D606" s="2" t="n"/>
      <c r="E606" s="2" t="n"/>
      <c r="F606" s="2" t="n"/>
      <c r="G606" s="2" t="n"/>
      <c r="H606" s="2" t="n"/>
      <c r="I606" s="2" t="n"/>
      <c r="J606" s="2" t="n"/>
      <c r="K606" s="2" t="n"/>
      <c r="L606" s="2" t="n"/>
      <c r="M606" s="2" t="n"/>
      <c r="N606" s="2" t="n"/>
      <c r="O606" s="2" t="n"/>
      <c r="P606" s="2" t="n"/>
      <c r="Q606" s="2" t="n"/>
      <c r="R606" s="2" t="n"/>
      <c r="S606" s="2" t="n"/>
    </row>
    <row r="607" ht="25" customHeight="1">
      <c r="A607" s="3" t="n"/>
      <c r="B607" s="3" t="n"/>
      <c r="C607" s="3" t="n"/>
      <c r="D607" s="3" t="n"/>
      <c r="E607" s="3" t="n"/>
      <c r="F607" s="3" t="n"/>
      <c r="G607" s="3" t="n"/>
      <c r="H607" s="3" t="n"/>
      <c r="I607" s="3" t="n"/>
      <c r="J607" s="3" t="n"/>
      <c r="K607" s="3" t="n"/>
      <c r="L607" s="3" t="n"/>
      <c r="M607" s="3" t="n"/>
      <c r="N607" s="3" t="n"/>
      <c r="O607" s="3" t="n"/>
      <c r="P607" s="3" t="n"/>
      <c r="Q607" s="3" t="n"/>
      <c r="R607" s="3" t="n"/>
      <c r="S607" s="3" t="n"/>
    </row>
    <row r="608" ht="25" customHeight="1">
      <c r="A608" s="2" t="n"/>
      <c r="B608" s="2" t="n"/>
      <c r="C608" s="2" t="n"/>
      <c r="D608" s="2" t="n"/>
      <c r="E608" s="2" t="n"/>
      <c r="F608" s="2" t="n"/>
      <c r="G608" s="2" t="n"/>
      <c r="H608" s="2" t="n"/>
      <c r="I608" s="2" t="n"/>
      <c r="J608" s="2" t="n"/>
      <c r="K608" s="2" t="n"/>
      <c r="L608" s="2" t="n"/>
      <c r="M608" s="2" t="n"/>
      <c r="N608" s="2" t="n"/>
      <c r="O608" s="2" t="n"/>
      <c r="P608" s="2" t="n"/>
      <c r="Q608" s="2" t="n"/>
      <c r="R608" s="2" t="n"/>
      <c r="S608" s="2" t="n"/>
    </row>
    <row r="609" ht="25" customHeight="1">
      <c r="A609" s="3" t="n"/>
      <c r="B609" s="3" t="n"/>
      <c r="C609" s="3" t="n"/>
      <c r="D609" s="3" t="n"/>
      <c r="E609" s="3" t="n"/>
      <c r="F609" s="3" t="n"/>
      <c r="G609" s="3" t="n"/>
      <c r="H609" s="3" t="n"/>
      <c r="I609" s="3" t="n"/>
      <c r="J609" s="3" t="n"/>
      <c r="K609" s="3" t="n"/>
      <c r="L609" s="3" t="n"/>
      <c r="M609" s="3" t="n"/>
      <c r="N609" s="3" t="n"/>
      <c r="O609" s="3" t="n"/>
      <c r="P609" s="3" t="n"/>
      <c r="Q609" s="3" t="n"/>
      <c r="R609" s="3" t="n"/>
      <c r="S609" s="3" t="n"/>
    </row>
    <row r="610" ht="25" customHeight="1">
      <c r="A610" s="2" t="n"/>
      <c r="B610" s="2" t="n"/>
      <c r="C610" s="2" t="n"/>
      <c r="D610" s="2" t="n"/>
      <c r="E610" s="2" t="n"/>
      <c r="F610" s="2" t="n"/>
      <c r="G610" s="2" t="n"/>
      <c r="H610" s="2" t="n"/>
      <c r="I610" s="2" t="n"/>
      <c r="J610" s="2" t="n"/>
      <c r="K610" s="2" t="n"/>
      <c r="L610" s="2" t="n"/>
      <c r="M610" s="2" t="n"/>
      <c r="N610" s="2" t="n"/>
      <c r="O610" s="2" t="n"/>
      <c r="P610" s="2" t="n"/>
      <c r="Q610" s="2" t="n"/>
      <c r="R610" s="2" t="n"/>
      <c r="S610" s="2" t="n"/>
    </row>
    <row r="611" ht="25" customHeight="1">
      <c r="A611" s="3" t="n"/>
      <c r="B611" s="3" t="n"/>
      <c r="C611" s="3" t="n"/>
      <c r="D611" s="3" t="n"/>
      <c r="E611" s="3" t="n"/>
      <c r="F611" s="3" t="n"/>
      <c r="G611" s="3" t="n"/>
      <c r="H611" s="3" t="n"/>
      <c r="I611" s="3" t="n"/>
      <c r="J611" s="3" t="n"/>
      <c r="K611" s="3" t="n"/>
      <c r="L611" s="3" t="n"/>
      <c r="M611" s="3" t="n"/>
      <c r="N611" s="3" t="n"/>
      <c r="O611" s="3" t="n"/>
      <c r="P611" s="3" t="n"/>
      <c r="Q611" s="3" t="n"/>
      <c r="R611" s="3" t="n"/>
      <c r="S611" s="3" t="n"/>
    </row>
    <row r="612" ht="25" customHeight="1">
      <c r="A612" s="2" t="n"/>
      <c r="B612" s="2" t="n"/>
      <c r="C612" s="2" t="n"/>
      <c r="D612" s="2" t="n"/>
      <c r="E612" s="2" t="n"/>
      <c r="F612" s="2" t="n"/>
      <c r="G612" s="2" t="n"/>
      <c r="H612" s="2" t="n"/>
      <c r="I612" s="2" t="n"/>
      <c r="J612" s="2" t="n"/>
      <c r="K612" s="2" t="n"/>
      <c r="L612" s="2" t="n"/>
      <c r="M612" s="2" t="n"/>
      <c r="N612" s="2" t="n"/>
      <c r="O612" s="2" t="n"/>
      <c r="P612" s="2" t="n"/>
      <c r="Q612" s="2" t="n"/>
      <c r="R612" s="2" t="n"/>
      <c r="S612" s="2" t="n"/>
    </row>
    <row r="613" ht="25" customHeight="1">
      <c r="A613" s="3" t="n"/>
      <c r="B613" s="3" t="n"/>
      <c r="C613" s="3" t="n"/>
      <c r="D613" s="3" t="n"/>
      <c r="E613" s="3" t="n"/>
      <c r="F613" s="3" t="n"/>
      <c r="G613" s="3" t="n"/>
      <c r="H613" s="3" t="n"/>
      <c r="I613" s="3" t="n"/>
      <c r="J613" s="3" t="n"/>
      <c r="K613" s="3" t="n"/>
      <c r="L613" s="3" t="n"/>
      <c r="M613" s="3" t="n"/>
      <c r="N613" s="3" t="n"/>
      <c r="O613" s="3" t="n"/>
      <c r="P613" s="3" t="n"/>
      <c r="Q613" s="3" t="n"/>
      <c r="R613" s="3" t="n"/>
      <c r="S613" s="3" t="n"/>
    </row>
    <row r="614" ht="25" customHeight="1">
      <c r="A614" s="2" t="n"/>
      <c r="B614" s="2" t="n"/>
      <c r="C614" s="2" t="n"/>
      <c r="D614" s="2" t="n"/>
      <c r="E614" s="2" t="n"/>
      <c r="F614" s="2" t="n"/>
      <c r="G614" s="2" t="n"/>
      <c r="H614" s="2" t="n"/>
      <c r="I614" s="2" t="n"/>
      <c r="J614" s="2" t="n"/>
      <c r="K614" s="2" t="n"/>
      <c r="L614" s="2" t="n"/>
      <c r="M614" s="2" t="n"/>
      <c r="N614" s="2" t="n"/>
      <c r="O614" s="2" t="n"/>
      <c r="P614" s="2" t="n"/>
      <c r="Q614" s="2" t="n"/>
      <c r="R614" s="2" t="n"/>
      <c r="S614" s="2" t="n"/>
    </row>
    <row r="615" ht="25" customHeight="1">
      <c r="A615" s="3" t="n"/>
      <c r="B615" s="3" t="n"/>
      <c r="C615" s="3" t="n"/>
      <c r="D615" s="3" t="n"/>
      <c r="E615" s="3" t="n"/>
      <c r="F615" s="3" t="n"/>
      <c r="G615" s="3" t="n"/>
      <c r="H615" s="3" t="n"/>
      <c r="I615" s="3" t="n"/>
      <c r="J615" s="3" t="n"/>
      <c r="K615" s="3" t="n"/>
      <c r="L615" s="3" t="n"/>
      <c r="M615" s="3" t="n"/>
      <c r="N615" s="3" t="n"/>
      <c r="O615" s="3" t="n"/>
      <c r="P615" s="3" t="n"/>
      <c r="Q615" s="3" t="n"/>
      <c r="R615" s="3" t="n"/>
      <c r="S615" s="3" t="n"/>
    </row>
    <row r="616" ht="25" customHeight="1">
      <c r="A616" s="2" t="n"/>
      <c r="B616" s="2" t="n"/>
      <c r="C616" s="2" t="n"/>
      <c r="D616" s="2" t="n"/>
      <c r="E616" s="2" t="n"/>
      <c r="F616" s="2" t="n"/>
      <c r="G616" s="2" t="n"/>
      <c r="H616" s="2" t="n"/>
      <c r="I616" s="2" t="n"/>
      <c r="J616" s="2" t="n"/>
      <c r="K616" s="2" t="n"/>
      <c r="L616" s="2" t="n"/>
      <c r="M616" s="2" t="n"/>
      <c r="N616" s="2" t="n"/>
      <c r="O616" s="2" t="n"/>
      <c r="P616" s="2" t="n"/>
      <c r="Q616" s="2" t="n"/>
      <c r="R616" s="2" t="n"/>
      <c r="S616" s="2" t="n"/>
    </row>
    <row r="617" ht="25" customHeight="1">
      <c r="A617" s="3" t="n"/>
      <c r="B617" s="3" t="n"/>
      <c r="C617" s="3" t="n"/>
      <c r="D617" s="3" t="n"/>
      <c r="E617" s="3" t="n"/>
      <c r="F617" s="3" t="n"/>
      <c r="G617" s="3" t="n"/>
      <c r="H617" s="3" t="n"/>
      <c r="I617" s="3" t="n"/>
      <c r="J617" s="3" t="n"/>
      <c r="K617" s="3" t="n"/>
      <c r="L617" s="3" t="n"/>
      <c r="M617" s="3" t="n"/>
      <c r="N617" s="3" t="n"/>
      <c r="O617" s="3" t="n"/>
      <c r="P617" s="3" t="n"/>
      <c r="Q617" s="3" t="n"/>
      <c r="R617" s="3" t="n"/>
      <c r="S617" s="3" t="n"/>
    </row>
    <row r="618" ht="25" customHeight="1">
      <c r="A618" s="2" t="n"/>
      <c r="B618" s="2" t="n"/>
      <c r="C618" s="2" t="n"/>
      <c r="D618" s="2" t="n"/>
      <c r="E618" s="2" t="n"/>
      <c r="F618" s="2" t="n"/>
      <c r="G618" s="2" t="n"/>
      <c r="H618" s="2" t="n"/>
      <c r="I618" s="2" t="n"/>
      <c r="J618" s="2" t="n"/>
      <c r="K618" s="2" t="n"/>
      <c r="L618" s="2" t="n"/>
      <c r="M618" s="2" t="n"/>
      <c r="N618" s="2" t="n"/>
      <c r="O618" s="2" t="n"/>
      <c r="P618" s="2" t="n"/>
      <c r="Q618" s="2" t="n"/>
      <c r="R618" s="2" t="n"/>
      <c r="S618" s="2" t="n"/>
    </row>
    <row r="619" ht="25" customHeight="1">
      <c r="A619" s="3" t="n"/>
      <c r="B619" s="3" t="n"/>
      <c r="C619" s="3" t="n"/>
      <c r="D619" s="3" t="n"/>
      <c r="E619" s="3" t="n"/>
      <c r="F619" s="3" t="n"/>
      <c r="G619" s="3" t="n"/>
      <c r="H619" s="3" t="n"/>
      <c r="I619" s="3" t="n"/>
      <c r="J619" s="3" t="n"/>
      <c r="K619" s="3" t="n"/>
      <c r="L619" s="3" t="n"/>
      <c r="M619" s="3" t="n"/>
      <c r="N619" s="3" t="n"/>
      <c r="O619" s="3" t="n"/>
      <c r="P619" s="3" t="n"/>
      <c r="Q619" s="3" t="n"/>
      <c r="R619" s="3" t="n"/>
      <c r="S619" s="3" t="n"/>
    </row>
    <row r="620" ht="25" customHeight="1">
      <c r="A620" s="2" t="n"/>
      <c r="B620" s="2" t="n"/>
      <c r="C620" s="2" t="n"/>
      <c r="D620" s="2" t="n"/>
      <c r="E620" s="2" t="n"/>
      <c r="F620" s="2" t="n"/>
      <c r="G620" s="2" t="n"/>
      <c r="H620" s="2" t="n"/>
      <c r="I620" s="2" t="n"/>
      <c r="J620" s="2" t="n"/>
      <c r="K620" s="2" t="n"/>
      <c r="L620" s="2" t="n"/>
      <c r="M620" s="2" t="n"/>
      <c r="N620" s="2" t="n"/>
      <c r="O620" s="2" t="n"/>
      <c r="P620" s="2" t="n"/>
      <c r="Q620" s="2" t="n"/>
      <c r="R620" s="2" t="n"/>
      <c r="S620" s="2" t="n"/>
    </row>
    <row r="621" ht="25" customHeight="1">
      <c r="A621" s="3" t="n"/>
      <c r="B621" s="3" t="n"/>
      <c r="C621" s="3" t="n"/>
      <c r="D621" s="3" t="n"/>
      <c r="E621" s="3" t="n"/>
      <c r="F621" s="3" t="n"/>
      <c r="G621" s="3" t="n"/>
      <c r="H621" s="3" t="n"/>
      <c r="I621" s="3" t="n"/>
      <c r="J621" s="3" t="n"/>
      <c r="K621" s="3" t="n"/>
      <c r="L621" s="3" t="n"/>
      <c r="M621" s="3" t="n"/>
      <c r="N621" s="3" t="n"/>
      <c r="O621" s="3" t="n"/>
      <c r="P621" s="3" t="n"/>
      <c r="Q621" s="3" t="n"/>
      <c r="R621" s="3" t="n"/>
      <c r="S621" s="3" t="n"/>
    </row>
    <row r="622" ht="25" customHeight="1">
      <c r="A622" s="2" t="n"/>
      <c r="B622" s="2" t="n"/>
      <c r="C622" s="2" t="n"/>
      <c r="D622" s="2" t="n"/>
      <c r="E622" s="2" t="n"/>
      <c r="F622" s="2" t="n"/>
      <c r="G622" s="2" t="n"/>
      <c r="H622" s="2" t="n"/>
      <c r="I622" s="2" t="n"/>
      <c r="J622" s="2" t="n"/>
      <c r="K622" s="2" t="n"/>
      <c r="L622" s="2" t="n"/>
      <c r="M622" s="2" t="n"/>
      <c r="N622" s="2" t="n"/>
      <c r="O622" s="2" t="n"/>
      <c r="P622" s="2" t="n"/>
      <c r="Q622" s="2" t="n"/>
      <c r="R622" s="2" t="n"/>
      <c r="S622" s="2" t="n"/>
    </row>
    <row r="623" ht="25" customHeight="1">
      <c r="A623" s="3" t="n"/>
      <c r="B623" s="3" t="n"/>
      <c r="C623" s="3" t="n"/>
      <c r="D623" s="3" t="n"/>
      <c r="E623" s="3" t="n"/>
      <c r="F623" s="3" t="n"/>
      <c r="G623" s="3" t="n"/>
      <c r="H623" s="3" t="n"/>
      <c r="I623" s="3" t="n"/>
      <c r="J623" s="3" t="n"/>
      <c r="K623" s="3" t="n"/>
      <c r="L623" s="3" t="n"/>
      <c r="M623" s="3" t="n"/>
      <c r="N623" s="3" t="n"/>
      <c r="O623" s="3" t="n"/>
      <c r="P623" s="3" t="n"/>
      <c r="Q623" s="3" t="n"/>
      <c r="R623" s="3" t="n"/>
      <c r="S623" s="3" t="n"/>
    </row>
    <row r="624" ht="25" customHeight="1">
      <c r="A624" s="2" t="n"/>
      <c r="B624" s="2" t="n"/>
      <c r="C624" s="2" t="n"/>
      <c r="D624" s="2" t="n"/>
      <c r="E624" s="2" t="n"/>
      <c r="F624" s="2" t="n"/>
      <c r="G624" s="2" t="n"/>
      <c r="H624" s="2" t="n"/>
      <c r="I624" s="2" t="n"/>
      <c r="J624" s="2" t="n"/>
      <c r="K624" s="2" t="n"/>
      <c r="L624" s="2" t="n"/>
      <c r="M624" s="2" t="n"/>
      <c r="N624" s="2" t="n"/>
      <c r="O624" s="2" t="n"/>
      <c r="P624" s="2" t="n"/>
      <c r="Q624" s="2" t="n"/>
      <c r="R624" s="2" t="n"/>
      <c r="S624" s="2" t="n"/>
    </row>
    <row r="625" ht="25" customHeight="1">
      <c r="A625" s="3" t="n"/>
      <c r="B625" s="3" t="n"/>
      <c r="C625" s="3" t="n"/>
      <c r="D625" s="3" t="n"/>
      <c r="E625" s="3" t="n"/>
      <c r="F625" s="3" t="n"/>
      <c r="G625" s="3" t="n"/>
      <c r="H625" s="3" t="n"/>
      <c r="I625" s="3" t="n"/>
      <c r="J625" s="3" t="n"/>
      <c r="K625" s="3" t="n"/>
      <c r="L625" s="3" t="n"/>
      <c r="M625" s="3" t="n"/>
      <c r="N625" s="3" t="n"/>
      <c r="O625" s="3" t="n"/>
      <c r="P625" s="3" t="n"/>
      <c r="Q625" s="3" t="n"/>
      <c r="R625" s="3" t="n"/>
      <c r="S625" s="3" t="n"/>
    </row>
    <row r="626" ht="25" customHeight="1">
      <c r="A626" s="2" t="n"/>
      <c r="B626" s="2" t="n"/>
      <c r="C626" s="2" t="n"/>
      <c r="D626" s="2" t="n"/>
      <c r="E626" s="2" t="n"/>
      <c r="F626" s="2" t="n"/>
      <c r="G626" s="2" t="n"/>
      <c r="H626" s="2" t="n"/>
      <c r="I626" s="2" t="n"/>
      <c r="J626" s="2" t="n"/>
      <c r="K626" s="2" t="n"/>
      <c r="L626" s="2" t="n"/>
      <c r="M626" s="2" t="n"/>
      <c r="N626" s="2" t="n"/>
      <c r="O626" s="2" t="n"/>
      <c r="P626" s="2" t="n"/>
      <c r="Q626" s="2" t="n"/>
      <c r="R626" s="2" t="n"/>
      <c r="S626" s="2" t="n"/>
    </row>
    <row r="627" ht="25" customHeight="1">
      <c r="A627" s="3" t="n"/>
      <c r="B627" s="3" t="n"/>
      <c r="C627" s="3" t="n"/>
      <c r="D627" s="3" t="n"/>
      <c r="E627" s="3" t="n"/>
      <c r="F627" s="3" t="n"/>
      <c r="G627" s="3" t="n"/>
      <c r="H627" s="3" t="n"/>
      <c r="I627" s="3" t="n"/>
      <c r="J627" s="3" t="n"/>
      <c r="K627" s="3" t="n"/>
      <c r="L627" s="3" t="n"/>
      <c r="M627" s="3" t="n"/>
      <c r="N627" s="3" t="n"/>
      <c r="O627" s="3" t="n"/>
      <c r="P627" s="3" t="n"/>
      <c r="Q627" s="3" t="n"/>
      <c r="R627" s="3" t="n"/>
      <c r="S627" s="3" t="n"/>
    </row>
    <row r="628" ht="25" customHeight="1">
      <c r="A628" s="2" t="n"/>
      <c r="B628" s="2" t="n"/>
      <c r="C628" s="2" t="n"/>
      <c r="D628" s="2" t="n"/>
      <c r="E628" s="2" t="n"/>
      <c r="F628" s="2" t="n"/>
      <c r="G628" s="2" t="n"/>
      <c r="H628" s="2" t="n"/>
      <c r="I628" s="2" t="n"/>
      <c r="J628" s="2" t="n"/>
      <c r="K628" s="2" t="n"/>
      <c r="L628" s="2" t="n"/>
      <c r="M628" s="2" t="n"/>
      <c r="N628" s="2" t="n"/>
      <c r="O628" s="2" t="n"/>
      <c r="P628" s="2" t="n"/>
      <c r="Q628" s="2" t="n"/>
      <c r="R628" s="2" t="n"/>
      <c r="S628" s="2" t="n"/>
    </row>
    <row r="629" ht="25" customHeight="1">
      <c r="A629" s="3" t="n"/>
      <c r="B629" s="3" t="n"/>
      <c r="C629" s="3" t="n"/>
      <c r="D629" s="3" t="n"/>
      <c r="E629" s="3" t="n"/>
      <c r="F629" s="3" t="n"/>
      <c r="G629" s="3" t="n"/>
      <c r="H629" s="3" t="n"/>
      <c r="I629" s="3" t="n"/>
      <c r="J629" s="3" t="n"/>
      <c r="K629" s="3" t="n"/>
      <c r="L629" s="3" t="n"/>
      <c r="M629" s="3" t="n"/>
      <c r="N629" s="3" t="n"/>
      <c r="O629" s="3" t="n"/>
      <c r="P629" s="3" t="n"/>
      <c r="Q629" s="3" t="n"/>
      <c r="R629" s="3" t="n"/>
      <c r="S629" s="3" t="n"/>
    </row>
    <row r="630" ht="25" customHeight="1">
      <c r="A630" s="2" t="n"/>
      <c r="B630" s="2" t="n"/>
      <c r="C630" s="2" t="n"/>
      <c r="D630" s="2" t="n"/>
      <c r="E630" s="2" t="n"/>
      <c r="F630" s="2" t="n"/>
      <c r="G630" s="2" t="n"/>
      <c r="H630" s="2" t="n"/>
      <c r="I630" s="2" t="n"/>
      <c r="J630" s="2" t="n"/>
      <c r="K630" s="2" t="n"/>
      <c r="L630" s="2" t="n"/>
      <c r="M630" s="2" t="n"/>
      <c r="N630" s="2" t="n"/>
      <c r="O630" s="2" t="n"/>
      <c r="P630" s="2" t="n"/>
      <c r="Q630" s="2" t="n"/>
      <c r="R630" s="2" t="n"/>
      <c r="S630" s="2" t="n"/>
    </row>
    <row r="631" ht="25" customHeight="1">
      <c r="A631" s="3" t="n"/>
      <c r="B631" s="3" t="n"/>
      <c r="C631" s="3" t="n"/>
      <c r="D631" s="3" t="n"/>
      <c r="E631" s="3" t="n"/>
      <c r="F631" s="3" t="n"/>
      <c r="G631" s="3" t="n"/>
      <c r="H631" s="3" t="n"/>
      <c r="I631" s="3" t="n"/>
      <c r="J631" s="3" t="n"/>
      <c r="K631" s="3" t="n"/>
      <c r="L631" s="3" t="n"/>
      <c r="M631" s="3" t="n"/>
      <c r="N631" s="3" t="n"/>
      <c r="O631" s="3" t="n"/>
      <c r="P631" s="3" t="n"/>
      <c r="Q631" s="3" t="n"/>
      <c r="R631" s="3" t="n"/>
      <c r="S631" s="3" t="n"/>
    </row>
    <row r="632" ht="25" customHeight="1">
      <c r="A632" s="2" t="n"/>
      <c r="B632" s="2" t="n"/>
      <c r="C632" s="2" t="n"/>
      <c r="D632" s="2" t="n"/>
      <c r="E632" s="2" t="n"/>
      <c r="F632" s="2" t="n"/>
      <c r="G632" s="2" t="n"/>
      <c r="H632" s="2" t="n"/>
      <c r="I632" s="2" t="n"/>
      <c r="J632" s="2" t="n"/>
      <c r="K632" s="2" t="n"/>
      <c r="L632" s="2" t="n"/>
      <c r="M632" s="2" t="n"/>
      <c r="N632" s="2" t="n"/>
      <c r="O632" s="2" t="n"/>
      <c r="P632" s="2" t="n"/>
      <c r="Q632" s="2" t="n"/>
      <c r="R632" s="2" t="n"/>
      <c r="S632" s="2" t="n"/>
    </row>
    <row r="633" ht="25" customHeight="1">
      <c r="A633" s="3" t="n"/>
      <c r="B633" s="3" t="n"/>
      <c r="C633" s="3" t="n"/>
      <c r="D633" s="3" t="n"/>
      <c r="E633" s="3" t="n"/>
      <c r="F633" s="3" t="n"/>
      <c r="G633" s="3" t="n"/>
      <c r="H633" s="3" t="n"/>
      <c r="I633" s="3" t="n"/>
      <c r="J633" s="3" t="n"/>
      <c r="K633" s="3" t="n"/>
      <c r="L633" s="3" t="n"/>
      <c r="M633" s="3" t="n"/>
      <c r="N633" s="3" t="n"/>
      <c r="O633" s="3" t="n"/>
      <c r="P633" s="3" t="n"/>
      <c r="Q633" s="3" t="n"/>
      <c r="R633" s="3" t="n"/>
      <c r="S633" s="3" t="n"/>
    </row>
    <row r="634" ht="25" customHeight="1">
      <c r="A634" s="2" t="n"/>
      <c r="B634" s="2" t="n"/>
      <c r="C634" s="2" t="n"/>
      <c r="D634" s="2" t="n"/>
      <c r="E634" s="2" t="n"/>
      <c r="F634" s="2" t="n"/>
      <c r="G634" s="2" t="n"/>
      <c r="H634" s="2" t="n"/>
      <c r="I634" s="2" t="n"/>
      <c r="J634" s="2" t="n"/>
      <c r="K634" s="2" t="n"/>
      <c r="L634" s="2" t="n"/>
      <c r="M634" s="2" t="n"/>
      <c r="N634" s="2" t="n"/>
      <c r="O634" s="2" t="n"/>
      <c r="P634" s="2" t="n"/>
      <c r="Q634" s="2" t="n"/>
      <c r="R634" s="2" t="n"/>
      <c r="S634" s="2" t="n"/>
    </row>
    <row r="635" ht="25" customHeight="1">
      <c r="A635" s="3" t="n"/>
      <c r="B635" s="3" t="n"/>
      <c r="C635" s="3" t="n"/>
      <c r="D635" s="3" t="n"/>
      <c r="E635" s="3" t="n"/>
      <c r="F635" s="3" t="n"/>
      <c r="G635" s="3" t="n"/>
      <c r="H635" s="3" t="n"/>
      <c r="I635" s="3" t="n"/>
      <c r="J635" s="3" t="n"/>
      <c r="K635" s="3" t="n"/>
      <c r="L635" s="3" t="n"/>
      <c r="M635" s="3" t="n"/>
      <c r="N635" s="3" t="n"/>
      <c r="O635" s="3" t="n"/>
      <c r="P635" s="3" t="n"/>
      <c r="Q635" s="3" t="n"/>
      <c r="R635" s="3" t="n"/>
      <c r="S635" s="3" t="n"/>
    </row>
    <row r="636" ht="25" customHeight="1">
      <c r="A636" s="2" t="n"/>
      <c r="B636" s="2" t="n"/>
      <c r="C636" s="2" t="n"/>
      <c r="D636" s="2" t="n"/>
      <c r="E636" s="2" t="n"/>
      <c r="F636" s="2" t="n"/>
      <c r="G636" s="2" t="n"/>
      <c r="H636" s="2" t="n"/>
      <c r="I636" s="2" t="n"/>
      <c r="J636" s="2" t="n"/>
      <c r="K636" s="2" t="n"/>
      <c r="L636" s="2" t="n"/>
      <c r="M636" s="2" t="n"/>
      <c r="N636" s="2" t="n"/>
      <c r="O636" s="2" t="n"/>
      <c r="P636" s="2" t="n"/>
      <c r="Q636" s="2" t="n"/>
      <c r="R636" s="2" t="n"/>
      <c r="S636" s="2" t="n"/>
    </row>
    <row r="637" ht="25" customHeight="1">
      <c r="A637" s="3" t="n"/>
      <c r="B637" s="3" t="n"/>
      <c r="C637" s="3" t="n"/>
      <c r="D637" s="3" t="n"/>
      <c r="E637" s="3" t="n"/>
      <c r="F637" s="3" t="n"/>
      <c r="G637" s="3" t="n"/>
      <c r="H637" s="3" t="n"/>
      <c r="I637" s="3" t="n"/>
      <c r="J637" s="3" t="n"/>
      <c r="K637" s="3" t="n"/>
      <c r="L637" s="3" t="n"/>
      <c r="M637" s="3" t="n"/>
      <c r="N637" s="3" t="n"/>
      <c r="O637" s="3" t="n"/>
      <c r="P637" s="3" t="n"/>
      <c r="Q637" s="3" t="n"/>
      <c r="R637" s="3" t="n"/>
      <c r="S637" s="3" t="n"/>
    </row>
    <row r="638" ht="25" customHeight="1">
      <c r="A638" s="2" t="n"/>
      <c r="B638" s="2" t="n"/>
      <c r="C638" s="2" t="n"/>
      <c r="D638" s="2" t="n"/>
      <c r="E638" s="2" t="n"/>
      <c r="F638" s="2" t="n"/>
      <c r="G638" s="2" t="n"/>
      <c r="H638" s="2" t="n"/>
      <c r="I638" s="2" t="n"/>
      <c r="J638" s="2" t="n"/>
      <c r="K638" s="2" t="n"/>
      <c r="L638" s="2" t="n"/>
      <c r="M638" s="2" t="n"/>
      <c r="N638" s="2" t="n"/>
      <c r="O638" s="2" t="n"/>
      <c r="P638" s="2" t="n"/>
      <c r="Q638" s="2" t="n"/>
      <c r="R638" s="2" t="n"/>
      <c r="S638" s="2" t="n"/>
    </row>
    <row r="639" ht="25" customHeight="1">
      <c r="A639" s="3" t="n"/>
      <c r="B639" s="3" t="n"/>
      <c r="C639" s="3" t="n"/>
      <c r="D639" s="3" t="n"/>
      <c r="E639" s="3" t="n"/>
      <c r="F639" s="3" t="n"/>
      <c r="G639" s="3" t="n"/>
      <c r="H639" s="3" t="n"/>
      <c r="I639" s="3" t="n"/>
      <c r="J639" s="3" t="n"/>
      <c r="K639" s="3" t="n"/>
      <c r="L639" s="3" t="n"/>
      <c r="M639" s="3" t="n"/>
      <c r="N639" s="3" t="n"/>
      <c r="O639" s="3" t="n"/>
      <c r="P639" s="3" t="n"/>
      <c r="Q639" s="3" t="n"/>
      <c r="R639" s="3" t="n"/>
      <c r="S639" s="3" t="n"/>
    </row>
    <row r="640" ht="25" customHeight="1">
      <c r="A640" s="2" t="n"/>
      <c r="B640" s="2" t="n"/>
      <c r="C640" s="2" t="n"/>
      <c r="D640" s="2" t="n"/>
      <c r="E640" s="2" t="n"/>
      <c r="F640" s="2" t="n"/>
      <c r="G640" s="2" t="n"/>
      <c r="H640" s="2" t="n"/>
      <c r="I640" s="2" t="n"/>
      <c r="J640" s="2" t="n"/>
      <c r="K640" s="2" t="n"/>
      <c r="L640" s="2" t="n"/>
      <c r="M640" s="2" t="n"/>
      <c r="N640" s="2" t="n"/>
      <c r="O640" s="2" t="n"/>
      <c r="P640" s="2" t="n"/>
      <c r="Q640" s="2" t="n"/>
      <c r="R640" s="2" t="n"/>
      <c r="S640" s="2" t="n"/>
    </row>
    <row r="641" ht="25" customHeight="1">
      <c r="A641" s="3" t="n"/>
      <c r="B641" s="3" t="n"/>
      <c r="C641" s="3" t="n"/>
      <c r="D641" s="3" t="n"/>
      <c r="E641" s="3" t="n"/>
      <c r="F641" s="3" t="n"/>
      <c r="G641" s="3" t="n"/>
      <c r="H641" s="3" t="n"/>
      <c r="I641" s="3" t="n"/>
      <c r="J641" s="3" t="n"/>
      <c r="K641" s="3" t="n"/>
      <c r="L641" s="3" t="n"/>
      <c r="M641" s="3" t="n"/>
      <c r="N641" s="3" t="n"/>
      <c r="O641" s="3" t="n"/>
      <c r="P641" s="3" t="n"/>
      <c r="Q641" s="3" t="n"/>
      <c r="R641" s="3" t="n"/>
      <c r="S641" s="3" t="n"/>
    </row>
    <row r="642" ht="25" customHeight="1">
      <c r="A642" s="2" t="n"/>
      <c r="B642" s="2" t="n"/>
      <c r="C642" s="2" t="n"/>
      <c r="D642" s="2" t="n"/>
      <c r="E642" s="2" t="n"/>
      <c r="F642" s="2" t="n"/>
      <c r="G642" s="2" t="n"/>
      <c r="H642" s="2" t="n"/>
      <c r="I642" s="2" t="n"/>
      <c r="J642" s="2" t="n"/>
      <c r="K642" s="2" t="n"/>
      <c r="L642" s="2" t="n"/>
      <c r="M642" s="2" t="n"/>
      <c r="N642" s="2" t="n"/>
      <c r="O642" s="2" t="n"/>
      <c r="P642" s="2" t="n"/>
      <c r="Q642" s="2" t="n"/>
      <c r="R642" s="2" t="n"/>
      <c r="S642" s="2" t="n"/>
    </row>
    <row r="643" ht="25" customHeight="1">
      <c r="A643" s="3" t="n"/>
      <c r="B643" s="3" t="n"/>
      <c r="C643" s="3" t="n"/>
      <c r="D643" s="3" t="n"/>
      <c r="E643" s="3" t="n"/>
      <c r="F643" s="3" t="n"/>
      <c r="G643" s="3" t="n"/>
      <c r="H643" s="3" t="n"/>
      <c r="I643" s="3" t="n"/>
      <c r="J643" s="3" t="n"/>
      <c r="K643" s="3" t="n"/>
      <c r="L643" s="3" t="n"/>
      <c r="M643" s="3" t="n"/>
      <c r="N643" s="3" t="n"/>
      <c r="O643" s="3" t="n"/>
      <c r="P643" s="3" t="n"/>
      <c r="Q643" s="3" t="n"/>
      <c r="R643" s="3" t="n"/>
      <c r="S643" s="3" t="n"/>
    </row>
    <row r="644" ht="25" customHeight="1">
      <c r="A644" s="2" t="n"/>
      <c r="B644" s="2" t="n"/>
      <c r="C644" s="2" t="n"/>
      <c r="D644" s="2" t="n"/>
      <c r="E644" s="2" t="n"/>
      <c r="F644" s="2" t="n"/>
      <c r="G644" s="2" t="n"/>
      <c r="H644" s="2" t="n"/>
      <c r="I644" s="2" t="n"/>
      <c r="J644" s="2" t="n"/>
      <c r="K644" s="2" t="n"/>
      <c r="L644" s="2" t="n"/>
      <c r="M644" s="2" t="n"/>
      <c r="N644" s="2" t="n"/>
      <c r="O644" s="2" t="n"/>
      <c r="P644" s="2" t="n"/>
      <c r="Q644" s="2" t="n"/>
      <c r="R644" s="2" t="n"/>
      <c r="S644" s="2" t="n"/>
    </row>
    <row r="645" ht="25" customHeight="1">
      <c r="A645" s="3" t="n"/>
      <c r="B645" s="3" t="n"/>
      <c r="C645" s="3" t="n"/>
      <c r="D645" s="3" t="n"/>
      <c r="E645" s="3" t="n"/>
      <c r="F645" s="3" t="n"/>
      <c r="G645" s="3" t="n"/>
      <c r="H645" s="3" t="n"/>
      <c r="I645" s="3" t="n"/>
      <c r="J645" s="3" t="n"/>
      <c r="K645" s="3" t="n"/>
      <c r="L645" s="3" t="n"/>
      <c r="M645" s="3" t="n"/>
      <c r="N645" s="3" t="n"/>
      <c r="O645" s="3" t="n"/>
      <c r="P645" s="3" t="n"/>
      <c r="Q645" s="3" t="n"/>
      <c r="R645" s="3" t="n"/>
      <c r="S645" s="3" t="n"/>
    </row>
    <row r="646" ht="25" customHeight="1">
      <c r="A646" s="2" t="n"/>
      <c r="B646" s="2" t="n"/>
      <c r="C646" s="2" t="n"/>
      <c r="D646" s="2" t="n"/>
      <c r="E646" s="2" t="n"/>
      <c r="F646" s="2" t="n"/>
      <c r="G646" s="2" t="n"/>
      <c r="H646" s="2" t="n"/>
      <c r="I646" s="2" t="n"/>
      <c r="J646" s="2" t="n"/>
      <c r="K646" s="2" t="n"/>
      <c r="L646" s="2" t="n"/>
      <c r="M646" s="2" t="n"/>
      <c r="N646" s="2" t="n"/>
      <c r="O646" s="2" t="n"/>
      <c r="P646" s="2" t="n"/>
      <c r="Q646" s="2" t="n"/>
      <c r="R646" s="2" t="n"/>
      <c r="S646" s="2" t="n"/>
    </row>
    <row r="647" ht="25" customHeight="1">
      <c r="A647" s="3" t="n"/>
      <c r="B647" s="3" t="n"/>
      <c r="C647" s="3" t="n"/>
      <c r="D647" s="3" t="n"/>
      <c r="E647" s="3" t="n"/>
      <c r="F647" s="3" t="n"/>
      <c r="G647" s="3" t="n"/>
      <c r="H647" s="3" t="n"/>
      <c r="I647" s="3" t="n"/>
      <c r="J647" s="3" t="n"/>
      <c r="K647" s="3" t="n"/>
      <c r="L647" s="3" t="n"/>
      <c r="M647" s="3" t="n"/>
      <c r="N647" s="3" t="n"/>
      <c r="O647" s="3" t="n"/>
      <c r="P647" s="3" t="n"/>
      <c r="Q647" s="3" t="n"/>
      <c r="R647" s="3" t="n"/>
      <c r="S647" s="3" t="n"/>
    </row>
    <row r="648" ht="25" customHeight="1">
      <c r="A648" s="2" t="n"/>
      <c r="B648" s="2" t="n"/>
      <c r="C648" s="2" t="n"/>
      <c r="D648" s="2" t="n"/>
      <c r="E648" s="2" t="n"/>
      <c r="F648" s="2" t="n"/>
      <c r="G648" s="2" t="n"/>
      <c r="H648" s="2" t="n"/>
      <c r="I648" s="2" t="n"/>
      <c r="J648" s="2" t="n"/>
      <c r="K648" s="2" t="n"/>
      <c r="L648" s="2" t="n"/>
      <c r="M648" s="2" t="n"/>
      <c r="N648" s="2" t="n"/>
      <c r="O648" s="2" t="n"/>
      <c r="P648" s="2" t="n"/>
      <c r="Q648" s="2" t="n"/>
      <c r="R648" s="2" t="n"/>
      <c r="S648" s="2" t="n"/>
    </row>
    <row r="649" ht="25" customHeight="1">
      <c r="A649" s="3" t="n"/>
      <c r="B649" s="3" t="n"/>
      <c r="C649" s="3" t="n"/>
      <c r="D649" s="3" t="n"/>
      <c r="E649" s="3" t="n"/>
      <c r="F649" s="3" t="n"/>
      <c r="G649" s="3" t="n"/>
      <c r="H649" s="3" t="n"/>
      <c r="I649" s="3" t="n"/>
      <c r="J649" s="3" t="n"/>
      <c r="K649" s="3" t="n"/>
      <c r="L649" s="3" t="n"/>
      <c r="M649" s="3" t="n"/>
      <c r="N649" s="3" t="n"/>
      <c r="O649" s="3" t="n"/>
      <c r="P649" s="3" t="n"/>
      <c r="Q649" s="3" t="n"/>
      <c r="R649" s="3" t="n"/>
      <c r="S649" s="3" t="n"/>
    </row>
    <row r="650" ht="25" customHeight="1">
      <c r="A650" s="2" t="n"/>
      <c r="B650" s="2" t="n"/>
      <c r="C650" s="2" t="n"/>
      <c r="D650" s="2" t="n"/>
      <c r="E650" s="2" t="n"/>
      <c r="F650" s="2" t="n"/>
      <c r="G650" s="2" t="n"/>
      <c r="H650" s="2" t="n"/>
      <c r="I650" s="2" t="n"/>
      <c r="J650" s="2" t="n"/>
      <c r="K650" s="2" t="n"/>
      <c r="L650" s="2" t="n"/>
      <c r="M650" s="2" t="n"/>
      <c r="N650" s="2" t="n"/>
      <c r="O650" s="2" t="n"/>
      <c r="P650" s="2" t="n"/>
      <c r="Q650" s="2" t="n"/>
      <c r="R650" s="2" t="n"/>
      <c r="S650" s="2" t="n"/>
    </row>
    <row r="651" ht="25" customHeight="1">
      <c r="A651" s="3" t="n"/>
      <c r="B651" s="3" t="n"/>
      <c r="C651" s="3" t="n"/>
      <c r="D651" s="3" t="n"/>
      <c r="E651" s="3" t="n"/>
      <c r="F651" s="3" t="n"/>
      <c r="G651" s="3" t="n"/>
      <c r="H651" s="3" t="n"/>
      <c r="I651" s="3" t="n"/>
      <c r="J651" s="3" t="n"/>
      <c r="K651" s="3" t="n"/>
      <c r="L651" s="3" t="n"/>
      <c r="M651" s="3" t="n"/>
      <c r="N651" s="3" t="n"/>
      <c r="O651" s="3" t="n"/>
      <c r="P651" s="3" t="n"/>
      <c r="Q651" s="3" t="n"/>
      <c r="R651" s="3" t="n"/>
      <c r="S651" s="3" t="n"/>
    </row>
    <row r="652" ht="25" customHeight="1">
      <c r="A652" s="2" t="n"/>
      <c r="B652" s="2" t="n"/>
      <c r="C652" s="2" t="n"/>
      <c r="D652" s="2" t="n"/>
      <c r="E652" s="2" t="n"/>
      <c r="F652" s="2" t="n"/>
      <c r="G652" s="2" t="n"/>
      <c r="H652" s="2" t="n"/>
      <c r="I652" s="2" t="n"/>
      <c r="J652" s="2" t="n"/>
      <c r="K652" s="2" t="n"/>
      <c r="L652" s="2" t="n"/>
      <c r="M652" s="2" t="n"/>
      <c r="N652" s="2" t="n"/>
      <c r="O652" s="2" t="n"/>
      <c r="P652" s="2" t="n"/>
      <c r="Q652" s="2" t="n"/>
      <c r="R652" s="2" t="n"/>
      <c r="S652" s="2" t="n"/>
    </row>
    <row r="653" ht="25" customHeight="1">
      <c r="A653" s="3" t="n"/>
      <c r="B653" s="3" t="n"/>
      <c r="C653" s="3" t="n"/>
      <c r="D653" s="3" t="n"/>
      <c r="E653" s="3" t="n"/>
      <c r="F653" s="3" t="n"/>
      <c r="G653" s="3" t="n"/>
      <c r="H653" s="3" t="n"/>
      <c r="I653" s="3" t="n"/>
      <c r="J653" s="3" t="n"/>
      <c r="K653" s="3" t="n"/>
      <c r="L653" s="3" t="n"/>
      <c r="M653" s="3" t="n"/>
      <c r="N653" s="3" t="n"/>
      <c r="O653" s="3" t="n"/>
      <c r="P653" s="3" t="n"/>
      <c r="Q653" s="3" t="n"/>
      <c r="R653" s="3" t="n"/>
      <c r="S653" s="3" t="n"/>
    </row>
    <row r="654" ht="25" customHeight="1">
      <c r="A654" s="2" t="n"/>
      <c r="B654" s="2" t="n"/>
      <c r="C654" s="2" t="n"/>
      <c r="D654" s="2" t="n"/>
      <c r="E654" s="2" t="n"/>
      <c r="F654" s="2" t="n"/>
      <c r="G654" s="2" t="n"/>
      <c r="H654" s="2" t="n"/>
      <c r="I654" s="2" t="n"/>
      <c r="J654" s="2" t="n"/>
      <c r="K654" s="2" t="n"/>
      <c r="L654" s="2" t="n"/>
      <c r="M654" s="2" t="n"/>
      <c r="N654" s="2" t="n"/>
      <c r="O654" s="2" t="n"/>
      <c r="P654" s="2" t="n"/>
      <c r="Q654" s="2" t="n"/>
      <c r="R654" s="2" t="n"/>
      <c r="S654" s="2" t="n"/>
    </row>
    <row r="655" ht="25" customHeight="1">
      <c r="A655" s="3" t="n"/>
      <c r="B655" s="3" t="n"/>
      <c r="C655" s="3" t="n"/>
      <c r="D655" s="3" t="n"/>
      <c r="E655" s="3" t="n"/>
      <c r="F655" s="3" t="n"/>
      <c r="G655" s="3" t="n"/>
      <c r="H655" s="3" t="n"/>
      <c r="I655" s="3" t="n"/>
      <c r="J655" s="3" t="n"/>
      <c r="K655" s="3" t="n"/>
      <c r="L655" s="3" t="n"/>
      <c r="M655" s="3" t="n"/>
      <c r="N655" s="3" t="n"/>
      <c r="O655" s="3" t="n"/>
      <c r="P655" s="3" t="n"/>
      <c r="Q655" s="3" t="n"/>
      <c r="R655" s="3" t="n"/>
      <c r="S655" s="3" t="n"/>
    </row>
    <row r="656" ht="25" customHeight="1">
      <c r="A656" s="2" t="n"/>
      <c r="B656" s="2" t="n"/>
      <c r="C656" s="2" t="n"/>
      <c r="D656" s="2" t="n"/>
      <c r="E656" s="2" t="n"/>
      <c r="F656" s="2" t="n"/>
      <c r="G656" s="2" t="n"/>
      <c r="H656" s="2" t="n"/>
      <c r="I656" s="2" t="n"/>
      <c r="J656" s="2" t="n"/>
      <c r="K656" s="2" t="n"/>
      <c r="L656" s="2" t="n"/>
      <c r="M656" s="2" t="n"/>
      <c r="N656" s="2" t="n"/>
      <c r="O656" s="2" t="n"/>
      <c r="P656" s="2" t="n"/>
      <c r="Q656" s="2" t="n"/>
      <c r="R656" s="2" t="n"/>
      <c r="S656" s="2" t="n"/>
    </row>
    <row r="657" ht="25" customHeight="1">
      <c r="A657" s="3" t="n"/>
      <c r="B657" s="3" t="n"/>
      <c r="C657" s="3" t="n"/>
      <c r="D657" s="3" t="n"/>
      <c r="E657" s="3" t="n"/>
      <c r="F657" s="3" t="n"/>
      <c r="G657" s="3" t="n"/>
      <c r="H657" s="3" t="n"/>
      <c r="I657" s="3" t="n"/>
      <c r="J657" s="3" t="n"/>
      <c r="K657" s="3" t="n"/>
      <c r="L657" s="3" t="n"/>
      <c r="M657" s="3" t="n"/>
      <c r="N657" s="3" t="n"/>
      <c r="O657" s="3" t="n"/>
      <c r="P657" s="3" t="n"/>
      <c r="Q657" s="3" t="n"/>
      <c r="R657" s="3" t="n"/>
      <c r="S657" s="3" t="n"/>
    </row>
    <row r="658" ht="25" customHeight="1">
      <c r="A658" s="2" t="n"/>
      <c r="B658" s="2" t="n"/>
      <c r="C658" s="2" t="n"/>
      <c r="D658" s="2" t="n"/>
      <c r="E658" s="2" t="n"/>
      <c r="F658" s="2" t="n"/>
      <c r="G658" s="2" t="n"/>
      <c r="H658" s="2" t="n"/>
      <c r="I658" s="2" t="n"/>
      <c r="J658" s="2" t="n"/>
      <c r="K658" s="2" t="n"/>
      <c r="L658" s="2" t="n"/>
      <c r="M658" s="2" t="n"/>
      <c r="N658" s="2" t="n"/>
      <c r="O658" s="2" t="n"/>
      <c r="P658" s="2" t="n"/>
      <c r="Q658" s="2" t="n"/>
      <c r="R658" s="2" t="n"/>
      <c r="S658" s="2" t="n"/>
    </row>
    <row r="659" ht="25" customHeight="1">
      <c r="A659" s="3" t="n"/>
      <c r="B659" s="3" t="n"/>
      <c r="C659" s="3" t="n"/>
      <c r="D659" s="3" t="n"/>
      <c r="E659" s="3" t="n"/>
      <c r="F659" s="3" t="n"/>
      <c r="G659" s="3" t="n"/>
      <c r="H659" s="3" t="n"/>
      <c r="I659" s="3" t="n"/>
      <c r="J659" s="3" t="n"/>
      <c r="K659" s="3" t="n"/>
      <c r="L659" s="3" t="n"/>
      <c r="M659" s="3" t="n"/>
      <c r="N659" s="3" t="n"/>
      <c r="O659" s="3" t="n"/>
      <c r="P659" s="3" t="n"/>
      <c r="Q659" s="3" t="n"/>
      <c r="R659" s="3" t="n"/>
      <c r="S659" s="3" t="n"/>
    </row>
    <row r="660" ht="25" customHeight="1">
      <c r="A660" s="2" t="n"/>
      <c r="B660" s="2" t="n"/>
      <c r="C660" s="2" t="n"/>
      <c r="D660" s="2" t="n"/>
      <c r="E660" s="2" t="n"/>
      <c r="F660" s="2" t="n"/>
      <c r="G660" s="2" t="n"/>
      <c r="H660" s="2" t="n"/>
      <c r="I660" s="2" t="n"/>
      <c r="J660" s="2" t="n"/>
      <c r="K660" s="2" t="n"/>
      <c r="L660" s="2" t="n"/>
      <c r="M660" s="2" t="n"/>
      <c r="N660" s="2" t="n"/>
      <c r="O660" s="2" t="n"/>
      <c r="P660" s="2" t="n"/>
      <c r="Q660" s="2" t="n"/>
      <c r="R660" s="2" t="n"/>
      <c r="S660" s="2" t="n"/>
    </row>
    <row r="661" ht="25" customHeight="1">
      <c r="A661" s="3" t="n"/>
      <c r="B661" s="3" t="n"/>
      <c r="C661" s="3" t="n"/>
      <c r="D661" s="3" t="n"/>
      <c r="E661" s="3" t="n"/>
      <c r="F661" s="3" t="n"/>
      <c r="G661" s="3" t="n"/>
      <c r="H661" s="3" t="n"/>
      <c r="I661" s="3" t="n"/>
      <c r="J661" s="3" t="n"/>
      <c r="K661" s="3" t="n"/>
      <c r="L661" s="3" t="n"/>
      <c r="M661" s="3" t="n"/>
      <c r="N661" s="3" t="n"/>
      <c r="O661" s="3" t="n"/>
      <c r="P661" s="3" t="n"/>
      <c r="Q661" s="3" t="n"/>
      <c r="R661" s="3" t="n"/>
      <c r="S661" s="3" t="n"/>
    </row>
    <row r="662" ht="25" customHeight="1">
      <c r="A662" s="2" t="n"/>
      <c r="B662" s="2" t="n"/>
      <c r="C662" s="2" t="n"/>
      <c r="D662" s="2" t="n"/>
      <c r="E662" s="2" t="n"/>
      <c r="F662" s="2" t="n"/>
      <c r="G662" s="2" t="n"/>
      <c r="H662" s="2" t="n"/>
      <c r="I662" s="2" t="n"/>
      <c r="J662" s="2" t="n"/>
      <c r="K662" s="2" t="n"/>
      <c r="L662" s="2" t="n"/>
      <c r="M662" s="2" t="n"/>
      <c r="N662" s="2" t="n"/>
      <c r="O662" s="2" t="n"/>
      <c r="P662" s="2" t="n"/>
      <c r="Q662" s="2" t="n"/>
      <c r="R662" s="2" t="n"/>
      <c r="S662" s="2" t="n"/>
    </row>
    <row r="663" ht="25" customHeight="1">
      <c r="A663" s="3" t="n"/>
      <c r="B663" s="3" t="n"/>
      <c r="C663" s="3" t="n"/>
      <c r="D663" s="3" t="n"/>
      <c r="E663" s="3" t="n"/>
      <c r="F663" s="3" t="n"/>
      <c r="G663" s="3" t="n"/>
      <c r="H663" s="3" t="n"/>
      <c r="I663" s="3" t="n"/>
      <c r="J663" s="3" t="n"/>
      <c r="K663" s="3" t="n"/>
      <c r="L663" s="3" t="n"/>
      <c r="M663" s="3" t="n"/>
      <c r="N663" s="3" t="n"/>
      <c r="O663" s="3" t="n"/>
      <c r="P663" s="3" t="n"/>
      <c r="Q663" s="3" t="n"/>
      <c r="R663" s="3" t="n"/>
      <c r="S663" s="3" t="n"/>
    </row>
    <row r="664" ht="25" customHeight="1">
      <c r="A664" s="2" t="n"/>
      <c r="B664" s="2" t="n"/>
      <c r="C664" s="2" t="n"/>
      <c r="D664" s="2" t="n"/>
      <c r="E664" s="2" t="n"/>
      <c r="F664" s="2" t="n"/>
      <c r="G664" s="2" t="n"/>
      <c r="H664" s="2" t="n"/>
      <c r="I664" s="2" t="n"/>
      <c r="J664" s="2" t="n"/>
      <c r="K664" s="2" t="n"/>
      <c r="L664" s="2" t="n"/>
      <c r="M664" s="2" t="n"/>
      <c r="N664" s="2" t="n"/>
      <c r="O664" s="2" t="n"/>
      <c r="P664" s="2" t="n"/>
      <c r="Q664" s="2" t="n"/>
      <c r="R664" s="2" t="n"/>
      <c r="S664" s="2" t="n"/>
    </row>
    <row r="665" ht="25" customHeight="1">
      <c r="A665" s="3" t="n"/>
      <c r="B665" s="3" t="n"/>
      <c r="C665" s="3" t="n"/>
      <c r="D665" s="3" t="n"/>
      <c r="E665" s="3" t="n"/>
      <c r="F665" s="3" t="n"/>
      <c r="G665" s="3" t="n"/>
      <c r="H665" s="3" t="n"/>
      <c r="I665" s="3" t="n"/>
      <c r="J665" s="3" t="n"/>
      <c r="K665" s="3" t="n"/>
      <c r="L665" s="3" t="n"/>
      <c r="M665" s="3" t="n"/>
      <c r="N665" s="3" t="n"/>
      <c r="O665" s="3" t="n"/>
      <c r="P665" s="3" t="n"/>
      <c r="Q665" s="3" t="n"/>
      <c r="R665" s="3" t="n"/>
      <c r="S665" s="3" t="n"/>
    </row>
    <row r="666" ht="25" customHeight="1">
      <c r="A666" s="2" t="n"/>
      <c r="B666" s="2" t="n"/>
      <c r="C666" s="2" t="n"/>
      <c r="D666" s="2" t="n"/>
      <c r="E666" s="2" t="n"/>
      <c r="F666" s="2" t="n"/>
      <c r="G666" s="2" t="n"/>
      <c r="H666" s="2" t="n"/>
      <c r="I666" s="2" t="n"/>
      <c r="J666" s="2" t="n"/>
      <c r="K666" s="2" t="n"/>
      <c r="L666" s="2" t="n"/>
      <c r="M666" s="2" t="n"/>
      <c r="N666" s="2" t="n"/>
      <c r="O666" s="2" t="n"/>
      <c r="P666" s="2" t="n"/>
      <c r="Q666" s="2" t="n"/>
      <c r="R666" s="2" t="n"/>
      <c r="S666" s="2" t="n"/>
    </row>
    <row r="667" ht="25" customHeight="1">
      <c r="A667" s="3" t="n"/>
      <c r="B667" s="3" t="n"/>
      <c r="C667" s="3" t="n"/>
      <c r="D667" s="3" t="n"/>
      <c r="E667" s="3" t="n"/>
      <c r="F667" s="3" t="n"/>
      <c r="G667" s="3" t="n"/>
      <c r="H667" s="3" t="n"/>
      <c r="I667" s="3" t="n"/>
      <c r="J667" s="3" t="n"/>
      <c r="K667" s="3" t="n"/>
      <c r="L667" s="3" t="n"/>
      <c r="M667" s="3" t="n"/>
      <c r="N667" s="3" t="n"/>
      <c r="O667" s="3" t="n"/>
      <c r="P667" s="3" t="n"/>
      <c r="Q667" s="3" t="n"/>
      <c r="R667" s="3" t="n"/>
      <c r="S667" s="3" t="n"/>
    </row>
    <row r="668" ht="25" customHeight="1">
      <c r="A668" s="2" t="n"/>
      <c r="B668" s="2" t="n"/>
      <c r="C668" s="2" t="n"/>
      <c r="D668" s="2" t="n"/>
      <c r="E668" s="2" t="n"/>
      <c r="F668" s="2" t="n"/>
      <c r="G668" s="2" t="n"/>
      <c r="H668" s="2" t="n"/>
      <c r="I668" s="2" t="n"/>
      <c r="J668" s="2" t="n"/>
      <c r="K668" s="2" t="n"/>
      <c r="L668" s="2" t="n"/>
      <c r="M668" s="2" t="n"/>
      <c r="N668" s="2" t="n"/>
      <c r="O668" s="2" t="n"/>
      <c r="P668" s="2" t="n"/>
      <c r="Q668" s="2" t="n"/>
      <c r="R668" s="2" t="n"/>
      <c r="S668" s="2" t="n"/>
    </row>
    <row r="669" ht="25" customHeight="1">
      <c r="A669" s="3" t="n"/>
      <c r="B669" s="3" t="n"/>
      <c r="C669" s="3" t="n"/>
      <c r="D669" s="3" t="n"/>
      <c r="E669" s="3" t="n"/>
      <c r="F669" s="3" t="n"/>
      <c r="G669" s="3" t="n"/>
      <c r="H669" s="3" t="n"/>
      <c r="I669" s="3" t="n"/>
      <c r="J669" s="3" t="n"/>
      <c r="K669" s="3" t="n"/>
      <c r="L669" s="3" t="n"/>
      <c r="M669" s="3" t="n"/>
      <c r="N669" s="3" t="n"/>
      <c r="O669" s="3" t="n"/>
      <c r="P669" s="3" t="n"/>
      <c r="Q669" s="3" t="n"/>
      <c r="R669" s="3" t="n"/>
      <c r="S669" s="3" t="n"/>
    </row>
    <row r="670" ht="25" customHeight="1">
      <c r="A670" s="2" t="n"/>
      <c r="B670" s="2" t="n"/>
      <c r="C670" s="2" t="n"/>
      <c r="D670" s="2" t="n"/>
      <c r="E670" s="2" t="n"/>
      <c r="F670" s="2" t="n"/>
      <c r="G670" s="2" t="n"/>
      <c r="H670" s="2" t="n"/>
      <c r="I670" s="2" t="n"/>
      <c r="J670" s="2" t="n"/>
      <c r="K670" s="2" t="n"/>
      <c r="L670" s="2" t="n"/>
      <c r="M670" s="2" t="n"/>
      <c r="N670" s="2" t="n"/>
      <c r="O670" s="2" t="n"/>
      <c r="P670" s="2" t="n"/>
      <c r="Q670" s="2" t="n"/>
      <c r="R670" s="2" t="n"/>
      <c r="S670" s="2" t="n"/>
    </row>
    <row r="671" ht="25" customHeight="1">
      <c r="A671" s="3" t="n"/>
      <c r="B671" s="3" t="n"/>
      <c r="C671" s="3" t="n"/>
      <c r="D671" s="3" t="n"/>
      <c r="E671" s="3" t="n"/>
      <c r="F671" s="3" t="n"/>
      <c r="G671" s="3" t="n"/>
      <c r="H671" s="3" t="n"/>
      <c r="I671" s="3" t="n"/>
      <c r="J671" s="3" t="n"/>
      <c r="K671" s="3" t="n"/>
      <c r="L671" s="3" t="n"/>
      <c r="M671" s="3" t="n"/>
      <c r="N671" s="3" t="n"/>
      <c r="O671" s="3" t="n"/>
      <c r="P671" s="3" t="n"/>
      <c r="Q671" s="3" t="n"/>
      <c r="R671" s="3" t="n"/>
      <c r="S671" s="3" t="n"/>
    </row>
    <row r="672" ht="25" customHeight="1">
      <c r="A672" s="2" t="n"/>
      <c r="B672" s="2" t="n"/>
      <c r="C672" s="2" t="n"/>
      <c r="D672" s="2" t="n"/>
      <c r="E672" s="2" t="n"/>
      <c r="F672" s="2" t="n"/>
      <c r="G672" s="2" t="n"/>
      <c r="H672" s="2" t="n"/>
      <c r="I672" s="2" t="n"/>
      <c r="J672" s="2" t="n"/>
      <c r="K672" s="2" t="n"/>
      <c r="L672" s="2" t="n"/>
      <c r="M672" s="2" t="n"/>
      <c r="N672" s="2" t="n"/>
      <c r="O672" s="2" t="n"/>
      <c r="P672" s="2" t="n"/>
      <c r="Q672" s="2" t="n"/>
      <c r="R672" s="2" t="n"/>
      <c r="S672" s="2" t="n"/>
    </row>
    <row r="673" ht="25" customHeight="1">
      <c r="A673" s="3" t="n"/>
      <c r="B673" s="3" t="n"/>
      <c r="C673" s="3" t="n"/>
      <c r="D673" s="3" t="n"/>
      <c r="E673" s="3" t="n"/>
      <c r="F673" s="3" t="n"/>
      <c r="G673" s="3" t="n"/>
      <c r="H673" s="3" t="n"/>
      <c r="I673" s="3" t="n"/>
      <c r="J673" s="3" t="n"/>
      <c r="K673" s="3" t="n"/>
      <c r="L673" s="3" t="n"/>
      <c r="M673" s="3" t="n"/>
      <c r="N673" s="3" t="n"/>
      <c r="O673" s="3" t="n"/>
      <c r="P673" s="3" t="n"/>
      <c r="Q673" s="3" t="n"/>
      <c r="R673" s="3" t="n"/>
      <c r="S673" s="3" t="n"/>
    </row>
    <row r="674" ht="25" customHeight="1">
      <c r="A674" s="2" t="n"/>
      <c r="B674" s="2" t="n"/>
      <c r="C674" s="2" t="n"/>
      <c r="D674" s="2" t="n"/>
      <c r="E674" s="2" t="n"/>
      <c r="F674" s="2" t="n"/>
      <c r="G674" s="2" t="n"/>
      <c r="H674" s="2" t="n"/>
      <c r="I674" s="2" t="n"/>
      <c r="J674" s="2" t="n"/>
      <c r="K674" s="2" t="n"/>
      <c r="L674" s="2" t="n"/>
      <c r="M674" s="2" t="n"/>
      <c r="N674" s="2" t="n"/>
      <c r="O674" s="2" t="n"/>
      <c r="P674" s="2" t="n"/>
      <c r="Q674" s="2" t="n"/>
      <c r="R674" s="2" t="n"/>
      <c r="S674" s="2" t="n"/>
    </row>
    <row r="675" ht="25" customHeight="1">
      <c r="A675" s="3" t="n"/>
      <c r="B675" s="3" t="n"/>
      <c r="C675" s="3" t="n"/>
      <c r="D675" s="3" t="n"/>
      <c r="E675" s="3" t="n"/>
      <c r="F675" s="3" t="n"/>
      <c r="G675" s="3" t="n"/>
      <c r="H675" s="3" t="n"/>
      <c r="I675" s="3" t="n"/>
      <c r="J675" s="3" t="n"/>
      <c r="K675" s="3" t="n"/>
      <c r="L675" s="3" t="n"/>
      <c r="M675" s="3" t="n"/>
      <c r="N675" s="3" t="n"/>
      <c r="O675" s="3" t="n"/>
      <c r="P675" s="3" t="n"/>
      <c r="Q675" s="3" t="n"/>
      <c r="R675" s="3" t="n"/>
      <c r="S675" s="3" t="n"/>
    </row>
    <row r="676" ht="25" customHeight="1">
      <c r="A676" s="2" t="n"/>
      <c r="B676" s="2" t="n"/>
      <c r="C676" s="2" t="n"/>
      <c r="D676" s="2" t="n"/>
      <c r="E676" s="2" t="n"/>
      <c r="F676" s="2" t="n"/>
      <c r="G676" s="2" t="n"/>
      <c r="H676" s="2" t="n"/>
      <c r="I676" s="2" t="n"/>
      <c r="J676" s="2" t="n"/>
      <c r="K676" s="2" t="n"/>
      <c r="L676" s="2" t="n"/>
      <c r="M676" s="2" t="n"/>
      <c r="N676" s="2" t="n"/>
      <c r="O676" s="2" t="n"/>
      <c r="P676" s="2" t="n"/>
      <c r="Q676" s="2" t="n"/>
      <c r="R676" s="2" t="n"/>
      <c r="S676" s="2" t="n"/>
    </row>
    <row r="677" ht="25" customHeight="1">
      <c r="A677" s="3" t="n"/>
      <c r="B677" s="3" t="n"/>
      <c r="C677" s="3" t="n"/>
      <c r="D677" s="3" t="n"/>
      <c r="E677" s="3" t="n"/>
      <c r="F677" s="3" t="n"/>
      <c r="G677" s="3" t="n"/>
      <c r="H677" s="3" t="n"/>
      <c r="I677" s="3" t="n"/>
      <c r="J677" s="3" t="n"/>
      <c r="K677" s="3" t="n"/>
      <c r="L677" s="3" t="n"/>
      <c r="M677" s="3" t="n"/>
      <c r="N677" s="3" t="n"/>
      <c r="O677" s="3" t="n"/>
      <c r="P677" s="3" t="n"/>
      <c r="Q677" s="3" t="n"/>
      <c r="R677" s="3" t="n"/>
      <c r="S677" s="3" t="n"/>
    </row>
    <row r="678" ht="25" customHeight="1">
      <c r="A678" s="2" t="n"/>
      <c r="B678" s="2" t="n"/>
      <c r="C678" s="2" t="n"/>
      <c r="D678" s="2" t="n"/>
      <c r="E678" s="2" t="n"/>
      <c r="F678" s="2" t="n"/>
      <c r="G678" s="2" t="n"/>
      <c r="H678" s="2" t="n"/>
      <c r="I678" s="2" t="n"/>
      <c r="J678" s="2" t="n"/>
      <c r="K678" s="2" t="n"/>
      <c r="L678" s="2" t="n"/>
      <c r="M678" s="2" t="n"/>
      <c r="N678" s="2" t="n"/>
      <c r="O678" s="2" t="n"/>
      <c r="P678" s="2" t="n"/>
      <c r="Q678" s="2" t="n"/>
      <c r="R678" s="2" t="n"/>
      <c r="S678" s="2" t="n"/>
    </row>
    <row r="679" ht="25" customHeight="1">
      <c r="A679" s="3" t="n"/>
      <c r="B679" s="3" t="n"/>
      <c r="C679" s="3" t="n"/>
      <c r="D679" s="3" t="n"/>
      <c r="E679" s="3" t="n"/>
      <c r="F679" s="3" t="n"/>
      <c r="G679" s="3" t="n"/>
      <c r="H679" s="3" t="n"/>
      <c r="I679" s="3" t="n"/>
      <c r="J679" s="3" t="n"/>
      <c r="K679" s="3" t="n"/>
      <c r="L679" s="3" t="n"/>
      <c r="M679" s="3" t="n"/>
      <c r="N679" s="3" t="n"/>
      <c r="O679" s="3" t="n"/>
      <c r="P679" s="3" t="n"/>
      <c r="Q679" s="3" t="n"/>
      <c r="R679" s="3" t="n"/>
      <c r="S679" s="3" t="n"/>
    </row>
    <row r="680" ht="25" customHeight="1">
      <c r="A680" s="2" t="n"/>
      <c r="B680" s="2" t="n"/>
      <c r="C680" s="2" t="n"/>
      <c r="D680" s="2" t="n"/>
      <c r="E680" s="2" t="n"/>
      <c r="F680" s="2" t="n"/>
      <c r="G680" s="2" t="n"/>
      <c r="H680" s="2" t="n"/>
      <c r="I680" s="2" t="n"/>
      <c r="J680" s="2" t="n"/>
      <c r="K680" s="2" t="n"/>
      <c r="L680" s="2" t="n"/>
      <c r="M680" s="2" t="n"/>
      <c r="N680" s="2" t="n"/>
      <c r="O680" s="2" t="n"/>
      <c r="P680" s="2" t="n"/>
      <c r="Q680" s="2" t="n"/>
      <c r="R680" s="2" t="n"/>
      <c r="S680" s="2" t="n"/>
    </row>
    <row r="681" ht="25" customHeight="1">
      <c r="A681" s="3" t="n"/>
      <c r="B681" s="3" t="n"/>
      <c r="C681" s="3" t="n"/>
      <c r="D681" s="3" t="n"/>
      <c r="E681" s="3" t="n"/>
      <c r="F681" s="3" t="n"/>
      <c r="G681" s="3" t="n"/>
      <c r="H681" s="3" t="n"/>
      <c r="I681" s="3" t="n"/>
      <c r="J681" s="3" t="n"/>
      <c r="K681" s="3" t="n"/>
      <c r="L681" s="3" t="n"/>
      <c r="M681" s="3" t="n"/>
      <c r="N681" s="3" t="n"/>
      <c r="O681" s="3" t="n"/>
      <c r="P681" s="3" t="n"/>
      <c r="Q681" s="3" t="n"/>
      <c r="R681" s="3" t="n"/>
      <c r="S681" s="3" t="n"/>
    </row>
    <row r="682" ht="25" customHeight="1">
      <c r="A682" s="2" t="n"/>
      <c r="B682" s="2" t="n"/>
      <c r="C682" s="2" t="n"/>
      <c r="D682" s="2" t="n"/>
      <c r="E682" s="2" t="n"/>
      <c r="F682" s="2" t="n"/>
      <c r="G682" s="2" t="n"/>
      <c r="H682" s="2" t="n"/>
      <c r="I682" s="2" t="n"/>
      <c r="J682" s="2" t="n"/>
      <c r="K682" s="2" t="n"/>
      <c r="L682" s="2" t="n"/>
      <c r="M682" s="2" t="n"/>
      <c r="N682" s="2" t="n"/>
      <c r="O682" s="2" t="n"/>
      <c r="P682" s="2" t="n"/>
      <c r="Q682" s="2" t="n"/>
      <c r="R682" s="2" t="n"/>
      <c r="S682" s="2" t="n"/>
    </row>
    <row r="683" ht="25" customHeight="1">
      <c r="A683" s="3" t="n"/>
      <c r="B683" s="3" t="n"/>
      <c r="C683" s="3" t="n"/>
      <c r="D683" s="3" t="n"/>
      <c r="E683" s="3" t="n"/>
      <c r="F683" s="3" t="n"/>
      <c r="G683" s="3" t="n"/>
      <c r="H683" s="3" t="n"/>
      <c r="I683" s="3" t="n"/>
      <c r="J683" s="3" t="n"/>
      <c r="K683" s="3" t="n"/>
      <c r="L683" s="3" t="n"/>
      <c r="M683" s="3" t="n"/>
      <c r="N683" s="3" t="n"/>
      <c r="O683" s="3" t="n"/>
      <c r="P683" s="3" t="n"/>
      <c r="Q683" s="3" t="n"/>
      <c r="R683" s="3" t="n"/>
      <c r="S683" s="3" t="n"/>
    </row>
    <row r="684" ht="25" customHeight="1">
      <c r="A684" s="2" t="n"/>
      <c r="B684" s="2" t="n"/>
      <c r="C684" s="2" t="n"/>
      <c r="D684" s="2" t="n"/>
      <c r="E684" s="2" t="n"/>
      <c r="F684" s="2" t="n"/>
      <c r="G684" s="2" t="n"/>
      <c r="H684" s="2" t="n"/>
      <c r="I684" s="2" t="n"/>
      <c r="J684" s="2" t="n"/>
      <c r="K684" s="2" t="n"/>
      <c r="L684" s="2" t="n"/>
      <c r="M684" s="2" t="n"/>
      <c r="N684" s="2" t="n"/>
      <c r="O684" s="2" t="n"/>
      <c r="P684" s="2" t="n"/>
      <c r="Q684" s="2" t="n"/>
      <c r="R684" s="2" t="n"/>
      <c r="S684" s="2" t="n"/>
    </row>
    <row r="685" ht="25" customHeight="1">
      <c r="A685" s="3" t="n"/>
      <c r="B685" s="3" t="n"/>
      <c r="C685" s="3" t="n"/>
      <c r="D685" s="3" t="n"/>
      <c r="E685" s="3" t="n"/>
      <c r="F685" s="3" t="n"/>
      <c r="G685" s="3" t="n"/>
      <c r="H685" s="3" t="n"/>
      <c r="I685" s="3" t="n"/>
      <c r="J685" s="3" t="n"/>
      <c r="K685" s="3" t="n"/>
      <c r="L685" s="3" t="n"/>
      <c r="M685" s="3" t="n"/>
      <c r="N685" s="3" t="n"/>
      <c r="O685" s="3" t="n"/>
      <c r="P685" s="3" t="n"/>
      <c r="Q685" s="3" t="n"/>
      <c r="R685" s="3" t="n"/>
      <c r="S685" s="3" t="n"/>
    </row>
    <row r="686" ht="25" customHeight="1">
      <c r="A686" s="2" t="n"/>
      <c r="B686" s="2" t="n"/>
      <c r="C686" s="2" t="n"/>
      <c r="D686" s="2" t="n"/>
      <c r="E686" s="2" t="n"/>
      <c r="F686" s="2" t="n"/>
      <c r="G686" s="2" t="n"/>
      <c r="H686" s="2" t="n"/>
      <c r="I686" s="2" t="n"/>
      <c r="J686" s="2" t="n"/>
      <c r="K686" s="2" t="n"/>
      <c r="L686" s="2" t="n"/>
      <c r="M686" s="2" t="n"/>
      <c r="N686" s="2" t="n"/>
      <c r="O686" s="2" t="n"/>
      <c r="P686" s="2" t="n"/>
      <c r="Q686" s="2" t="n"/>
      <c r="R686" s="2" t="n"/>
      <c r="S686" s="2" t="n"/>
    </row>
    <row r="687" ht="25" customHeight="1">
      <c r="A687" s="3" t="n"/>
      <c r="B687" s="3" t="n"/>
      <c r="C687" s="3" t="n"/>
      <c r="D687" s="3" t="n"/>
      <c r="E687" s="3" t="n"/>
      <c r="F687" s="3" t="n"/>
      <c r="G687" s="3" t="n"/>
      <c r="H687" s="3" t="n"/>
      <c r="I687" s="3" t="n"/>
      <c r="J687" s="3" t="n"/>
      <c r="K687" s="3" t="n"/>
      <c r="L687" s="3" t="n"/>
      <c r="M687" s="3" t="n"/>
      <c r="N687" s="3" t="n"/>
      <c r="O687" s="3" t="n"/>
      <c r="P687" s="3" t="n"/>
      <c r="Q687" s="3" t="n"/>
      <c r="R687" s="3" t="n"/>
      <c r="S687" s="3" t="n"/>
    </row>
    <row r="688" ht="25" customHeight="1">
      <c r="A688" s="2" t="n"/>
      <c r="B688" s="2" t="n"/>
      <c r="C688" s="2" t="n"/>
      <c r="D688" s="2" t="n"/>
      <c r="E688" s="2" t="n"/>
      <c r="F688" s="2" t="n"/>
      <c r="G688" s="2" t="n"/>
      <c r="H688" s="2" t="n"/>
      <c r="I688" s="2" t="n"/>
      <c r="J688" s="2" t="n"/>
      <c r="K688" s="2" t="n"/>
      <c r="L688" s="2" t="n"/>
      <c r="M688" s="2" t="n"/>
      <c r="N688" s="2" t="n"/>
      <c r="O688" s="2" t="n"/>
      <c r="P688" s="2" t="n"/>
      <c r="Q688" s="2" t="n"/>
      <c r="R688" s="2" t="n"/>
      <c r="S688" s="2" t="n"/>
    </row>
    <row r="689" ht="25" customHeight="1">
      <c r="A689" s="3" t="n"/>
      <c r="B689" s="3" t="n"/>
      <c r="C689" s="3" t="n"/>
      <c r="D689" s="3" t="n"/>
      <c r="E689" s="3" t="n"/>
      <c r="F689" s="3" t="n"/>
      <c r="G689" s="3" t="n"/>
      <c r="H689" s="3" t="n"/>
      <c r="I689" s="3" t="n"/>
      <c r="J689" s="3" t="n"/>
      <c r="K689" s="3" t="n"/>
      <c r="L689" s="3" t="n"/>
      <c r="M689" s="3" t="n"/>
      <c r="N689" s="3" t="n"/>
      <c r="O689" s="3" t="n"/>
      <c r="P689" s="3" t="n"/>
      <c r="Q689" s="3" t="n"/>
      <c r="R689" s="3" t="n"/>
      <c r="S689" s="3" t="n"/>
    </row>
    <row r="690" ht="25" customHeight="1">
      <c r="A690" s="2" t="n"/>
      <c r="B690" s="2" t="n"/>
      <c r="C690" s="2" t="n"/>
      <c r="D690" s="2" t="n"/>
      <c r="E690" s="2" t="n"/>
      <c r="F690" s="2" t="n"/>
      <c r="G690" s="2" t="n"/>
      <c r="H690" s="2" t="n"/>
      <c r="I690" s="2" t="n"/>
      <c r="J690" s="2" t="n"/>
      <c r="K690" s="2" t="n"/>
      <c r="L690" s="2" t="n"/>
      <c r="M690" s="2" t="n"/>
      <c r="N690" s="2" t="n"/>
      <c r="O690" s="2" t="n"/>
      <c r="P690" s="2" t="n"/>
      <c r="Q690" s="2" t="n"/>
      <c r="R690" s="2" t="n"/>
      <c r="S690" s="2" t="n"/>
    </row>
    <row r="691" ht="25" customHeight="1">
      <c r="A691" s="3" t="n"/>
      <c r="B691" s="3" t="n"/>
      <c r="C691" s="3" t="n"/>
      <c r="D691" s="3" t="n"/>
      <c r="E691" s="3" t="n"/>
      <c r="F691" s="3" t="n"/>
      <c r="G691" s="3" t="n"/>
      <c r="H691" s="3" t="n"/>
      <c r="I691" s="3" t="n"/>
      <c r="J691" s="3" t="n"/>
      <c r="K691" s="3" t="n"/>
      <c r="L691" s="3" t="n"/>
      <c r="M691" s="3" t="n"/>
      <c r="N691" s="3" t="n"/>
      <c r="O691" s="3" t="n"/>
      <c r="P691" s="3" t="n"/>
      <c r="Q691" s="3" t="n"/>
      <c r="R691" s="3" t="n"/>
      <c r="S691" s="3" t="n"/>
    </row>
    <row r="692" ht="25" customHeight="1">
      <c r="A692" s="2" t="n"/>
      <c r="B692" s="2" t="n"/>
      <c r="C692" s="2" t="n"/>
      <c r="D692" s="2" t="n"/>
      <c r="E692" s="2" t="n"/>
      <c r="F692" s="2" t="n"/>
      <c r="G692" s="2" t="n"/>
      <c r="H692" s="2" t="n"/>
      <c r="I692" s="2" t="n"/>
      <c r="J692" s="2" t="n"/>
      <c r="K692" s="2" t="n"/>
      <c r="L692" s="2" t="n"/>
      <c r="M692" s="2" t="n"/>
      <c r="N692" s="2" t="n"/>
      <c r="O692" s="2" t="n"/>
      <c r="P692" s="2" t="n"/>
      <c r="Q692" s="2" t="n"/>
      <c r="R692" s="2" t="n"/>
      <c r="S692" s="2" t="n"/>
    </row>
    <row r="693" ht="25" customHeight="1">
      <c r="A693" s="3" t="n"/>
      <c r="B693" s="3" t="n"/>
      <c r="C693" s="3" t="n"/>
      <c r="D693" s="3" t="n"/>
      <c r="E693" s="3" t="n"/>
      <c r="F693" s="3" t="n"/>
      <c r="G693" s="3" t="n"/>
      <c r="H693" s="3" t="n"/>
      <c r="I693" s="3" t="n"/>
      <c r="J693" s="3" t="n"/>
      <c r="K693" s="3" t="n"/>
      <c r="L693" s="3" t="n"/>
      <c r="M693" s="3" t="n"/>
      <c r="N693" s="3" t="n"/>
      <c r="O693" s="3" t="n"/>
      <c r="P693" s="3" t="n"/>
      <c r="Q693" s="3" t="n"/>
      <c r="R693" s="3" t="n"/>
      <c r="S693" s="3" t="n"/>
    </row>
    <row r="694" ht="25" customHeight="1">
      <c r="A694" s="2" t="n"/>
      <c r="B694" s="2" t="n"/>
      <c r="C694" s="2" t="n"/>
      <c r="D694" s="2" t="n"/>
      <c r="E694" s="2" t="n"/>
      <c r="F694" s="2" t="n"/>
      <c r="G694" s="2" t="n"/>
      <c r="H694" s="2" t="n"/>
      <c r="I694" s="2" t="n"/>
      <c r="J694" s="2" t="n"/>
      <c r="K694" s="2" t="n"/>
      <c r="L694" s="2" t="n"/>
      <c r="M694" s="2" t="n"/>
      <c r="N694" s="2" t="n"/>
      <c r="O694" s="2" t="n"/>
      <c r="P694" s="2" t="n"/>
      <c r="Q694" s="2" t="n"/>
      <c r="R694" s="2" t="n"/>
      <c r="S694" s="2" t="n"/>
    </row>
    <row r="695" ht="25" customHeight="1">
      <c r="A695" s="3" t="n"/>
      <c r="B695" s="3" t="n"/>
      <c r="C695" s="3" t="n"/>
      <c r="D695" s="3" t="n"/>
      <c r="E695" s="3" t="n"/>
      <c r="F695" s="3" t="n"/>
      <c r="G695" s="3" t="n"/>
      <c r="H695" s="3" t="n"/>
      <c r="I695" s="3" t="n"/>
      <c r="J695" s="3" t="n"/>
      <c r="K695" s="3" t="n"/>
      <c r="L695" s="3" t="n"/>
      <c r="M695" s="3" t="n"/>
      <c r="N695" s="3" t="n"/>
      <c r="O695" s="3" t="n"/>
      <c r="P695" s="3" t="n"/>
      <c r="Q695" s="3" t="n"/>
      <c r="R695" s="3" t="n"/>
      <c r="S695" s="3" t="n"/>
    </row>
    <row r="696" ht="25" customHeight="1">
      <c r="A696" s="2" t="n"/>
      <c r="B696" s="2" t="n"/>
      <c r="C696" s="2" t="n"/>
      <c r="D696" s="2" t="n"/>
      <c r="E696" s="2" t="n"/>
      <c r="F696" s="2" t="n"/>
      <c r="G696" s="2" t="n"/>
      <c r="H696" s="2" t="n"/>
      <c r="I696" s="2" t="n"/>
      <c r="J696" s="2" t="n"/>
      <c r="K696" s="2" t="n"/>
      <c r="L696" s="2" t="n"/>
      <c r="M696" s="2" t="n"/>
      <c r="N696" s="2" t="n"/>
      <c r="O696" s="2" t="n"/>
      <c r="P696" s="2" t="n"/>
      <c r="Q696" s="2" t="n"/>
      <c r="R696" s="2" t="n"/>
      <c r="S696" s="2" t="n"/>
    </row>
    <row r="697" ht="25" customHeight="1">
      <c r="A697" s="3" t="n"/>
      <c r="B697" s="3" t="n"/>
      <c r="C697" s="3" t="n"/>
      <c r="D697" s="3" t="n"/>
      <c r="E697" s="3" t="n"/>
      <c r="F697" s="3" t="n"/>
      <c r="G697" s="3" t="n"/>
      <c r="H697" s="3" t="n"/>
      <c r="I697" s="3" t="n"/>
      <c r="J697" s="3" t="n"/>
      <c r="K697" s="3" t="n"/>
      <c r="L697" s="3" t="n"/>
      <c r="M697" s="3" t="n"/>
      <c r="N697" s="3" t="n"/>
      <c r="O697" s="3" t="n"/>
      <c r="P697" s="3" t="n"/>
      <c r="Q697" s="3" t="n"/>
      <c r="R697" s="3" t="n"/>
      <c r="S697" s="3" t="n"/>
    </row>
    <row r="698" ht="25" customHeight="1">
      <c r="A698" s="2" t="n"/>
      <c r="B698" s="2" t="n"/>
      <c r="C698" s="2" t="n"/>
      <c r="D698" s="2" t="n"/>
      <c r="E698" s="2" t="n"/>
      <c r="F698" s="2" t="n"/>
      <c r="G698" s="2" t="n"/>
      <c r="H698" s="2" t="n"/>
      <c r="I698" s="2" t="n"/>
      <c r="J698" s="2" t="n"/>
      <c r="K698" s="2" t="n"/>
      <c r="L698" s="2" t="n"/>
      <c r="M698" s="2" t="n"/>
      <c r="N698" s="2" t="n"/>
      <c r="O698" s="2" t="n"/>
      <c r="P698" s="2" t="n"/>
      <c r="Q698" s="2" t="n"/>
      <c r="R698" s="2" t="n"/>
      <c r="S698" s="2" t="n"/>
    </row>
    <row r="699" ht="25" customHeight="1">
      <c r="A699" s="3" t="n"/>
      <c r="B699" s="3" t="n"/>
      <c r="C699" s="3" t="n"/>
      <c r="D699" s="3" t="n"/>
      <c r="E699" s="3" t="n"/>
      <c r="F699" s="3" t="n"/>
      <c r="G699" s="3" t="n"/>
      <c r="H699" s="3" t="n"/>
      <c r="I699" s="3" t="n"/>
      <c r="J699" s="3" t="n"/>
      <c r="K699" s="3" t="n"/>
      <c r="L699" s="3" t="n"/>
      <c r="M699" s="3" t="n"/>
      <c r="N699" s="3" t="n"/>
      <c r="O699" s="3" t="n"/>
      <c r="P699" s="3" t="n"/>
      <c r="Q699" s="3" t="n"/>
      <c r="R699" s="3" t="n"/>
      <c r="S699" s="3" t="n"/>
    </row>
    <row r="700" ht="25" customHeight="1">
      <c r="A700" s="2" t="n"/>
      <c r="B700" s="2" t="n"/>
      <c r="C700" s="2" t="n"/>
      <c r="D700" s="2" t="n"/>
      <c r="E700" s="2" t="n"/>
      <c r="F700" s="2" t="n"/>
      <c r="G700" s="2" t="n"/>
      <c r="H700" s="2" t="n"/>
      <c r="I700" s="2" t="n"/>
      <c r="J700" s="2" t="n"/>
      <c r="K700" s="2" t="n"/>
      <c r="L700" s="2" t="n"/>
      <c r="M700" s="2" t="n"/>
      <c r="N700" s="2" t="n"/>
      <c r="O700" s="2" t="n"/>
      <c r="P700" s="2" t="n"/>
      <c r="Q700" s="2" t="n"/>
      <c r="R700" s="2" t="n"/>
      <c r="S700" s="2" t="n"/>
    </row>
    <row r="701" ht="25" customHeight="1">
      <c r="A701" s="3" t="n"/>
      <c r="B701" s="3" t="n"/>
      <c r="C701" s="3" t="n"/>
      <c r="D701" s="3" t="n"/>
      <c r="E701" s="3" t="n"/>
      <c r="F701" s="3" t="n"/>
      <c r="G701" s="3" t="n"/>
      <c r="H701" s="3" t="n"/>
      <c r="I701" s="3" t="n"/>
      <c r="J701" s="3" t="n"/>
      <c r="K701" s="3" t="n"/>
      <c r="L701" s="3" t="n"/>
      <c r="M701" s="3" t="n"/>
      <c r="N701" s="3" t="n"/>
      <c r="O701" s="3" t="n"/>
      <c r="P701" s="3" t="n"/>
      <c r="Q701" s="3" t="n"/>
      <c r="R701" s="3" t="n"/>
      <c r="S701" s="3" t="n"/>
    </row>
    <row r="702" ht="25" customHeight="1">
      <c r="A702" s="2" t="n"/>
      <c r="B702" s="2" t="n"/>
      <c r="C702" s="2" t="n"/>
      <c r="D702" s="2" t="n"/>
      <c r="E702" s="2" t="n"/>
      <c r="F702" s="2" t="n"/>
      <c r="G702" s="2" t="n"/>
      <c r="H702" s="2" t="n"/>
      <c r="I702" s="2" t="n"/>
      <c r="J702" s="2" t="n"/>
      <c r="K702" s="2" t="n"/>
      <c r="L702" s="2" t="n"/>
      <c r="M702" s="2" t="n"/>
      <c r="N702" s="2" t="n"/>
      <c r="O702" s="2" t="n"/>
      <c r="P702" s="2" t="n"/>
      <c r="Q702" s="2" t="n"/>
      <c r="R702" s="2" t="n"/>
      <c r="S702" s="2" t="n"/>
    </row>
    <row r="703" ht="25" customHeight="1">
      <c r="A703" s="3" t="n"/>
      <c r="B703" s="3" t="n"/>
      <c r="C703" s="3" t="n"/>
      <c r="D703" s="3" t="n"/>
      <c r="E703" s="3" t="n"/>
      <c r="F703" s="3" t="n"/>
      <c r="G703" s="3" t="n"/>
      <c r="H703" s="3" t="n"/>
      <c r="I703" s="3" t="n"/>
      <c r="J703" s="3" t="n"/>
      <c r="K703" s="3" t="n"/>
      <c r="L703" s="3" t="n"/>
      <c r="M703" s="3" t="n"/>
      <c r="N703" s="3" t="n"/>
      <c r="O703" s="3" t="n"/>
      <c r="P703" s="3" t="n"/>
      <c r="Q703" s="3" t="n"/>
      <c r="R703" s="3" t="n"/>
      <c r="S703" s="3" t="n"/>
    </row>
    <row r="704" ht="25" customHeight="1">
      <c r="A704" s="2" t="n"/>
      <c r="B704" s="2" t="n"/>
      <c r="C704" s="2" t="n"/>
      <c r="D704" s="2" t="n"/>
      <c r="E704" s="2" t="n"/>
      <c r="F704" s="2" t="n"/>
      <c r="G704" s="2" t="n"/>
      <c r="H704" s="2" t="n"/>
      <c r="I704" s="2" t="n"/>
      <c r="J704" s="2" t="n"/>
      <c r="K704" s="2" t="n"/>
      <c r="L704" s="2" t="n"/>
      <c r="M704" s="2" t="n"/>
      <c r="N704" s="2" t="n"/>
      <c r="O704" s="2" t="n"/>
      <c r="P704" s="2" t="n"/>
      <c r="Q704" s="2" t="n"/>
      <c r="R704" s="2" t="n"/>
      <c r="S704" s="2" t="n"/>
    </row>
    <row r="705" ht="25" customHeight="1">
      <c r="A705" s="3" t="n"/>
      <c r="B705" s="3" t="n"/>
      <c r="C705" s="3" t="n"/>
      <c r="D705" s="3" t="n"/>
      <c r="E705" s="3" t="n"/>
      <c r="F705" s="3" t="n"/>
      <c r="G705" s="3" t="n"/>
      <c r="H705" s="3" t="n"/>
      <c r="I705" s="3" t="n"/>
      <c r="J705" s="3" t="n"/>
      <c r="K705" s="3" t="n"/>
      <c r="L705" s="3" t="n"/>
      <c r="M705" s="3" t="n"/>
      <c r="N705" s="3" t="n"/>
      <c r="O705" s="3" t="n"/>
      <c r="P705" s="3" t="n"/>
      <c r="Q705" s="3" t="n"/>
      <c r="R705" s="3" t="n"/>
      <c r="S705" s="3" t="n"/>
    </row>
    <row r="706" ht="25" customHeight="1">
      <c r="A706" s="2" t="n"/>
      <c r="B706" s="2" t="n"/>
      <c r="C706" s="2" t="n"/>
      <c r="D706" s="2" t="n"/>
      <c r="E706" s="2" t="n"/>
      <c r="F706" s="2" t="n"/>
      <c r="G706" s="2" t="n"/>
      <c r="H706" s="2" t="n"/>
      <c r="I706" s="2" t="n"/>
      <c r="J706" s="2" t="n"/>
      <c r="K706" s="2" t="n"/>
      <c r="L706" s="2" t="n"/>
      <c r="M706" s="2" t="n"/>
      <c r="N706" s="2" t="n"/>
      <c r="O706" s="2" t="n"/>
      <c r="P706" s="2" t="n"/>
      <c r="Q706" s="2" t="n"/>
      <c r="R706" s="2" t="n"/>
      <c r="S706" s="2" t="n"/>
    </row>
    <row r="707" ht="25" customHeight="1">
      <c r="A707" s="3" t="n"/>
      <c r="B707" s="3" t="n"/>
      <c r="C707" s="3" t="n"/>
      <c r="D707" s="3" t="n"/>
      <c r="E707" s="3" t="n"/>
      <c r="F707" s="3" t="n"/>
      <c r="G707" s="3" t="n"/>
      <c r="H707" s="3" t="n"/>
      <c r="I707" s="3" t="n"/>
      <c r="J707" s="3" t="n"/>
      <c r="K707" s="3" t="n"/>
      <c r="L707" s="3" t="n"/>
      <c r="M707" s="3" t="n"/>
      <c r="N707" s="3" t="n"/>
      <c r="O707" s="3" t="n"/>
      <c r="P707" s="3" t="n"/>
      <c r="Q707" s="3" t="n"/>
      <c r="R707" s="3" t="n"/>
      <c r="S707" s="3" t="n"/>
    </row>
    <row r="708" ht="25" customHeight="1">
      <c r="A708" s="2" t="n"/>
      <c r="B708" s="2" t="n"/>
      <c r="C708" s="2" t="n"/>
      <c r="D708" s="2" t="n"/>
      <c r="E708" s="2" t="n"/>
      <c r="F708" s="2" t="n"/>
      <c r="G708" s="2" t="n"/>
      <c r="H708" s="2" t="n"/>
      <c r="I708" s="2" t="n"/>
      <c r="J708" s="2" t="n"/>
      <c r="K708" s="2" t="n"/>
      <c r="L708" s="2" t="n"/>
      <c r="M708" s="2" t="n"/>
      <c r="N708" s="2" t="n"/>
      <c r="O708" s="2" t="n"/>
      <c r="P708" s="2" t="n"/>
      <c r="Q708" s="2" t="n"/>
      <c r="R708" s="2" t="n"/>
      <c r="S708" s="2" t="n"/>
    </row>
    <row r="709" ht="25" customHeight="1">
      <c r="A709" s="3" t="n"/>
      <c r="B709" s="3" t="n"/>
      <c r="C709" s="3" t="n"/>
      <c r="D709" s="3" t="n"/>
      <c r="E709" s="3" t="n"/>
      <c r="F709" s="3" t="n"/>
      <c r="G709" s="3" t="n"/>
      <c r="H709" s="3" t="n"/>
      <c r="I709" s="3" t="n"/>
      <c r="J709" s="3" t="n"/>
      <c r="K709" s="3" t="n"/>
      <c r="L709" s="3" t="n"/>
      <c r="M709" s="3" t="n"/>
      <c r="N709" s="3" t="n"/>
      <c r="O709" s="3" t="n"/>
      <c r="P709" s="3" t="n"/>
      <c r="Q709" s="3" t="n"/>
      <c r="R709" s="3" t="n"/>
      <c r="S709" s="3" t="n"/>
    </row>
    <row r="710" ht="25" customHeight="1">
      <c r="A710" s="2" t="n"/>
      <c r="B710" s="2" t="n"/>
      <c r="C710" s="2" t="n"/>
      <c r="D710" s="2" t="n"/>
      <c r="E710" s="2" t="n"/>
      <c r="F710" s="2" t="n"/>
      <c r="G710" s="2" t="n"/>
      <c r="H710" s="2" t="n"/>
      <c r="I710" s="2" t="n"/>
      <c r="J710" s="2" t="n"/>
      <c r="K710" s="2" t="n"/>
      <c r="L710" s="2" t="n"/>
      <c r="M710" s="2" t="n"/>
      <c r="N710" s="2" t="n"/>
      <c r="O710" s="2" t="n"/>
      <c r="P710" s="2" t="n"/>
      <c r="Q710" s="2" t="n"/>
      <c r="R710" s="2" t="n"/>
      <c r="S710" s="2" t="n"/>
    </row>
    <row r="711" ht="25" customHeight="1">
      <c r="A711" s="3" t="n"/>
      <c r="B711" s="3" t="n"/>
      <c r="C711" s="3" t="n"/>
      <c r="D711" s="3" t="n"/>
      <c r="E711" s="3" t="n"/>
      <c r="F711" s="3" t="n"/>
      <c r="G711" s="3" t="n"/>
      <c r="H711" s="3" t="n"/>
      <c r="I711" s="3" t="n"/>
      <c r="J711" s="3" t="n"/>
      <c r="K711" s="3" t="n"/>
      <c r="L711" s="3" t="n"/>
      <c r="M711" s="3" t="n"/>
      <c r="N711" s="3" t="n"/>
      <c r="O711" s="3" t="n"/>
      <c r="P711" s="3" t="n"/>
      <c r="Q711" s="3" t="n"/>
      <c r="R711" s="3" t="n"/>
      <c r="S711" s="3" t="n"/>
    </row>
    <row r="712" ht="25" customHeight="1">
      <c r="A712" s="2" t="n"/>
      <c r="B712" s="2" t="n"/>
      <c r="C712" s="2" t="n"/>
      <c r="D712" s="2" t="n"/>
      <c r="E712" s="2" t="n"/>
      <c r="F712" s="2" t="n"/>
      <c r="G712" s="2" t="n"/>
      <c r="H712" s="2" t="n"/>
      <c r="I712" s="2" t="n"/>
      <c r="J712" s="2" t="n"/>
      <c r="K712" s="2" t="n"/>
      <c r="L712" s="2" t="n"/>
      <c r="M712" s="2" t="n"/>
      <c r="N712" s="2" t="n"/>
      <c r="O712" s="2" t="n"/>
      <c r="P712" s="2" t="n"/>
      <c r="Q712" s="2" t="n"/>
      <c r="R712" s="2" t="n"/>
      <c r="S712" s="2" t="n"/>
    </row>
    <row r="713" ht="25" customHeight="1">
      <c r="A713" s="3" t="n"/>
      <c r="B713" s="3" t="n"/>
      <c r="C713" s="3" t="n"/>
      <c r="D713" s="3" t="n"/>
      <c r="E713" s="3" t="n"/>
      <c r="F713" s="3" t="n"/>
      <c r="G713" s="3" t="n"/>
      <c r="H713" s="3" t="n"/>
      <c r="I713" s="3" t="n"/>
      <c r="J713" s="3" t="n"/>
      <c r="K713" s="3" t="n"/>
      <c r="L713" s="3" t="n"/>
      <c r="M713" s="3" t="n"/>
      <c r="N713" s="3" t="n"/>
      <c r="O713" s="3" t="n"/>
      <c r="P713" s="3" t="n"/>
      <c r="Q713" s="3" t="n"/>
      <c r="R713" s="3" t="n"/>
      <c r="S713" s="3" t="n"/>
    </row>
    <row r="714" ht="25" customHeight="1">
      <c r="A714" s="2" t="n"/>
      <c r="B714" s="2" t="n"/>
      <c r="C714" s="2" t="n"/>
      <c r="D714" s="2" t="n"/>
      <c r="E714" s="2" t="n"/>
      <c r="F714" s="2" t="n"/>
      <c r="G714" s="2" t="n"/>
      <c r="H714" s="2" t="n"/>
      <c r="I714" s="2" t="n"/>
      <c r="J714" s="2" t="n"/>
      <c r="K714" s="2" t="n"/>
      <c r="L714" s="2" t="n"/>
      <c r="M714" s="2" t="n"/>
      <c r="N714" s="2" t="n"/>
      <c r="O714" s="2" t="n"/>
      <c r="P714" s="2" t="n"/>
      <c r="Q714" s="2" t="n"/>
      <c r="R714" s="2" t="n"/>
      <c r="S714" s="2" t="n"/>
    </row>
    <row r="715" ht="25" customHeight="1">
      <c r="A715" s="3" t="n"/>
      <c r="B715" s="3" t="n"/>
      <c r="C715" s="3" t="n"/>
      <c r="D715" s="3" t="n"/>
      <c r="E715" s="3" t="n"/>
      <c r="F715" s="3" t="n"/>
      <c r="G715" s="3" t="n"/>
      <c r="H715" s="3" t="n"/>
      <c r="I715" s="3" t="n"/>
      <c r="J715" s="3" t="n"/>
      <c r="K715" s="3" t="n"/>
      <c r="L715" s="3" t="n"/>
      <c r="M715" s="3" t="n"/>
      <c r="N715" s="3" t="n"/>
      <c r="O715" s="3" t="n"/>
      <c r="P715" s="3" t="n"/>
      <c r="Q715" s="3" t="n"/>
      <c r="R715" s="3" t="n"/>
      <c r="S715" s="3" t="n"/>
    </row>
    <row r="716" ht="25" customHeight="1">
      <c r="A716" s="2" t="n"/>
      <c r="B716" s="2" t="n"/>
      <c r="C716" s="2" t="n"/>
      <c r="D716" s="2" t="n"/>
      <c r="E716" s="2" t="n"/>
      <c r="F716" s="2" t="n"/>
      <c r="G716" s="2" t="n"/>
      <c r="H716" s="2" t="n"/>
      <c r="I716" s="2" t="n"/>
      <c r="J716" s="2" t="n"/>
      <c r="K716" s="2" t="n"/>
      <c r="L716" s="2" t="n"/>
      <c r="M716" s="2" t="n"/>
      <c r="N716" s="2" t="n"/>
      <c r="O716" s="2" t="n"/>
      <c r="P716" s="2" t="n"/>
      <c r="Q716" s="2" t="n"/>
      <c r="R716" s="2" t="n"/>
      <c r="S716" s="2" t="n"/>
    </row>
    <row r="717" ht="25" customHeight="1">
      <c r="A717" s="3" t="n"/>
      <c r="B717" s="3" t="n"/>
      <c r="C717" s="3" t="n"/>
      <c r="D717" s="3" t="n"/>
      <c r="E717" s="3" t="n"/>
      <c r="F717" s="3" t="n"/>
      <c r="G717" s="3" t="n"/>
      <c r="H717" s="3" t="n"/>
      <c r="I717" s="3" t="n"/>
      <c r="J717" s="3" t="n"/>
      <c r="K717" s="3" t="n"/>
      <c r="L717" s="3" t="n"/>
      <c r="M717" s="3" t="n"/>
      <c r="N717" s="3" t="n"/>
      <c r="O717" s="3" t="n"/>
      <c r="P717" s="3" t="n"/>
      <c r="Q717" s="3" t="n"/>
      <c r="R717" s="3" t="n"/>
      <c r="S717" s="3" t="n"/>
    </row>
    <row r="718" ht="25" customHeight="1">
      <c r="A718" s="2" t="n"/>
      <c r="B718" s="2" t="n"/>
      <c r="C718" s="2" t="n"/>
      <c r="D718" s="2" t="n"/>
      <c r="E718" s="2" t="n"/>
      <c r="F718" s="2" t="n"/>
      <c r="G718" s="2" t="n"/>
      <c r="H718" s="2" t="n"/>
      <c r="I718" s="2" t="n"/>
      <c r="J718" s="2" t="n"/>
      <c r="K718" s="2" t="n"/>
      <c r="L718" s="2" t="n"/>
      <c r="M718" s="2" t="n"/>
      <c r="N718" s="2" t="n"/>
      <c r="O718" s="2" t="n"/>
      <c r="P718" s="2" t="n"/>
      <c r="Q718" s="2" t="n"/>
      <c r="R718" s="2" t="n"/>
      <c r="S718" s="2" t="n"/>
    </row>
    <row r="719" ht="25" customHeight="1">
      <c r="A719" s="3" t="n"/>
      <c r="B719" s="3" t="n"/>
      <c r="C719" s="3" t="n"/>
      <c r="D719" s="3" t="n"/>
      <c r="E719" s="3" t="n"/>
      <c r="F719" s="3" t="n"/>
      <c r="G719" s="3" t="n"/>
      <c r="H719" s="3" t="n"/>
      <c r="I719" s="3" t="n"/>
      <c r="J719" s="3" t="n"/>
      <c r="K719" s="3" t="n"/>
      <c r="L719" s="3" t="n"/>
      <c r="M719" s="3" t="n"/>
      <c r="N719" s="3" t="n"/>
      <c r="O719" s="3" t="n"/>
      <c r="P719" s="3" t="n"/>
      <c r="Q719" s="3" t="n"/>
      <c r="R719" s="3" t="n"/>
      <c r="S719" s="3" t="n"/>
    </row>
    <row r="720" ht="25" customHeight="1">
      <c r="A720" s="2" t="n"/>
      <c r="B720" s="2" t="n"/>
      <c r="C720" s="2" t="n"/>
      <c r="D720" s="2" t="n"/>
      <c r="E720" s="2" t="n"/>
      <c r="F720" s="2" t="n"/>
      <c r="G720" s="2" t="n"/>
      <c r="H720" s="2" t="n"/>
      <c r="I720" s="2" t="n"/>
      <c r="J720" s="2" t="n"/>
      <c r="K720" s="2" t="n"/>
      <c r="L720" s="2" t="n"/>
      <c r="M720" s="2" t="n"/>
      <c r="N720" s="2" t="n"/>
      <c r="O720" s="2" t="n"/>
      <c r="P720" s="2" t="n"/>
      <c r="Q720" s="2" t="n"/>
      <c r="R720" s="2" t="n"/>
      <c r="S720" s="2" t="n"/>
    </row>
    <row r="721" ht="25" customHeight="1">
      <c r="A721" s="3" t="n"/>
      <c r="B721" s="3" t="n"/>
      <c r="C721" s="3" t="n"/>
      <c r="D721" s="3" t="n"/>
      <c r="E721" s="3" t="n"/>
      <c r="F721" s="3" t="n"/>
      <c r="G721" s="3" t="n"/>
      <c r="H721" s="3" t="n"/>
      <c r="I721" s="3" t="n"/>
      <c r="J721" s="3" t="n"/>
      <c r="K721" s="3" t="n"/>
      <c r="L721" s="3" t="n"/>
      <c r="M721" s="3" t="n"/>
      <c r="N721" s="3" t="n"/>
      <c r="O721" s="3" t="n"/>
      <c r="P721" s="3" t="n"/>
      <c r="Q721" s="3" t="n"/>
      <c r="R721" s="3" t="n"/>
      <c r="S721" s="3" t="n"/>
    </row>
    <row r="722" ht="25" customHeight="1">
      <c r="A722" s="2" t="n"/>
      <c r="B722" s="2" t="n"/>
      <c r="C722" s="2" t="n"/>
      <c r="D722" s="2" t="n"/>
      <c r="E722" s="2" t="n"/>
      <c r="F722" s="2" t="n"/>
      <c r="G722" s="2" t="n"/>
      <c r="H722" s="2" t="n"/>
      <c r="I722" s="2" t="n"/>
      <c r="J722" s="2" t="n"/>
      <c r="K722" s="2" t="n"/>
      <c r="L722" s="2" t="n"/>
      <c r="M722" s="2" t="n"/>
      <c r="N722" s="2" t="n"/>
      <c r="O722" s="2" t="n"/>
      <c r="P722" s="2" t="n"/>
      <c r="Q722" s="2" t="n"/>
      <c r="R722" s="2" t="n"/>
      <c r="S722" s="2" t="n"/>
    </row>
    <row r="723" ht="25" customHeight="1">
      <c r="A723" s="3" t="n"/>
      <c r="B723" s="3" t="n"/>
      <c r="C723" s="3" t="n"/>
      <c r="D723" s="3" t="n"/>
      <c r="E723" s="3" t="n"/>
      <c r="F723" s="3" t="n"/>
      <c r="G723" s="3" t="n"/>
      <c r="H723" s="3" t="n"/>
      <c r="I723" s="3" t="n"/>
      <c r="J723" s="3" t="n"/>
      <c r="K723" s="3" t="n"/>
      <c r="L723" s="3" t="n"/>
      <c r="M723" s="3" t="n"/>
      <c r="N723" s="3" t="n"/>
      <c r="O723" s="3" t="n"/>
      <c r="P723" s="3" t="n"/>
      <c r="Q723" s="3" t="n"/>
      <c r="R723" s="3" t="n"/>
      <c r="S723" s="3" t="n"/>
    </row>
    <row r="724" ht="25" customHeight="1">
      <c r="A724" s="2" t="n"/>
      <c r="B724" s="2" t="n"/>
      <c r="C724" s="2" t="n"/>
      <c r="D724" s="2" t="n"/>
      <c r="E724" s="2" t="n"/>
      <c r="F724" s="2" t="n"/>
      <c r="G724" s="2" t="n"/>
      <c r="H724" s="2" t="n"/>
      <c r="I724" s="2" t="n"/>
      <c r="J724" s="2" t="n"/>
      <c r="K724" s="2" t="n"/>
      <c r="L724" s="2" t="n"/>
      <c r="M724" s="2" t="n"/>
      <c r="N724" s="2" t="n"/>
      <c r="O724" s="2" t="n"/>
      <c r="P724" s="2" t="n"/>
      <c r="Q724" s="2" t="n"/>
      <c r="R724" s="2" t="n"/>
      <c r="S724" s="2" t="n"/>
    </row>
    <row r="725" ht="25" customHeight="1">
      <c r="A725" s="3" t="n"/>
      <c r="B725" s="3" t="n"/>
      <c r="C725" s="3" t="n"/>
      <c r="D725" s="3" t="n"/>
      <c r="E725" s="3" t="n"/>
      <c r="F725" s="3" t="n"/>
      <c r="G725" s="3" t="n"/>
      <c r="H725" s="3" t="n"/>
      <c r="I725" s="3" t="n"/>
      <c r="J725" s="3" t="n"/>
      <c r="K725" s="3" t="n"/>
      <c r="L725" s="3" t="n"/>
      <c r="M725" s="3" t="n"/>
      <c r="N725" s="3" t="n"/>
      <c r="O725" s="3" t="n"/>
      <c r="P725" s="3" t="n"/>
      <c r="Q725" s="3" t="n"/>
      <c r="R725" s="3" t="n"/>
      <c r="S725" s="3" t="n"/>
    </row>
    <row r="726" ht="25" customHeight="1">
      <c r="A726" s="2" t="n"/>
      <c r="B726" s="2" t="n"/>
      <c r="C726" s="2" t="n"/>
      <c r="D726" s="2" t="n"/>
      <c r="E726" s="2" t="n"/>
      <c r="F726" s="2" t="n"/>
      <c r="G726" s="2" t="n"/>
      <c r="H726" s="2" t="n"/>
      <c r="I726" s="2" t="n"/>
      <c r="J726" s="2" t="n"/>
      <c r="K726" s="2" t="n"/>
      <c r="L726" s="2" t="n"/>
      <c r="M726" s="2" t="n"/>
      <c r="N726" s="2" t="n"/>
      <c r="O726" s="2" t="n"/>
      <c r="P726" s="2" t="n"/>
      <c r="Q726" s="2" t="n"/>
      <c r="R726" s="2" t="n"/>
      <c r="S726" s="2" t="n"/>
    </row>
    <row r="727" ht="25" customHeight="1">
      <c r="A727" s="3" t="n"/>
      <c r="B727" s="3" t="n"/>
      <c r="C727" s="3" t="n"/>
      <c r="D727" s="3" t="n"/>
      <c r="E727" s="3" t="n"/>
      <c r="F727" s="3" t="n"/>
      <c r="G727" s="3" t="n"/>
      <c r="H727" s="3" t="n"/>
      <c r="I727" s="3" t="n"/>
      <c r="J727" s="3" t="n"/>
      <c r="K727" s="3" t="n"/>
      <c r="L727" s="3" t="n"/>
      <c r="M727" s="3" t="n"/>
      <c r="N727" s="3" t="n"/>
      <c r="O727" s="3" t="n"/>
      <c r="P727" s="3" t="n"/>
      <c r="Q727" s="3" t="n"/>
      <c r="R727" s="3" t="n"/>
      <c r="S727" s="3" t="n"/>
    </row>
    <row r="728" ht="25" customHeight="1">
      <c r="A728" s="2" t="n"/>
      <c r="B728" s="2" t="n"/>
      <c r="C728" s="2" t="n"/>
      <c r="D728" s="2" t="n"/>
      <c r="E728" s="2" t="n"/>
      <c r="F728" s="2" t="n"/>
      <c r="G728" s="2" t="n"/>
      <c r="H728" s="2" t="n"/>
      <c r="I728" s="2" t="n"/>
      <c r="J728" s="2" t="n"/>
      <c r="K728" s="2" t="n"/>
      <c r="L728" s="2" t="n"/>
      <c r="M728" s="2" t="n"/>
      <c r="N728" s="2" t="n"/>
      <c r="O728" s="2" t="n"/>
      <c r="P728" s="2" t="n"/>
      <c r="Q728" s="2" t="n"/>
      <c r="R728" s="2" t="n"/>
      <c r="S728" s="2" t="n"/>
    </row>
    <row r="729" ht="25" customHeight="1">
      <c r="A729" s="3" t="n"/>
      <c r="B729" s="3" t="n"/>
      <c r="C729" s="3" t="n"/>
      <c r="D729" s="3" t="n"/>
      <c r="E729" s="3" t="n"/>
      <c r="F729" s="3" t="n"/>
      <c r="G729" s="3" t="n"/>
      <c r="H729" s="3" t="n"/>
      <c r="I729" s="3" t="n"/>
      <c r="J729" s="3" t="n"/>
      <c r="K729" s="3" t="n"/>
      <c r="L729" s="3" t="n"/>
      <c r="M729" s="3" t="n"/>
      <c r="N729" s="3" t="n"/>
      <c r="O729" s="3" t="n"/>
      <c r="P729" s="3" t="n"/>
      <c r="Q729" s="3" t="n"/>
      <c r="R729" s="3" t="n"/>
      <c r="S729" s="3" t="n"/>
    </row>
    <row r="730" ht="25" customHeight="1">
      <c r="A730" s="2" t="n"/>
      <c r="B730" s="2" t="n"/>
      <c r="C730" s="2" t="n"/>
      <c r="D730" s="2" t="n"/>
      <c r="E730" s="2" t="n"/>
      <c r="F730" s="2" t="n"/>
      <c r="G730" s="2" t="n"/>
      <c r="H730" s="2" t="n"/>
      <c r="I730" s="2" t="n"/>
      <c r="J730" s="2" t="n"/>
      <c r="K730" s="2" t="n"/>
      <c r="L730" s="2" t="n"/>
      <c r="M730" s="2" t="n"/>
      <c r="N730" s="2" t="n"/>
      <c r="O730" s="2" t="n"/>
      <c r="P730" s="2" t="n"/>
      <c r="Q730" s="2" t="n"/>
      <c r="R730" s="2" t="n"/>
      <c r="S730" s="2" t="n"/>
    </row>
    <row r="731" ht="25" customHeight="1">
      <c r="A731" s="3" t="n"/>
      <c r="B731" s="3" t="n"/>
      <c r="C731" s="3" t="n"/>
      <c r="D731" s="3" t="n"/>
      <c r="E731" s="3" t="n"/>
      <c r="F731" s="3" t="n"/>
      <c r="G731" s="3" t="n"/>
      <c r="H731" s="3" t="n"/>
      <c r="I731" s="3" t="n"/>
      <c r="J731" s="3" t="n"/>
      <c r="K731" s="3" t="n"/>
      <c r="L731" s="3" t="n"/>
      <c r="M731" s="3" t="n"/>
      <c r="N731" s="3" t="n"/>
      <c r="O731" s="3" t="n"/>
      <c r="P731" s="3" t="n"/>
      <c r="Q731" s="3" t="n"/>
      <c r="R731" s="3" t="n"/>
      <c r="S731" s="3" t="n"/>
    </row>
    <row r="732" ht="25" customHeight="1">
      <c r="A732" s="2" t="n"/>
      <c r="B732" s="2" t="n"/>
      <c r="C732" s="2" t="n"/>
      <c r="D732" s="2" t="n"/>
      <c r="E732" s="2" t="n"/>
      <c r="F732" s="2" t="n"/>
      <c r="G732" s="2" t="n"/>
      <c r="H732" s="2" t="n"/>
      <c r="I732" s="2" t="n"/>
      <c r="J732" s="2" t="n"/>
      <c r="K732" s="2" t="n"/>
      <c r="L732" s="2" t="n"/>
      <c r="M732" s="2" t="n"/>
      <c r="N732" s="2" t="n"/>
      <c r="O732" s="2" t="n"/>
      <c r="P732" s="2" t="n"/>
      <c r="Q732" s="2" t="n"/>
      <c r="R732" s="2" t="n"/>
      <c r="S732" s="2" t="n"/>
    </row>
    <row r="733" ht="25" customHeight="1">
      <c r="A733" s="3" t="n"/>
      <c r="B733" s="3" t="n"/>
      <c r="C733" s="3" t="n"/>
      <c r="D733" s="3" t="n"/>
      <c r="E733" s="3" t="n"/>
      <c r="F733" s="3" t="n"/>
      <c r="G733" s="3" t="n"/>
      <c r="H733" s="3" t="n"/>
      <c r="I733" s="3" t="n"/>
      <c r="J733" s="3" t="n"/>
      <c r="K733" s="3" t="n"/>
      <c r="L733" s="3" t="n"/>
      <c r="M733" s="3" t="n"/>
      <c r="N733" s="3" t="n"/>
      <c r="O733" s="3" t="n"/>
      <c r="P733" s="3" t="n"/>
      <c r="Q733" s="3" t="n"/>
      <c r="R733" s="3" t="n"/>
      <c r="S733" s="3" t="n"/>
    </row>
    <row r="734" ht="25" customHeight="1">
      <c r="A734" s="2" t="n"/>
      <c r="B734" s="2" t="n"/>
      <c r="C734" s="2" t="n"/>
      <c r="D734" s="2" t="n"/>
      <c r="E734" s="2" t="n"/>
      <c r="F734" s="2" t="n"/>
      <c r="G734" s="2" t="n"/>
      <c r="H734" s="2" t="n"/>
      <c r="I734" s="2" t="n"/>
      <c r="J734" s="2" t="n"/>
      <c r="K734" s="2" t="n"/>
      <c r="L734" s="2" t="n"/>
      <c r="M734" s="2" t="n"/>
      <c r="N734" s="2" t="n"/>
      <c r="O734" s="2" t="n"/>
      <c r="P734" s="2" t="n"/>
      <c r="Q734" s="2" t="n"/>
      <c r="R734" s="2" t="n"/>
      <c r="S734" s="2" t="n"/>
    </row>
    <row r="735" ht="25" customHeight="1">
      <c r="A735" s="3" t="n"/>
      <c r="B735" s="3" t="n"/>
      <c r="C735" s="3" t="n"/>
      <c r="D735" s="3" t="n"/>
      <c r="E735" s="3" t="n"/>
      <c r="F735" s="3" t="n"/>
      <c r="G735" s="3" t="n"/>
      <c r="H735" s="3" t="n"/>
      <c r="I735" s="3" t="n"/>
      <c r="J735" s="3" t="n"/>
      <c r="K735" s="3" t="n"/>
      <c r="L735" s="3" t="n"/>
      <c r="M735" s="3" t="n"/>
      <c r="N735" s="3" t="n"/>
      <c r="O735" s="3" t="n"/>
      <c r="P735" s="3" t="n"/>
      <c r="Q735" s="3" t="n"/>
      <c r="R735" s="3" t="n"/>
      <c r="S735" s="3" t="n"/>
    </row>
    <row r="736" ht="25" customHeight="1">
      <c r="A736" s="2" t="n"/>
      <c r="B736" s="2" t="n"/>
      <c r="C736" s="2" t="n"/>
      <c r="D736" s="2" t="n"/>
      <c r="E736" s="2" t="n"/>
      <c r="F736" s="2" t="n"/>
      <c r="G736" s="2" t="n"/>
      <c r="H736" s="2" t="n"/>
      <c r="I736" s="2" t="n"/>
      <c r="J736" s="2" t="n"/>
      <c r="K736" s="2" t="n"/>
      <c r="L736" s="2" t="n"/>
      <c r="M736" s="2" t="n"/>
      <c r="N736" s="2" t="n"/>
      <c r="O736" s="2" t="n"/>
      <c r="P736" s="2" t="n"/>
      <c r="Q736" s="2" t="n"/>
      <c r="R736" s="2" t="n"/>
      <c r="S736" s="2" t="n"/>
    </row>
    <row r="737" ht="25" customHeight="1">
      <c r="A737" s="3" t="n"/>
      <c r="B737" s="3" t="n"/>
      <c r="C737" s="3" t="n"/>
      <c r="D737" s="3" t="n"/>
      <c r="E737" s="3" t="n"/>
      <c r="F737" s="3" t="n"/>
      <c r="G737" s="3" t="n"/>
      <c r="H737" s="3" t="n"/>
      <c r="I737" s="3" t="n"/>
      <c r="J737" s="3" t="n"/>
      <c r="K737" s="3" t="n"/>
      <c r="L737" s="3" t="n"/>
      <c r="M737" s="3" t="n"/>
      <c r="N737" s="3" t="n"/>
      <c r="O737" s="3" t="n"/>
      <c r="P737" s="3" t="n"/>
      <c r="Q737" s="3" t="n"/>
      <c r="R737" s="3" t="n"/>
      <c r="S737" s="3" t="n"/>
    </row>
    <row r="738" ht="25" customHeight="1">
      <c r="A738" s="2" t="n"/>
      <c r="B738" s="2" t="n"/>
      <c r="C738" s="2" t="n"/>
      <c r="D738" s="2" t="n"/>
      <c r="E738" s="2" t="n"/>
      <c r="F738" s="2" t="n"/>
      <c r="G738" s="2" t="n"/>
      <c r="H738" s="2" t="n"/>
      <c r="I738" s="2" t="n"/>
      <c r="J738" s="2" t="n"/>
      <c r="K738" s="2" t="n"/>
      <c r="L738" s="2" t="n"/>
      <c r="M738" s="2" t="n"/>
      <c r="N738" s="2" t="n"/>
      <c r="O738" s="2" t="n"/>
      <c r="P738" s="2" t="n"/>
      <c r="Q738" s="2" t="n"/>
      <c r="R738" s="2" t="n"/>
      <c r="S738" s="2" t="n"/>
    </row>
    <row r="739" ht="25" customHeight="1">
      <c r="A739" s="3" t="n"/>
      <c r="B739" s="3" t="n"/>
      <c r="C739" s="3" t="n"/>
      <c r="D739" s="3" t="n"/>
      <c r="E739" s="3" t="n"/>
      <c r="F739" s="3" t="n"/>
      <c r="G739" s="3" t="n"/>
      <c r="H739" s="3" t="n"/>
      <c r="I739" s="3" t="n"/>
      <c r="J739" s="3" t="n"/>
      <c r="K739" s="3" t="n"/>
      <c r="L739" s="3" t="n"/>
      <c r="M739" s="3" t="n"/>
      <c r="N739" s="3" t="n"/>
      <c r="O739" s="3" t="n"/>
      <c r="P739" s="3" t="n"/>
      <c r="Q739" s="3" t="n"/>
      <c r="R739" s="3" t="n"/>
      <c r="S739" s="3" t="n"/>
    </row>
    <row r="740" ht="25" customHeight="1">
      <c r="A740" s="2" t="n"/>
      <c r="B740" s="2" t="n"/>
      <c r="C740" s="2" t="n"/>
      <c r="D740" s="2" t="n"/>
      <c r="E740" s="2" t="n"/>
      <c r="F740" s="2" t="n"/>
      <c r="G740" s="2" t="n"/>
      <c r="H740" s="2" t="n"/>
      <c r="I740" s="2" t="n"/>
      <c r="J740" s="2" t="n"/>
      <c r="K740" s="2" t="n"/>
      <c r="L740" s="2" t="n"/>
      <c r="M740" s="2" t="n"/>
      <c r="N740" s="2" t="n"/>
      <c r="O740" s="2" t="n"/>
      <c r="P740" s="2" t="n"/>
      <c r="Q740" s="2" t="n"/>
      <c r="R740" s="2" t="n"/>
      <c r="S740" s="2" t="n"/>
    </row>
    <row r="741" ht="25" customHeight="1">
      <c r="A741" s="3" t="n"/>
      <c r="B741" s="3" t="n"/>
      <c r="C741" s="3" t="n"/>
      <c r="D741" s="3" t="n"/>
      <c r="E741" s="3" t="n"/>
      <c r="F741" s="3" t="n"/>
      <c r="G741" s="3" t="n"/>
      <c r="H741" s="3" t="n"/>
      <c r="I741" s="3" t="n"/>
      <c r="J741" s="3" t="n"/>
      <c r="K741" s="3" t="n"/>
      <c r="L741" s="3" t="n"/>
      <c r="M741" s="3" t="n"/>
      <c r="N741" s="3" t="n"/>
      <c r="O741" s="3" t="n"/>
      <c r="P741" s="3" t="n"/>
      <c r="Q741" s="3" t="n"/>
      <c r="R741" s="3" t="n"/>
      <c r="S741" s="3" t="n"/>
    </row>
    <row r="742" ht="25" customHeight="1">
      <c r="A742" s="2" t="n"/>
      <c r="B742" s="2" t="n"/>
      <c r="C742" s="2" t="n"/>
      <c r="D742" s="2" t="n"/>
      <c r="E742" s="2" t="n"/>
      <c r="F742" s="2" t="n"/>
      <c r="G742" s="2" t="n"/>
      <c r="H742" s="2" t="n"/>
      <c r="I742" s="2" t="n"/>
      <c r="J742" s="2" t="n"/>
      <c r="K742" s="2" t="n"/>
      <c r="L742" s="2" t="n"/>
      <c r="M742" s="2" t="n"/>
      <c r="N742" s="2" t="n"/>
      <c r="O742" s="2" t="n"/>
      <c r="P742" s="2" t="n"/>
      <c r="Q742" s="2" t="n"/>
      <c r="R742" s="2" t="n"/>
      <c r="S742" s="2" t="n"/>
    </row>
    <row r="743" ht="25" customHeight="1">
      <c r="A743" s="3" t="n"/>
      <c r="B743" s="3" t="n"/>
      <c r="C743" s="3" t="n"/>
      <c r="D743" s="3" t="n"/>
      <c r="E743" s="3" t="n"/>
      <c r="F743" s="3" t="n"/>
      <c r="G743" s="3" t="n"/>
      <c r="H743" s="3" t="n"/>
      <c r="I743" s="3" t="n"/>
      <c r="J743" s="3" t="n"/>
      <c r="K743" s="3" t="n"/>
      <c r="L743" s="3" t="n"/>
      <c r="M743" s="3" t="n"/>
      <c r="N743" s="3" t="n"/>
      <c r="O743" s="3" t="n"/>
      <c r="P743" s="3" t="n"/>
      <c r="Q743" s="3" t="n"/>
      <c r="R743" s="3" t="n"/>
      <c r="S743" s="3" t="n"/>
    </row>
    <row r="744" ht="25" customHeight="1">
      <c r="A744" s="2" t="n"/>
      <c r="B744" s="2" t="n"/>
      <c r="C744" s="2" t="n"/>
      <c r="D744" s="2" t="n"/>
      <c r="E744" s="2" t="n"/>
      <c r="F744" s="2" t="n"/>
      <c r="G744" s="2" t="n"/>
      <c r="H744" s="2" t="n"/>
      <c r="I744" s="2" t="n"/>
      <c r="J744" s="2" t="n"/>
      <c r="K744" s="2" t="n"/>
      <c r="L744" s="2" t="n"/>
      <c r="M744" s="2" t="n"/>
      <c r="N744" s="2" t="n"/>
      <c r="O744" s="2" t="n"/>
      <c r="P744" s="2" t="n"/>
      <c r="Q744" s="2" t="n"/>
      <c r="R744" s="2" t="n"/>
      <c r="S744" s="2" t="n"/>
    </row>
    <row r="745" ht="25" customHeight="1">
      <c r="A745" s="3" t="n"/>
      <c r="B745" s="3" t="n"/>
      <c r="C745" s="3" t="n"/>
      <c r="D745" s="3" t="n"/>
      <c r="E745" s="3" t="n"/>
      <c r="F745" s="3" t="n"/>
      <c r="G745" s="3" t="n"/>
      <c r="H745" s="3" t="n"/>
      <c r="I745" s="3" t="n"/>
      <c r="J745" s="3" t="n"/>
      <c r="K745" s="3" t="n"/>
      <c r="L745" s="3" t="n"/>
      <c r="M745" s="3" t="n"/>
      <c r="N745" s="3" t="n"/>
      <c r="O745" s="3" t="n"/>
      <c r="P745" s="3" t="n"/>
      <c r="Q745" s="3" t="n"/>
      <c r="R745" s="3" t="n"/>
      <c r="S745" s="3" t="n"/>
    </row>
    <row r="746" ht="25" customHeight="1">
      <c r="A746" s="2" t="n"/>
      <c r="B746" s="2" t="n"/>
      <c r="C746" s="2" t="n"/>
      <c r="D746" s="2" t="n"/>
      <c r="E746" s="2" t="n"/>
      <c r="F746" s="2" t="n"/>
      <c r="G746" s="2" t="n"/>
      <c r="H746" s="2" t="n"/>
      <c r="I746" s="2" t="n"/>
      <c r="J746" s="2" t="n"/>
      <c r="K746" s="2" t="n"/>
      <c r="L746" s="2" t="n"/>
      <c r="M746" s="2" t="n"/>
      <c r="N746" s="2" t="n"/>
      <c r="O746" s="2" t="n"/>
      <c r="P746" s="2" t="n"/>
      <c r="Q746" s="2" t="n"/>
      <c r="R746" s="2" t="n"/>
      <c r="S746" s="2" t="n"/>
    </row>
    <row r="747" ht="25" customHeight="1">
      <c r="A747" s="3" t="n"/>
      <c r="B747" s="3" t="n"/>
      <c r="C747" s="3" t="n"/>
      <c r="D747" s="3" t="n"/>
      <c r="E747" s="3" t="n"/>
      <c r="F747" s="3" t="n"/>
      <c r="G747" s="3" t="n"/>
      <c r="H747" s="3" t="n"/>
      <c r="I747" s="3" t="n"/>
      <c r="J747" s="3" t="n"/>
      <c r="K747" s="3" t="n"/>
      <c r="L747" s="3" t="n"/>
      <c r="M747" s="3" t="n"/>
      <c r="N747" s="3" t="n"/>
      <c r="O747" s="3" t="n"/>
      <c r="P747" s="3" t="n"/>
      <c r="Q747" s="3" t="n"/>
      <c r="R747" s="3" t="n"/>
      <c r="S747" s="3" t="n"/>
    </row>
    <row r="748" ht="25" customHeight="1">
      <c r="A748" s="2" t="n"/>
      <c r="B748" s="2" t="n"/>
      <c r="C748" s="2" t="n"/>
      <c r="D748" s="2" t="n"/>
      <c r="E748" s="2" t="n"/>
      <c r="F748" s="2" t="n"/>
      <c r="G748" s="2" t="n"/>
      <c r="H748" s="2" t="n"/>
      <c r="I748" s="2" t="n"/>
      <c r="J748" s="2" t="n"/>
      <c r="K748" s="2" t="n"/>
      <c r="L748" s="2" t="n"/>
      <c r="M748" s="2" t="n"/>
      <c r="N748" s="2" t="n"/>
      <c r="O748" s="2" t="n"/>
      <c r="P748" s="2" t="n"/>
      <c r="Q748" s="2" t="n"/>
      <c r="R748" s="2" t="n"/>
      <c r="S748" s="2" t="n"/>
    </row>
    <row r="749" ht="25" customHeight="1">
      <c r="A749" s="3" t="n"/>
      <c r="B749" s="3" t="n"/>
      <c r="C749" s="3" t="n"/>
      <c r="D749" s="3" t="n"/>
      <c r="E749" s="3" t="n"/>
      <c r="F749" s="3" t="n"/>
      <c r="G749" s="3" t="n"/>
      <c r="H749" s="3" t="n"/>
      <c r="I749" s="3" t="n"/>
      <c r="J749" s="3" t="n"/>
      <c r="K749" s="3" t="n"/>
      <c r="L749" s="3" t="n"/>
      <c r="M749" s="3" t="n"/>
      <c r="N749" s="3" t="n"/>
      <c r="O749" s="3" t="n"/>
      <c r="P749" s="3" t="n"/>
      <c r="Q749" s="3" t="n"/>
      <c r="R749" s="3" t="n"/>
      <c r="S749" s="3" t="n"/>
    </row>
    <row r="750" ht="25" customHeight="1">
      <c r="A750" s="2" t="n"/>
      <c r="B750" s="2" t="n"/>
      <c r="C750" s="2" t="n"/>
      <c r="D750" s="2" t="n"/>
      <c r="E750" s="2" t="n"/>
      <c r="F750" s="2" t="n"/>
      <c r="G750" s="2" t="n"/>
      <c r="H750" s="2" t="n"/>
      <c r="I750" s="2" t="n"/>
      <c r="J750" s="2" t="n"/>
      <c r="K750" s="2" t="n"/>
      <c r="L750" s="2" t="n"/>
      <c r="M750" s="2" t="n"/>
      <c r="N750" s="2" t="n"/>
      <c r="O750" s="2" t="n"/>
      <c r="P750" s="2" t="n"/>
      <c r="Q750" s="2" t="n"/>
      <c r="R750" s="2" t="n"/>
      <c r="S750" s="2" t="n"/>
    </row>
    <row r="751" ht="25" customHeight="1">
      <c r="A751" s="3" t="n"/>
      <c r="B751" s="3" t="n"/>
      <c r="C751" s="3" t="n"/>
      <c r="D751" s="3" t="n"/>
      <c r="E751" s="3" t="n"/>
      <c r="F751" s="3" t="n"/>
      <c r="G751" s="3" t="n"/>
      <c r="H751" s="3" t="n"/>
      <c r="I751" s="3" t="n"/>
      <c r="J751" s="3" t="n"/>
      <c r="K751" s="3" t="n"/>
      <c r="L751" s="3" t="n"/>
      <c r="M751" s="3" t="n"/>
      <c r="N751" s="3" t="n"/>
      <c r="O751" s="3" t="n"/>
      <c r="P751" s="3" t="n"/>
      <c r="Q751" s="3" t="n"/>
      <c r="R751" s="3" t="n"/>
      <c r="S751" s="3" t="n"/>
    </row>
    <row r="752" ht="25" customHeight="1">
      <c r="A752" s="2" t="n"/>
      <c r="B752" s="2" t="n"/>
      <c r="C752" s="2" t="n"/>
      <c r="D752" s="2" t="n"/>
      <c r="E752" s="2" t="n"/>
      <c r="F752" s="2" t="n"/>
      <c r="G752" s="2" t="n"/>
      <c r="H752" s="2" t="n"/>
      <c r="I752" s="2" t="n"/>
      <c r="J752" s="2" t="n"/>
      <c r="K752" s="2" t="n"/>
      <c r="L752" s="2" t="n"/>
      <c r="M752" s="2" t="n"/>
      <c r="N752" s="2" t="n"/>
      <c r="O752" s="2" t="n"/>
      <c r="P752" s="2" t="n"/>
      <c r="Q752" s="2" t="n"/>
      <c r="R752" s="2" t="n"/>
      <c r="S752" s="2" t="n"/>
    </row>
    <row r="753" ht="25" customHeight="1">
      <c r="A753" s="3" t="n"/>
      <c r="B753" s="3" t="n"/>
      <c r="C753" s="3" t="n"/>
      <c r="D753" s="3" t="n"/>
      <c r="E753" s="3" t="n"/>
      <c r="F753" s="3" t="n"/>
      <c r="G753" s="3" t="n"/>
      <c r="H753" s="3" t="n"/>
      <c r="I753" s="3" t="n"/>
      <c r="J753" s="3" t="n"/>
      <c r="K753" s="3" t="n"/>
      <c r="L753" s="3" t="n"/>
      <c r="M753" s="3" t="n"/>
      <c r="N753" s="3" t="n"/>
      <c r="O753" s="3" t="n"/>
      <c r="P753" s="3" t="n"/>
      <c r="Q753" s="3" t="n"/>
      <c r="R753" s="3" t="n"/>
      <c r="S753" s="3" t="n"/>
    </row>
    <row r="754" ht="25" customHeight="1">
      <c r="A754" s="2" t="n"/>
      <c r="B754" s="2" t="n"/>
      <c r="C754" s="2" t="n"/>
      <c r="D754" s="2" t="n"/>
      <c r="E754" s="2" t="n"/>
      <c r="F754" s="2" t="n"/>
      <c r="G754" s="2" t="n"/>
      <c r="H754" s="2" t="n"/>
      <c r="I754" s="2" t="n"/>
      <c r="J754" s="2" t="n"/>
      <c r="K754" s="2" t="n"/>
      <c r="L754" s="2" t="n"/>
      <c r="M754" s="2" t="n"/>
      <c r="N754" s="2" t="n"/>
      <c r="O754" s="2" t="n"/>
      <c r="P754" s="2" t="n"/>
      <c r="Q754" s="2" t="n"/>
      <c r="R754" s="2" t="n"/>
      <c r="S754" s="2" t="n"/>
    </row>
    <row r="755" ht="25" customHeight="1">
      <c r="A755" s="3" t="n"/>
      <c r="B755" s="3" t="n"/>
      <c r="C755" s="3" t="n"/>
      <c r="D755" s="3" t="n"/>
      <c r="E755" s="3" t="n"/>
      <c r="F755" s="3" t="n"/>
      <c r="G755" s="3" t="n"/>
      <c r="H755" s="3" t="n"/>
      <c r="I755" s="3" t="n"/>
      <c r="J755" s="3" t="n"/>
      <c r="K755" s="3" t="n"/>
      <c r="L755" s="3" t="n"/>
      <c r="M755" s="3" t="n"/>
      <c r="N755" s="3" t="n"/>
      <c r="O755" s="3" t="n"/>
      <c r="P755" s="3" t="n"/>
      <c r="Q755" s="3" t="n"/>
      <c r="R755" s="3" t="n"/>
      <c r="S755" s="3" t="n"/>
    </row>
    <row r="756" ht="25" customHeight="1">
      <c r="A756" s="2" t="n"/>
      <c r="B756" s="2" t="n"/>
      <c r="C756" s="2" t="n"/>
      <c r="D756" s="2" t="n"/>
      <c r="E756" s="2" t="n"/>
      <c r="F756" s="2" t="n"/>
      <c r="G756" s="2" t="n"/>
      <c r="H756" s="2" t="n"/>
      <c r="I756" s="2" t="n"/>
      <c r="J756" s="2" t="n"/>
      <c r="K756" s="2" t="n"/>
      <c r="L756" s="2" t="n"/>
      <c r="M756" s="2" t="n"/>
      <c r="N756" s="2" t="n"/>
      <c r="O756" s="2" t="n"/>
      <c r="P756" s="2" t="n"/>
      <c r="Q756" s="2" t="n"/>
      <c r="R756" s="2" t="n"/>
      <c r="S756" s="2" t="n"/>
    </row>
    <row r="757" ht="25" customHeight="1">
      <c r="A757" s="3" t="n"/>
      <c r="B757" s="3" t="n"/>
      <c r="C757" s="3" t="n"/>
      <c r="D757" s="3" t="n"/>
      <c r="E757" s="3" t="n"/>
      <c r="F757" s="3" t="n"/>
      <c r="G757" s="3" t="n"/>
      <c r="H757" s="3" t="n"/>
      <c r="I757" s="3" t="n"/>
      <c r="J757" s="3" t="n"/>
      <c r="K757" s="3" t="n"/>
      <c r="L757" s="3" t="n"/>
      <c r="M757" s="3" t="n"/>
      <c r="N757" s="3" t="n"/>
      <c r="O757" s="3" t="n"/>
      <c r="P757" s="3" t="n"/>
      <c r="Q757" s="3" t="n"/>
      <c r="R757" s="3" t="n"/>
      <c r="S757" s="3" t="n"/>
    </row>
    <row r="758" ht="25" customHeight="1">
      <c r="A758" s="2" t="n"/>
      <c r="B758" s="2" t="n"/>
      <c r="C758" s="2" t="n"/>
      <c r="D758" s="2" t="n"/>
      <c r="E758" s="2" t="n"/>
      <c r="F758" s="2" t="n"/>
      <c r="G758" s="2" t="n"/>
      <c r="H758" s="2" t="n"/>
      <c r="I758" s="2" t="n"/>
      <c r="J758" s="2" t="n"/>
      <c r="K758" s="2" t="n"/>
      <c r="L758" s="2" t="n"/>
      <c r="M758" s="2" t="n"/>
      <c r="N758" s="2" t="n"/>
      <c r="O758" s="2" t="n"/>
      <c r="P758" s="2" t="n"/>
      <c r="Q758" s="2" t="n"/>
      <c r="R758" s="2" t="n"/>
      <c r="S758" s="2" t="n"/>
    </row>
    <row r="759" ht="25" customHeight="1">
      <c r="A759" s="3" t="n"/>
      <c r="B759" s="3" t="n"/>
      <c r="C759" s="3" t="n"/>
      <c r="D759" s="3" t="n"/>
      <c r="E759" s="3" t="n"/>
      <c r="F759" s="3" t="n"/>
      <c r="G759" s="3" t="n"/>
      <c r="H759" s="3" t="n"/>
      <c r="I759" s="3" t="n"/>
      <c r="J759" s="3" t="n"/>
      <c r="K759" s="3" t="n"/>
      <c r="L759" s="3" t="n"/>
      <c r="M759" s="3" t="n"/>
      <c r="N759" s="3" t="n"/>
      <c r="O759" s="3" t="n"/>
      <c r="P759" s="3" t="n"/>
      <c r="Q759" s="3" t="n"/>
      <c r="R759" s="3" t="n"/>
      <c r="S759" s="3" t="n"/>
    </row>
    <row r="760" ht="25" customHeight="1">
      <c r="A760" s="2" t="n"/>
      <c r="B760" s="2" t="n"/>
      <c r="C760" s="2" t="n"/>
      <c r="D760" s="2" t="n"/>
      <c r="E760" s="2" t="n"/>
      <c r="F760" s="2" t="n"/>
      <c r="G760" s="2" t="n"/>
      <c r="H760" s="2" t="n"/>
      <c r="I760" s="2" t="n"/>
      <c r="J760" s="2" t="n"/>
      <c r="K760" s="2" t="n"/>
      <c r="L760" s="2" t="n"/>
      <c r="M760" s="2" t="n"/>
      <c r="N760" s="2" t="n"/>
      <c r="O760" s="2" t="n"/>
      <c r="P760" s="2" t="n"/>
      <c r="Q760" s="2" t="n"/>
      <c r="R760" s="2" t="n"/>
      <c r="S760" s="2" t="n"/>
    </row>
    <row r="761" ht="25" customHeight="1">
      <c r="A761" s="3" t="n"/>
      <c r="B761" s="3" t="n"/>
      <c r="C761" s="3" t="n"/>
      <c r="D761" s="3" t="n"/>
      <c r="E761" s="3" t="n"/>
      <c r="F761" s="3" t="n"/>
      <c r="G761" s="3" t="n"/>
      <c r="H761" s="3" t="n"/>
      <c r="I761" s="3" t="n"/>
      <c r="J761" s="3" t="n"/>
      <c r="K761" s="3" t="n"/>
      <c r="L761" s="3" t="n"/>
      <c r="M761" s="3" t="n"/>
      <c r="N761" s="3" t="n"/>
      <c r="O761" s="3" t="n"/>
      <c r="P761" s="3" t="n"/>
      <c r="Q761" s="3" t="n"/>
      <c r="R761" s="3" t="n"/>
      <c r="S761" s="3" t="n"/>
    </row>
    <row r="762" ht="25" customHeight="1">
      <c r="A762" s="2" t="n"/>
      <c r="B762" s="2" t="n"/>
      <c r="C762" s="2" t="n"/>
      <c r="D762" s="2" t="n"/>
      <c r="E762" s="2" t="n"/>
      <c r="F762" s="2" t="n"/>
      <c r="G762" s="2" t="n"/>
      <c r="H762" s="2" t="n"/>
      <c r="I762" s="2" t="n"/>
      <c r="J762" s="2" t="n"/>
      <c r="K762" s="2" t="n"/>
      <c r="L762" s="2" t="n"/>
      <c r="M762" s="2" t="n"/>
      <c r="N762" s="2" t="n"/>
      <c r="O762" s="2" t="n"/>
      <c r="P762" s="2" t="n"/>
      <c r="Q762" s="2" t="n"/>
      <c r="R762" s="2" t="n"/>
      <c r="S762" s="2" t="n"/>
    </row>
    <row r="763" ht="25" customHeight="1">
      <c r="A763" s="3" t="n"/>
      <c r="B763" s="3" t="n"/>
      <c r="C763" s="3" t="n"/>
      <c r="D763" s="3" t="n"/>
      <c r="E763" s="3" t="n"/>
      <c r="F763" s="3" t="n"/>
      <c r="G763" s="3" t="n"/>
      <c r="H763" s="3" t="n"/>
      <c r="I763" s="3" t="n"/>
      <c r="J763" s="3" t="n"/>
      <c r="K763" s="3" t="n"/>
      <c r="L763" s="3" t="n"/>
      <c r="M763" s="3" t="n"/>
      <c r="N763" s="3" t="n"/>
      <c r="O763" s="3" t="n"/>
      <c r="P763" s="3" t="n"/>
      <c r="Q763" s="3" t="n"/>
      <c r="R763" s="3" t="n"/>
      <c r="S763" s="3" t="n"/>
    </row>
    <row r="764" ht="25" customHeight="1">
      <c r="A764" s="2" t="n"/>
      <c r="B764" s="2" t="n"/>
      <c r="C764" s="2" t="n"/>
      <c r="D764" s="2" t="n"/>
      <c r="E764" s="2" t="n"/>
      <c r="F764" s="2" t="n"/>
      <c r="G764" s="2" t="n"/>
      <c r="H764" s="2" t="n"/>
      <c r="I764" s="2" t="n"/>
      <c r="J764" s="2" t="n"/>
      <c r="K764" s="2" t="n"/>
      <c r="L764" s="2" t="n"/>
      <c r="M764" s="2" t="n"/>
      <c r="N764" s="2" t="n"/>
      <c r="O764" s="2" t="n"/>
      <c r="P764" s="2" t="n"/>
      <c r="Q764" s="2" t="n"/>
      <c r="R764" s="2" t="n"/>
      <c r="S764" s="2" t="n"/>
    </row>
    <row r="765" ht="25" customHeight="1">
      <c r="A765" s="3" t="n"/>
      <c r="B765" s="3" t="n"/>
      <c r="C765" s="3" t="n"/>
      <c r="D765" s="3" t="n"/>
      <c r="E765" s="3" t="n"/>
      <c r="F765" s="3" t="n"/>
      <c r="G765" s="3" t="n"/>
      <c r="H765" s="3" t="n"/>
      <c r="I765" s="3" t="n"/>
      <c r="J765" s="3" t="n"/>
      <c r="K765" s="3" t="n"/>
      <c r="L765" s="3" t="n"/>
      <c r="M765" s="3" t="n"/>
      <c r="N765" s="3" t="n"/>
      <c r="O765" s="3" t="n"/>
      <c r="P765" s="3" t="n"/>
      <c r="Q765" s="3" t="n"/>
      <c r="R765" s="3" t="n"/>
      <c r="S765" s="3" t="n"/>
    </row>
    <row r="766" ht="25" customHeight="1">
      <c r="A766" s="2" t="n"/>
      <c r="B766" s="2" t="n"/>
      <c r="C766" s="2" t="n"/>
      <c r="D766" s="2" t="n"/>
      <c r="E766" s="2" t="n"/>
      <c r="F766" s="2" t="n"/>
      <c r="G766" s="2" t="n"/>
      <c r="H766" s="2" t="n"/>
      <c r="I766" s="2" t="n"/>
      <c r="J766" s="2" t="n"/>
      <c r="K766" s="2" t="n"/>
      <c r="L766" s="2" t="n"/>
      <c r="M766" s="2" t="n"/>
      <c r="N766" s="2" t="n"/>
      <c r="O766" s="2" t="n"/>
      <c r="P766" s="2" t="n"/>
      <c r="Q766" s="2" t="n"/>
      <c r="R766" s="2" t="n"/>
      <c r="S766" s="2" t="n"/>
    </row>
    <row r="767" ht="25" customHeight="1">
      <c r="A767" s="3" t="n"/>
      <c r="B767" s="3" t="n"/>
      <c r="C767" s="3" t="n"/>
      <c r="D767" s="3" t="n"/>
      <c r="E767" s="3" t="n"/>
      <c r="F767" s="3" t="n"/>
      <c r="G767" s="3" t="n"/>
      <c r="H767" s="3" t="n"/>
      <c r="I767" s="3" t="n"/>
      <c r="J767" s="3" t="n"/>
      <c r="K767" s="3" t="n"/>
      <c r="L767" s="3" t="n"/>
      <c r="M767" s="3" t="n"/>
      <c r="N767" s="3" t="n"/>
      <c r="O767" s="3" t="n"/>
      <c r="P767" s="3" t="n"/>
      <c r="Q767" s="3" t="n"/>
      <c r="R767" s="3" t="n"/>
      <c r="S767" s="3" t="n"/>
    </row>
    <row r="768" ht="25" customHeight="1">
      <c r="A768" s="2" t="n"/>
      <c r="B768" s="2" t="n"/>
      <c r="C768" s="2" t="n"/>
      <c r="D768" s="2" t="n"/>
      <c r="E768" s="2" t="n"/>
      <c r="F768" s="2" t="n"/>
      <c r="G768" s="2" t="n"/>
      <c r="H768" s="2" t="n"/>
      <c r="I768" s="2" t="n"/>
      <c r="J768" s="2" t="n"/>
      <c r="K768" s="2" t="n"/>
      <c r="L768" s="2" t="n"/>
      <c r="M768" s="2" t="n"/>
      <c r="N768" s="2" t="n"/>
      <c r="O768" s="2" t="n"/>
      <c r="P768" s="2" t="n"/>
      <c r="Q768" s="2" t="n"/>
      <c r="R768" s="2" t="n"/>
      <c r="S768" s="2" t="n"/>
    </row>
    <row r="769" ht="25" customHeight="1">
      <c r="A769" s="3" t="n"/>
      <c r="B769" s="3" t="n"/>
      <c r="C769" s="3" t="n"/>
      <c r="D769" s="3" t="n"/>
      <c r="E769" s="3" t="n"/>
      <c r="F769" s="3" t="n"/>
      <c r="G769" s="3" t="n"/>
      <c r="H769" s="3" t="n"/>
      <c r="I769" s="3" t="n"/>
      <c r="J769" s="3" t="n"/>
      <c r="K769" s="3" t="n"/>
      <c r="L769" s="3" t="n"/>
      <c r="M769" s="3" t="n"/>
      <c r="N769" s="3" t="n"/>
      <c r="O769" s="3" t="n"/>
      <c r="P769" s="3" t="n"/>
      <c r="Q769" s="3" t="n"/>
      <c r="R769" s="3" t="n"/>
      <c r="S769" s="3" t="n"/>
    </row>
    <row r="770" ht="25" customHeight="1">
      <c r="A770" s="2" t="n"/>
      <c r="B770" s="2" t="n"/>
      <c r="C770" s="2" t="n"/>
      <c r="D770" s="2" t="n"/>
      <c r="E770" s="2" t="n"/>
      <c r="F770" s="2" t="n"/>
      <c r="G770" s="2" t="n"/>
      <c r="H770" s="2" t="n"/>
      <c r="I770" s="2" t="n"/>
      <c r="J770" s="2" t="n"/>
      <c r="K770" s="2" t="n"/>
      <c r="L770" s="2" t="n"/>
      <c r="M770" s="2" t="n"/>
      <c r="N770" s="2" t="n"/>
      <c r="O770" s="2" t="n"/>
      <c r="P770" s="2" t="n"/>
      <c r="Q770" s="2" t="n"/>
      <c r="R770" s="2" t="n"/>
      <c r="S770" s="2" t="n"/>
    </row>
    <row r="771" ht="25" customHeight="1">
      <c r="A771" s="3" t="n"/>
      <c r="B771" s="3" t="n"/>
      <c r="C771" s="3" t="n"/>
      <c r="D771" s="3" t="n"/>
      <c r="E771" s="3" t="n"/>
      <c r="F771" s="3" t="n"/>
      <c r="G771" s="3" t="n"/>
      <c r="H771" s="3" t="n"/>
      <c r="I771" s="3" t="n"/>
      <c r="J771" s="3" t="n"/>
      <c r="K771" s="3" t="n"/>
      <c r="L771" s="3" t="n"/>
      <c r="M771" s="3" t="n"/>
      <c r="N771" s="3" t="n"/>
      <c r="O771" s="3" t="n"/>
      <c r="P771" s="3" t="n"/>
      <c r="Q771" s="3" t="n"/>
      <c r="R771" s="3" t="n"/>
      <c r="S771" s="3" t="n"/>
    </row>
    <row r="772" ht="25" customHeight="1">
      <c r="A772" s="2" t="n"/>
      <c r="B772" s="2" t="n"/>
      <c r="C772" s="2" t="n"/>
      <c r="D772" s="2" t="n"/>
      <c r="E772" s="2" t="n"/>
      <c r="F772" s="2" t="n"/>
      <c r="G772" s="2" t="n"/>
      <c r="H772" s="2" t="n"/>
      <c r="I772" s="2" t="n"/>
      <c r="J772" s="2" t="n"/>
      <c r="K772" s="2" t="n"/>
      <c r="L772" s="2" t="n"/>
      <c r="M772" s="2" t="n"/>
      <c r="N772" s="2" t="n"/>
      <c r="O772" s="2" t="n"/>
      <c r="P772" s="2" t="n"/>
      <c r="Q772" s="2" t="n"/>
      <c r="R772" s="2" t="n"/>
      <c r="S772" s="2" t="n"/>
    </row>
    <row r="773" ht="25" customHeight="1">
      <c r="A773" s="3" t="n"/>
      <c r="B773" s="3" t="n"/>
      <c r="C773" s="3" t="n"/>
      <c r="D773" s="3" t="n"/>
      <c r="E773" s="3" t="n"/>
      <c r="F773" s="3" t="n"/>
      <c r="G773" s="3" t="n"/>
      <c r="H773" s="3" t="n"/>
      <c r="I773" s="3" t="n"/>
      <c r="J773" s="3" t="n"/>
      <c r="K773" s="3" t="n"/>
      <c r="L773" s="3" t="n"/>
      <c r="M773" s="3" t="n"/>
      <c r="N773" s="3" t="n"/>
      <c r="O773" s="3" t="n"/>
      <c r="P773" s="3" t="n"/>
      <c r="Q773" s="3" t="n"/>
      <c r="R773" s="3" t="n"/>
      <c r="S773" s="3" t="n"/>
    </row>
    <row r="774" ht="25" customHeight="1">
      <c r="A774" s="2" t="n"/>
      <c r="B774" s="2" t="n"/>
      <c r="C774" s="2" t="n"/>
      <c r="D774" s="2" t="n"/>
      <c r="E774" s="2" t="n"/>
      <c r="F774" s="2" t="n"/>
      <c r="G774" s="2" t="n"/>
      <c r="H774" s="2" t="n"/>
      <c r="I774" s="2" t="n"/>
      <c r="J774" s="2" t="n"/>
      <c r="K774" s="2" t="n"/>
      <c r="L774" s="2" t="n"/>
      <c r="M774" s="2" t="n"/>
      <c r="N774" s="2" t="n"/>
      <c r="O774" s="2" t="n"/>
      <c r="P774" s="2" t="n"/>
      <c r="Q774" s="2" t="n"/>
      <c r="R774" s="2" t="n"/>
      <c r="S774" s="2" t="n"/>
    </row>
    <row r="775" ht="25" customHeight="1">
      <c r="A775" s="3" t="n"/>
      <c r="B775" s="3" t="n"/>
      <c r="C775" s="3" t="n"/>
      <c r="D775" s="3" t="n"/>
      <c r="E775" s="3" t="n"/>
      <c r="F775" s="3" t="n"/>
      <c r="G775" s="3" t="n"/>
      <c r="H775" s="3" t="n"/>
      <c r="I775" s="3" t="n"/>
      <c r="J775" s="3" t="n"/>
      <c r="K775" s="3" t="n"/>
      <c r="L775" s="3" t="n"/>
      <c r="M775" s="3" t="n"/>
      <c r="N775" s="3" t="n"/>
      <c r="O775" s="3" t="n"/>
      <c r="P775" s="3" t="n"/>
      <c r="Q775" s="3" t="n"/>
      <c r="R775" s="3" t="n"/>
      <c r="S775" s="3" t="n"/>
    </row>
    <row r="776" ht="25" customHeight="1">
      <c r="A776" s="2" t="n"/>
      <c r="B776" s="2" t="n"/>
      <c r="C776" s="2" t="n"/>
      <c r="D776" s="2" t="n"/>
      <c r="E776" s="2" t="n"/>
      <c r="F776" s="2" t="n"/>
      <c r="G776" s="2" t="n"/>
      <c r="H776" s="2" t="n"/>
      <c r="I776" s="2" t="n"/>
      <c r="J776" s="2" t="n"/>
      <c r="K776" s="2" t="n"/>
      <c r="L776" s="2" t="n"/>
      <c r="M776" s="2" t="n"/>
      <c r="N776" s="2" t="n"/>
      <c r="O776" s="2" t="n"/>
      <c r="P776" s="2" t="n"/>
      <c r="Q776" s="2" t="n"/>
      <c r="R776" s="2" t="n"/>
      <c r="S776" s="2" t="n"/>
    </row>
    <row r="777" ht="25" customHeight="1">
      <c r="A777" s="3" t="n"/>
      <c r="B777" s="3" t="n"/>
      <c r="C777" s="3" t="n"/>
      <c r="D777" s="3" t="n"/>
      <c r="E777" s="3" t="n"/>
      <c r="F777" s="3" t="n"/>
      <c r="G777" s="3" t="n"/>
      <c r="H777" s="3" t="n"/>
      <c r="I777" s="3" t="n"/>
      <c r="J777" s="3" t="n"/>
      <c r="K777" s="3" t="n"/>
      <c r="L777" s="3" t="n"/>
      <c r="M777" s="3" t="n"/>
      <c r="N777" s="3" t="n"/>
      <c r="O777" s="3" t="n"/>
      <c r="P777" s="3" t="n"/>
      <c r="Q777" s="3" t="n"/>
      <c r="R777" s="3" t="n"/>
      <c r="S777" s="3" t="n"/>
    </row>
    <row r="778" ht="25" customHeight="1">
      <c r="A778" s="2" t="n"/>
      <c r="B778" s="2" t="n"/>
      <c r="C778" s="2" t="n"/>
      <c r="D778" s="2" t="n"/>
      <c r="E778" s="2" t="n"/>
      <c r="F778" s="2" t="n"/>
      <c r="G778" s="2" t="n"/>
      <c r="H778" s="2" t="n"/>
      <c r="I778" s="2" t="n"/>
      <c r="J778" s="2" t="n"/>
      <c r="K778" s="2" t="n"/>
      <c r="L778" s="2" t="n"/>
      <c r="M778" s="2" t="n"/>
      <c r="N778" s="2" t="n"/>
      <c r="O778" s="2" t="n"/>
      <c r="P778" s="2" t="n"/>
      <c r="Q778" s="2" t="n"/>
      <c r="R778" s="2" t="n"/>
      <c r="S778" s="2" t="n"/>
    </row>
    <row r="779" ht="25" customHeight="1">
      <c r="A779" s="3" t="n"/>
      <c r="B779" s="3" t="n"/>
      <c r="C779" s="3" t="n"/>
      <c r="D779" s="3" t="n"/>
      <c r="E779" s="3" t="n"/>
      <c r="F779" s="3" t="n"/>
      <c r="G779" s="3" t="n"/>
      <c r="H779" s="3" t="n"/>
      <c r="I779" s="3" t="n"/>
      <c r="J779" s="3" t="n"/>
      <c r="K779" s="3" t="n"/>
      <c r="L779" s="3" t="n"/>
      <c r="M779" s="3" t="n"/>
      <c r="N779" s="3" t="n"/>
      <c r="O779" s="3" t="n"/>
      <c r="P779" s="3" t="n"/>
      <c r="Q779" s="3" t="n"/>
      <c r="R779" s="3" t="n"/>
      <c r="S779" s="3" t="n"/>
    </row>
    <row r="780" ht="25" customHeight="1">
      <c r="A780" s="2" t="n"/>
      <c r="B780" s="2" t="n"/>
      <c r="C780" s="2" t="n"/>
      <c r="D780" s="2" t="n"/>
      <c r="E780" s="2" t="n"/>
      <c r="F780" s="2" t="n"/>
      <c r="G780" s="2" t="n"/>
      <c r="H780" s="2" t="n"/>
      <c r="I780" s="2" t="n"/>
      <c r="J780" s="2" t="n"/>
      <c r="K780" s="2" t="n"/>
      <c r="L780" s="2" t="n"/>
      <c r="M780" s="2" t="n"/>
      <c r="N780" s="2" t="n"/>
      <c r="O780" s="2" t="n"/>
      <c r="P780" s="2" t="n"/>
      <c r="Q780" s="2" t="n"/>
      <c r="R780" s="2" t="n"/>
      <c r="S780" s="2" t="n"/>
    </row>
    <row r="781" ht="25" customHeight="1">
      <c r="A781" s="3" t="n"/>
      <c r="B781" s="3" t="n"/>
      <c r="C781" s="3" t="n"/>
      <c r="D781" s="3" t="n"/>
      <c r="E781" s="3" t="n"/>
      <c r="F781" s="3" t="n"/>
      <c r="G781" s="3" t="n"/>
      <c r="H781" s="3" t="n"/>
      <c r="I781" s="3" t="n"/>
      <c r="J781" s="3" t="n"/>
      <c r="K781" s="3" t="n"/>
      <c r="L781" s="3" t="n"/>
      <c r="M781" s="3" t="n"/>
      <c r="N781" s="3" t="n"/>
      <c r="O781" s="3" t="n"/>
      <c r="P781" s="3" t="n"/>
      <c r="Q781" s="3" t="n"/>
      <c r="R781" s="3" t="n"/>
      <c r="S781" s="3" t="n"/>
    </row>
    <row r="782" ht="25" customHeight="1">
      <c r="A782" s="2" t="n"/>
      <c r="B782" s="2" t="n"/>
      <c r="C782" s="2" t="n"/>
      <c r="D782" s="2" t="n"/>
      <c r="E782" s="2" t="n"/>
      <c r="F782" s="2" t="n"/>
      <c r="G782" s="2" t="n"/>
      <c r="H782" s="2" t="n"/>
      <c r="I782" s="2" t="n"/>
      <c r="J782" s="2" t="n"/>
      <c r="K782" s="2" t="n"/>
      <c r="L782" s="2" t="n"/>
      <c r="M782" s="2" t="n"/>
      <c r="N782" s="2" t="n"/>
      <c r="O782" s="2" t="n"/>
      <c r="P782" s="2" t="n"/>
      <c r="Q782" s="2" t="n"/>
      <c r="R782" s="2" t="n"/>
      <c r="S782" s="2" t="n"/>
    </row>
    <row r="783" ht="25" customHeight="1">
      <c r="A783" s="3" t="n"/>
      <c r="B783" s="3" t="n"/>
      <c r="C783" s="3" t="n"/>
      <c r="D783" s="3" t="n"/>
      <c r="E783" s="3" t="n"/>
      <c r="F783" s="3" t="n"/>
      <c r="G783" s="3" t="n"/>
      <c r="H783" s="3" t="n"/>
      <c r="I783" s="3" t="n"/>
      <c r="J783" s="3" t="n"/>
      <c r="K783" s="3" t="n"/>
      <c r="L783" s="3" t="n"/>
      <c r="M783" s="3" t="n"/>
      <c r="N783" s="3" t="n"/>
      <c r="O783" s="3" t="n"/>
      <c r="P783" s="3" t="n"/>
      <c r="Q783" s="3" t="n"/>
      <c r="R783" s="3" t="n"/>
      <c r="S783" s="3" t="n"/>
    </row>
    <row r="784" ht="25" customHeight="1">
      <c r="A784" s="2" t="n"/>
      <c r="B784" s="2" t="n"/>
      <c r="C784" s="2" t="n"/>
      <c r="D784" s="2" t="n"/>
      <c r="E784" s="2" t="n"/>
      <c r="F784" s="2" t="n"/>
      <c r="G784" s="2" t="n"/>
      <c r="H784" s="2" t="n"/>
      <c r="I784" s="2" t="n"/>
      <c r="J784" s="2" t="n"/>
      <c r="K784" s="2" t="n"/>
      <c r="L784" s="2" t="n"/>
      <c r="M784" s="2" t="n"/>
      <c r="N784" s="2" t="n"/>
      <c r="O784" s="2" t="n"/>
      <c r="P784" s="2" t="n"/>
      <c r="Q784" s="2" t="n"/>
      <c r="R784" s="2" t="n"/>
      <c r="S784" s="2" t="n"/>
    </row>
    <row r="785" ht="25" customHeight="1">
      <c r="A785" s="3" t="n"/>
      <c r="B785" s="3" t="n"/>
      <c r="C785" s="3" t="n"/>
      <c r="D785" s="3" t="n"/>
      <c r="E785" s="3" t="n"/>
      <c r="F785" s="3" t="n"/>
      <c r="G785" s="3" t="n"/>
      <c r="H785" s="3" t="n"/>
      <c r="I785" s="3" t="n"/>
      <c r="J785" s="3" t="n"/>
      <c r="K785" s="3" t="n"/>
      <c r="L785" s="3" t="n"/>
      <c r="M785" s="3" t="n"/>
      <c r="N785" s="3" t="n"/>
      <c r="O785" s="3" t="n"/>
      <c r="P785" s="3" t="n"/>
      <c r="Q785" s="3" t="n"/>
      <c r="R785" s="3" t="n"/>
      <c r="S785" s="3" t="n"/>
    </row>
    <row r="786" ht="25" customHeight="1">
      <c r="A786" s="2" t="n"/>
      <c r="B786" s="2" t="n"/>
      <c r="C786" s="2" t="n"/>
      <c r="D786" s="2" t="n"/>
      <c r="E786" s="2" t="n"/>
      <c r="F786" s="2" t="n"/>
      <c r="G786" s="2" t="n"/>
      <c r="H786" s="2" t="n"/>
      <c r="I786" s="2" t="n"/>
      <c r="J786" s="2" t="n"/>
      <c r="K786" s="2" t="n"/>
      <c r="L786" s="2" t="n"/>
      <c r="M786" s="2" t="n"/>
      <c r="N786" s="2" t="n"/>
      <c r="O786" s="2" t="n"/>
      <c r="P786" s="2" t="n"/>
      <c r="Q786" s="2" t="n"/>
      <c r="R786" s="2" t="n"/>
      <c r="S786" s="2" t="n"/>
    </row>
    <row r="787" ht="25" customHeight="1">
      <c r="A787" s="3" t="n"/>
      <c r="B787" s="3" t="n"/>
      <c r="C787" s="3" t="n"/>
      <c r="D787" s="3" t="n"/>
      <c r="E787" s="3" t="n"/>
      <c r="F787" s="3" t="n"/>
      <c r="G787" s="3" t="n"/>
      <c r="H787" s="3" t="n"/>
      <c r="I787" s="3" t="n"/>
      <c r="J787" s="3" t="n"/>
      <c r="K787" s="3" t="n"/>
      <c r="L787" s="3" t="n"/>
      <c r="M787" s="3" t="n"/>
      <c r="N787" s="3" t="n"/>
      <c r="O787" s="3" t="n"/>
      <c r="P787" s="3" t="n"/>
      <c r="Q787" s="3" t="n"/>
      <c r="R787" s="3" t="n"/>
      <c r="S787" s="3" t="n"/>
    </row>
    <row r="788" ht="25" customHeight="1">
      <c r="A788" s="2" t="n"/>
      <c r="B788" s="2" t="n"/>
      <c r="C788" s="2" t="n"/>
      <c r="D788" s="2" t="n"/>
      <c r="E788" s="2" t="n"/>
      <c r="F788" s="2" t="n"/>
      <c r="G788" s="2" t="n"/>
      <c r="H788" s="2" t="n"/>
      <c r="I788" s="2" t="n"/>
      <c r="J788" s="2" t="n"/>
      <c r="K788" s="2" t="n"/>
      <c r="L788" s="2" t="n"/>
      <c r="M788" s="2" t="n"/>
      <c r="N788" s="2" t="n"/>
      <c r="O788" s="2" t="n"/>
      <c r="P788" s="2" t="n"/>
      <c r="Q788" s="2" t="n"/>
      <c r="R788" s="2" t="n"/>
      <c r="S788" s="2" t="n"/>
    </row>
    <row r="789" ht="25" customHeight="1">
      <c r="A789" s="3" t="n"/>
      <c r="B789" s="3" t="n"/>
      <c r="C789" s="3" t="n"/>
      <c r="D789" s="3" t="n"/>
      <c r="E789" s="3" t="n"/>
      <c r="F789" s="3" t="n"/>
      <c r="G789" s="3" t="n"/>
      <c r="H789" s="3" t="n"/>
      <c r="I789" s="3" t="n"/>
      <c r="J789" s="3" t="n"/>
      <c r="K789" s="3" t="n"/>
      <c r="L789" s="3" t="n"/>
      <c r="M789" s="3" t="n"/>
      <c r="N789" s="3" t="n"/>
      <c r="O789" s="3" t="n"/>
      <c r="P789" s="3" t="n"/>
      <c r="Q789" s="3" t="n"/>
      <c r="R789" s="3" t="n"/>
      <c r="S789" s="3" t="n"/>
    </row>
    <row r="790" ht="25" customHeight="1">
      <c r="A790" s="2" t="n"/>
      <c r="B790" s="2" t="n"/>
      <c r="C790" s="2" t="n"/>
      <c r="D790" s="2" t="n"/>
      <c r="E790" s="2" t="n"/>
      <c r="F790" s="2" t="n"/>
      <c r="G790" s="2" t="n"/>
      <c r="H790" s="2" t="n"/>
      <c r="I790" s="2" t="n"/>
      <c r="J790" s="2" t="n"/>
      <c r="K790" s="2" t="n"/>
      <c r="L790" s="2" t="n"/>
      <c r="M790" s="2" t="n"/>
      <c r="N790" s="2" t="n"/>
      <c r="O790" s="2" t="n"/>
      <c r="P790" s="2" t="n"/>
      <c r="Q790" s="2" t="n"/>
      <c r="R790" s="2" t="n"/>
      <c r="S790" s="2" t="n"/>
    </row>
    <row r="791" ht="25" customHeight="1">
      <c r="A791" s="3" t="n"/>
      <c r="B791" s="3" t="n"/>
      <c r="C791" s="3" t="n"/>
      <c r="D791" s="3" t="n"/>
      <c r="E791" s="3" t="n"/>
      <c r="F791" s="3" t="n"/>
      <c r="G791" s="3" t="n"/>
      <c r="H791" s="3" t="n"/>
      <c r="I791" s="3" t="n"/>
      <c r="J791" s="3" t="n"/>
      <c r="K791" s="3" t="n"/>
      <c r="L791" s="3" t="n"/>
      <c r="M791" s="3" t="n"/>
      <c r="N791" s="3" t="n"/>
      <c r="O791" s="3" t="n"/>
      <c r="P791" s="3" t="n"/>
      <c r="Q791" s="3" t="n"/>
      <c r="R791" s="3" t="n"/>
      <c r="S791" s="3" t="n"/>
    </row>
    <row r="792" ht="25" customHeight="1">
      <c r="A792" s="2" t="n"/>
      <c r="B792" s="2" t="n"/>
      <c r="C792" s="2" t="n"/>
      <c r="D792" s="2" t="n"/>
      <c r="E792" s="2" t="n"/>
      <c r="F792" s="2" t="n"/>
      <c r="G792" s="2" t="n"/>
      <c r="H792" s="2" t="n"/>
      <c r="I792" s="2" t="n"/>
      <c r="J792" s="2" t="n"/>
      <c r="K792" s="2" t="n"/>
      <c r="L792" s="2" t="n"/>
      <c r="M792" s="2" t="n"/>
      <c r="N792" s="2" t="n"/>
      <c r="O792" s="2" t="n"/>
      <c r="P792" s="2" t="n"/>
      <c r="Q792" s="2" t="n"/>
      <c r="R792" s="2" t="n"/>
      <c r="S792" s="2" t="n"/>
    </row>
    <row r="793" ht="25" customHeight="1">
      <c r="A793" s="3" t="n"/>
      <c r="B793" s="3" t="n"/>
      <c r="C793" s="3" t="n"/>
      <c r="D793" s="3" t="n"/>
      <c r="E793" s="3" t="n"/>
      <c r="F793" s="3" t="n"/>
      <c r="G793" s="3" t="n"/>
      <c r="H793" s="3" t="n"/>
      <c r="I793" s="3" t="n"/>
      <c r="J793" s="3" t="n"/>
      <c r="K793" s="3" t="n"/>
      <c r="L793" s="3" t="n"/>
      <c r="M793" s="3" t="n"/>
      <c r="N793" s="3" t="n"/>
      <c r="O793" s="3" t="n"/>
      <c r="P793" s="3" t="n"/>
      <c r="Q793" s="3" t="n"/>
      <c r="R793" s="3" t="n"/>
      <c r="S793" s="3" t="n"/>
    </row>
    <row r="794" ht="25" customHeight="1">
      <c r="A794" s="2" t="n"/>
      <c r="B794" s="2" t="n"/>
      <c r="C794" s="2" t="n"/>
      <c r="D794" s="2" t="n"/>
      <c r="E794" s="2" t="n"/>
      <c r="F794" s="2" t="n"/>
      <c r="G794" s="2" t="n"/>
      <c r="H794" s="2" t="n"/>
      <c r="I794" s="2" t="n"/>
      <c r="J794" s="2" t="n"/>
      <c r="K794" s="2" t="n"/>
      <c r="L794" s="2" t="n"/>
      <c r="M794" s="2" t="n"/>
      <c r="N794" s="2" t="n"/>
      <c r="O794" s="2" t="n"/>
      <c r="P794" s="2" t="n"/>
      <c r="Q794" s="2" t="n"/>
      <c r="R794" s="2" t="n"/>
      <c r="S794" s="2" t="n"/>
    </row>
    <row r="795" ht="25" customHeight="1">
      <c r="A795" s="3" t="n"/>
      <c r="B795" s="3" t="n"/>
      <c r="C795" s="3" t="n"/>
      <c r="D795" s="3" t="n"/>
      <c r="E795" s="3" t="n"/>
      <c r="F795" s="3" t="n"/>
      <c r="G795" s="3" t="n"/>
      <c r="H795" s="3" t="n"/>
      <c r="I795" s="3" t="n"/>
      <c r="J795" s="3" t="n"/>
      <c r="K795" s="3" t="n"/>
      <c r="L795" s="3" t="n"/>
      <c r="M795" s="3" t="n"/>
      <c r="N795" s="3" t="n"/>
      <c r="O795" s="3" t="n"/>
      <c r="P795" s="3" t="n"/>
      <c r="Q795" s="3" t="n"/>
      <c r="R795" s="3" t="n"/>
      <c r="S795" s="3" t="n"/>
    </row>
    <row r="796" ht="25" customHeight="1">
      <c r="A796" s="2" t="n"/>
      <c r="B796" s="2" t="n"/>
      <c r="C796" s="2" t="n"/>
      <c r="D796" s="2" t="n"/>
      <c r="E796" s="2" t="n"/>
      <c r="F796" s="2" t="n"/>
      <c r="G796" s="2" t="n"/>
      <c r="H796" s="2" t="n"/>
      <c r="I796" s="2" t="n"/>
      <c r="J796" s="2" t="n"/>
      <c r="K796" s="2" t="n"/>
      <c r="L796" s="2" t="n"/>
      <c r="M796" s="2" t="n"/>
      <c r="N796" s="2" t="n"/>
      <c r="O796" s="2" t="n"/>
      <c r="P796" s="2" t="n"/>
      <c r="Q796" s="2" t="n"/>
      <c r="R796" s="2" t="n"/>
      <c r="S796" s="2" t="n"/>
    </row>
    <row r="797" ht="25" customHeight="1">
      <c r="A797" s="3" t="n"/>
      <c r="B797" s="3" t="n"/>
      <c r="C797" s="3" t="n"/>
      <c r="D797" s="3" t="n"/>
      <c r="E797" s="3" t="n"/>
      <c r="F797" s="3" t="n"/>
      <c r="G797" s="3" t="n"/>
      <c r="H797" s="3" t="n"/>
      <c r="I797" s="3" t="n"/>
      <c r="J797" s="3" t="n"/>
      <c r="K797" s="3" t="n"/>
      <c r="L797" s="3" t="n"/>
      <c r="M797" s="3" t="n"/>
      <c r="N797" s="3" t="n"/>
      <c r="O797" s="3" t="n"/>
      <c r="P797" s="3" t="n"/>
      <c r="Q797" s="3" t="n"/>
      <c r="R797" s="3" t="n"/>
      <c r="S797" s="3" t="n"/>
    </row>
    <row r="798" ht="25" customHeight="1">
      <c r="A798" s="2" t="n"/>
      <c r="B798" s="2" t="n"/>
      <c r="C798" s="2" t="n"/>
      <c r="D798" s="2" t="n"/>
      <c r="E798" s="2" t="n"/>
      <c r="F798" s="2" t="n"/>
      <c r="G798" s="2" t="n"/>
      <c r="H798" s="2" t="n"/>
      <c r="I798" s="2" t="n"/>
      <c r="J798" s="2" t="n"/>
      <c r="K798" s="2" t="n"/>
      <c r="L798" s="2" t="n"/>
      <c r="M798" s="2" t="n"/>
      <c r="N798" s="2" t="n"/>
      <c r="O798" s="2" t="n"/>
      <c r="P798" s="2" t="n"/>
      <c r="Q798" s="2" t="n"/>
      <c r="R798" s="2" t="n"/>
      <c r="S798" s="2" t="n"/>
    </row>
    <row r="799" ht="25" customHeight="1">
      <c r="A799" s="3" t="n"/>
      <c r="B799" s="3" t="n"/>
      <c r="C799" s="3" t="n"/>
      <c r="D799" s="3" t="n"/>
      <c r="E799" s="3" t="n"/>
      <c r="F799" s="3" t="n"/>
      <c r="G799" s="3" t="n"/>
      <c r="H799" s="3" t="n"/>
      <c r="I799" s="3" t="n"/>
      <c r="J799" s="3" t="n"/>
      <c r="K799" s="3" t="n"/>
      <c r="L799" s="3" t="n"/>
      <c r="M799" s="3" t="n"/>
      <c r="N799" s="3" t="n"/>
      <c r="O799" s="3" t="n"/>
      <c r="P799" s="3" t="n"/>
      <c r="Q799" s="3" t="n"/>
      <c r="R799" s="3" t="n"/>
      <c r="S799" s="3" t="n"/>
    </row>
    <row r="800" ht="25" customHeight="1">
      <c r="A800" s="2" t="n"/>
      <c r="B800" s="2" t="n"/>
      <c r="C800" s="2" t="n"/>
      <c r="D800" s="2" t="n"/>
      <c r="E800" s="2" t="n"/>
      <c r="F800" s="2" t="n"/>
      <c r="G800" s="2" t="n"/>
      <c r="H800" s="2" t="n"/>
      <c r="I800" s="2" t="n"/>
      <c r="J800" s="2" t="n"/>
      <c r="K800" s="2" t="n"/>
      <c r="L800" s="2" t="n"/>
      <c r="M800" s="2" t="n"/>
      <c r="N800" s="2" t="n"/>
      <c r="O800" s="2" t="n"/>
      <c r="P800" s="2" t="n"/>
      <c r="Q800" s="2" t="n"/>
      <c r="R800" s="2" t="n"/>
      <c r="S800" s="2" t="n"/>
    </row>
    <row r="801" ht="25" customHeight="1">
      <c r="A801" s="3" t="n"/>
      <c r="B801" s="3" t="n"/>
      <c r="C801" s="3" t="n"/>
      <c r="D801" s="3" t="n"/>
      <c r="E801" s="3" t="n"/>
      <c r="F801" s="3" t="n"/>
      <c r="G801" s="3" t="n"/>
      <c r="H801" s="3" t="n"/>
      <c r="I801" s="3" t="n"/>
      <c r="J801" s="3" t="n"/>
      <c r="K801" s="3" t="n"/>
      <c r="L801" s="3" t="n"/>
      <c r="M801" s="3" t="n"/>
      <c r="N801" s="3" t="n"/>
      <c r="O801" s="3" t="n"/>
      <c r="P801" s="3" t="n"/>
      <c r="Q801" s="3" t="n"/>
      <c r="R801" s="3" t="n"/>
      <c r="S801" s="3" t="n"/>
    </row>
    <row r="802" ht="25" customHeight="1">
      <c r="A802" s="2" t="n"/>
      <c r="B802" s="2" t="n"/>
      <c r="C802" s="2" t="n"/>
      <c r="D802" s="2" t="n"/>
      <c r="E802" s="2" t="n"/>
      <c r="F802" s="2" t="n"/>
      <c r="G802" s="2" t="n"/>
      <c r="H802" s="2" t="n"/>
      <c r="I802" s="2" t="n"/>
      <c r="J802" s="2" t="n"/>
      <c r="K802" s="2" t="n"/>
      <c r="L802" s="2" t="n"/>
      <c r="M802" s="2" t="n"/>
      <c r="N802" s="2" t="n"/>
      <c r="O802" s="2" t="n"/>
      <c r="P802" s="2" t="n"/>
      <c r="Q802" s="2" t="n"/>
      <c r="R802" s="2" t="n"/>
      <c r="S802" s="2" t="n"/>
    </row>
    <row r="803" ht="25" customHeight="1">
      <c r="A803" s="3" t="n"/>
      <c r="B803" s="3" t="n"/>
      <c r="C803" s="3" t="n"/>
      <c r="D803" s="3" t="n"/>
      <c r="E803" s="3" t="n"/>
      <c r="F803" s="3" t="n"/>
      <c r="G803" s="3" t="n"/>
      <c r="H803" s="3" t="n"/>
      <c r="I803" s="3" t="n"/>
      <c r="J803" s="3" t="n"/>
      <c r="K803" s="3" t="n"/>
      <c r="L803" s="3" t="n"/>
      <c r="M803" s="3" t="n"/>
      <c r="N803" s="3" t="n"/>
      <c r="O803" s="3" t="n"/>
      <c r="P803" s="3" t="n"/>
      <c r="Q803" s="3" t="n"/>
      <c r="R803" s="3" t="n"/>
      <c r="S803" s="3" t="n"/>
    </row>
    <row r="804" ht="25" customHeight="1">
      <c r="A804" s="2" t="n"/>
      <c r="B804" s="2" t="n"/>
      <c r="C804" s="2" t="n"/>
      <c r="D804" s="2" t="n"/>
      <c r="E804" s="2" t="n"/>
      <c r="F804" s="2" t="n"/>
      <c r="G804" s="2" t="n"/>
      <c r="H804" s="2" t="n"/>
      <c r="I804" s="2" t="n"/>
      <c r="J804" s="2" t="n"/>
      <c r="K804" s="2" t="n"/>
      <c r="L804" s="2" t="n"/>
      <c r="M804" s="2" t="n"/>
      <c r="N804" s="2" t="n"/>
      <c r="O804" s="2" t="n"/>
      <c r="P804" s="2" t="n"/>
      <c r="Q804" s="2" t="n"/>
      <c r="R804" s="2" t="n"/>
      <c r="S804" s="2" t="n"/>
    </row>
    <row r="805" ht="25" customHeight="1">
      <c r="A805" s="3" t="n"/>
      <c r="B805" s="3" t="n"/>
      <c r="C805" s="3" t="n"/>
      <c r="D805" s="3" t="n"/>
      <c r="E805" s="3" t="n"/>
      <c r="F805" s="3" t="n"/>
      <c r="G805" s="3" t="n"/>
      <c r="H805" s="3" t="n"/>
      <c r="I805" s="3" t="n"/>
      <c r="J805" s="3" t="n"/>
      <c r="K805" s="3" t="n"/>
      <c r="L805" s="3" t="n"/>
      <c r="M805" s="3" t="n"/>
      <c r="N805" s="3" t="n"/>
      <c r="O805" s="3" t="n"/>
      <c r="P805" s="3" t="n"/>
      <c r="Q805" s="3" t="n"/>
      <c r="R805" s="3" t="n"/>
      <c r="S805" s="3" t="n"/>
    </row>
    <row r="806" ht="25" customHeight="1">
      <c r="A806" s="2" t="n"/>
      <c r="B806" s="2" t="n"/>
      <c r="C806" s="2" t="n"/>
      <c r="D806" s="2" t="n"/>
      <c r="E806" s="2" t="n"/>
      <c r="F806" s="2" t="n"/>
      <c r="G806" s="2" t="n"/>
      <c r="H806" s="2" t="n"/>
      <c r="I806" s="2" t="n"/>
      <c r="J806" s="2" t="n"/>
      <c r="K806" s="2" t="n"/>
      <c r="L806" s="2" t="n"/>
      <c r="M806" s="2" t="n"/>
      <c r="N806" s="2" t="n"/>
      <c r="O806" s="2" t="n"/>
      <c r="P806" s="2" t="n"/>
      <c r="Q806" s="2" t="n"/>
      <c r="R806" s="2" t="n"/>
      <c r="S806" s="2" t="n"/>
    </row>
    <row r="807" ht="25" customHeight="1">
      <c r="A807" s="3" t="n"/>
      <c r="B807" s="3" t="n"/>
      <c r="C807" s="3" t="n"/>
      <c r="D807" s="3" t="n"/>
      <c r="E807" s="3" t="n"/>
      <c r="F807" s="3" t="n"/>
      <c r="G807" s="3" t="n"/>
      <c r="H807" s="3" t="n"/>
      <c r="I807" s="3" t="n"/>
      <c r="J807" s="3" t="n"/>
      <c r="K807" s="3" t="n"/>
      <c r="L807" s="3" t="n"/>
      <c r="M807" s="3" t="n"/>
      <c r="N807" s="3" t="n"/>
      <c r="O807" s="3" t="n"/>
      <c r="P807" s="3" t="n"/>
      <c r="Q807" s="3" t="n"/>
      <c r="R807" s="3" t="n"/>
      <c r="S807" s="3" t="n"/>
    </row>
    <row r="808" ht="25" customHeight="1">
      <c r="A808" s="2" t="n"/>
      <c r="B808" s="2" t="n"/>
      <c r="C808" s="2" t="n"/>
      <c r="D808" s="2" t="n"/>
      <c r="E808" s="2" t="n"/>
      <c r="F808" s="2" t="n"/>
      <c r="G808" s="2" t="n"/>
      <c r="H808" s="2" t="n"/>
      <c r="I808" s="2" t="n"/>
      <c r="J808" s="2" t="n"/>
      <c r="K808" s="2" t="n"/>
      <c r="L808" s="2" t="n"/>
      <c r="M808" s="2" t="n"/>
      <c r="N808" s="2" t="n"/>
      <c r="O808" s="2" t="n"/>
      <c r="P808" s="2" t="n"/>
      <c r="Q808" s="2" t="n"/>
      <c r="R808" s="2" t="n"/>
      <c r="S808" s="2" t="n"/>
    </row>
    <row r="809" ht="25" customHeight="1">
      <c r="A809" s="3" t="n"/>
      <c r="B809" s="3" t="n"/>
      <c r="C809" s="3" t="n"/>
      <c r="D809" s="3" t="n"/>
      <c r="E809" s="3" t="n"/>
      <c r="F809" s="3" t="n"/>
      <c r="G809" s="3" t="n"/>
      <c r="H809" s="3" t="n"/>
      <c r="I809" s="3" t="n"/>
      <c r="J809" s="3" t="n"/>
      <c r="K809" s="3" t="n"/>
      <c r="L809" s="3" t="n"/>
      <c r="M809" s="3" t="n"/>
      <c r="N809" s="3" t="n"/>
      <c r="O809" s="3" t="n"/>
      <c r="P809" s="3" t="n"/>
      <c r="Q809" s="3" t="n"/>
      <c r="R809" s="3" t="n"/>
      <c r="S809" s="3" t="n"/>
    </row>
    <row r="810" ht="25" customHeight="1">
      <c r="A810" s="2" t="n"/>
      <c r="B810" s="2" t="n"/>
      <c r="C810" s="2" t="n"/>
      <c r="D810" s="2" t="n"/>
      <c r="E810" s="2" t="n"/>
      <c r="F810" s="2" t="n"/>
      <c r="G810" s="2" t="n"/>
      <c r="H810" s="2" t="n"/>
      <c r="I810" s="2" t="n"/>
      <c r="J810" s="2" t="n"/>
      <c r="K810" s="2" t="n"/>
      <c r="L810" s="2" t="n"/>
      <c r="M810" s="2" t="n"/>
      <c r="N810" s="2" t="n"/>
      <c r="O810" s="2" t="n"/>
      <c r="P810" s="2" t="n"/>
      <c r="Q810" s="2" t="n"/>
      <c r="R810" s="2" t="n"/>
      <c r="S810" s="2" t="n"/>
    </row>
    <row r="811" ht="25" customHeight="1">
      <c r="A811" s="3" t="n"/>
      <c r="B811" s="3" t="n"/>
      <c r="C811" s="3" t="n"/>
      <c r="D811" s="3" t="n"/>
      <c r="E811" s="3" t="n"/>
      <c r="F811" s="3" t="n"/>
      <c r="G811" s="3" t="n"/>
      <c r="H811" s="3" t="n"/>
      <c r="I811" s="3" t="n"/>
      <c r="J811" s="3" t="n"/>
      <c r="K811" s="3" t="n"/>
      <c r="L811" s="3" t="n"/>
      <c r="M811" s="3" t="n"/>
      <c r="N811" s="3" t="n"/>
      <c r="O811" s="3" t="n"/>
      <c r="P811" s="3" t="n"/>
      <c r="Q811" s="3" t="n"/>
      <c r="R811" s="3" t="n"/>
      <c r="S811" s="3" t="n"/>
    </row>
    <row r="812" ht="25" customHeight="1">
      <c r="A812" s="2" t="n"/>
      <c r="B812" s="2" t="n"/>
      <c r="C812" s="2" t="n"/>
      <c r="D812" s="2" t="n"/>
      <c r="E812" s="2" t="n"/>
      <c r="F812" s="2" t="n"/>
      <c r="G812" s="2" t="n"/>
      <c r="H812" s="2" t="n"/>
      <c r="I812" s="2" t="n"/>
      <c r="J812" s="2" t="n"/>
      <c r="K812" s="2" t="n"/>
      <c r="L812" s="2" t="n"/>
      <c r="M812" s="2" t="n"/>
      <c r="N812" s="2" t="n"/>
      <c r="O812" s="2" t="n"/>
      <c r="P812" s="2" t="n"/>
      <c r="Q812" s="2" t="n"/>
      <c r="R812" s="2" t="n"/>
      <c r="S812" s="2" t="n"/>
    </row>
    <row r="813" ht="25" customHeight="1">
      <c r="A813" s="3" t="n"/>
      <c r="B813" s="3" t="n"/>
      <c r="C813" s="3" t="n"/>
      <c r="D813" s="3" t="n"/>
      <c r="E813" s="3" t="n"/>
      <c r="F813" s="3" t="n"/>
      <c r="G813" s="3" t="n"/>
      <c r="H813" s="3" t="n"/>
      <c r="I813" s="3" t="n"/>
      <c r="J813" s="3" t="n"/>
      <c r="K813" s="3" t="n"/>
      <c r="L813" s="3" t="n"/>
      <c r="M813" s="3" t="n"/>
      <c r="N813" s="3" t="n"/>
      <c r="O813" s="3" t="n"/>
      <c r="P813" s="3" t="n"/>
      <c r="Q813" s="3" t="n"/>
      <c r="R813" s="3" t="n"/>
      <c r="S813" s="3" t="n"/>
    </row>
    <row r="814" ht="25" customHeight="1">
      <c r="A814" s="2" t="n"/>
      <c r="B814" s="2" t="n"/>
      <c r="C814" s="2" t="n"/>
      <c r="D814" s="2" t="n"/>
      <c r="E814" s="2" t="n"/>
      <c r="F814" s="2" t="n"/>
      <c r="G814" s="2" t="n"/>
      <c r="H814" s="2" t="n"/>
      <c r="I814" s="2" t="n"/>
      <c r="J814" s="2" t="n"/>
      <c r="K814" s="2" t="n"/>
      <c r="L814" s="2" t="n"/>
      <c r="M814" s="2" t="n"/>
      <c r="N814" s="2" t="n"/>
      <c r="O814" s="2" t="n"/>
      <c r="P814" s="2" t="n"/>
      <c r="Q814" s="2" t="n"/>
      <c r="R814" s="2" t="n"/>
      <c r="S814" s="2" t="n"/>
    </row>
    <row r="815" ht="25" customHeight="1">
      <c r="A815" s="3" t="n"/>
      <c r="B815" s="3" t="n"/>
      <c r="C815" s="3" t="n"/>
      <c r="D815" s="3" t="n"/>
      <c r="E815" s="3" t="n"/>
      <c r="F815" s="3" t="n"/>
      <c r="G815" s="3" t="n"/>
      <c r="H815" s="3" t="n"/>
      <c r="I815" s="3" t="n"/>
      <c r="J815" s="3" t="n"/>
      <c r="K815" s="3" t="n"/>
      <c r="L815" s="3" t="n"/>
      <c r="M815" s="3" t="n"/>
      <c r="N815" s="3" t="n"/>
      <c r="O815" s="3" t="n"/>
      <c r="P815" s="3" t="n"/>
      <c r="Q815" s="3" t="n"/>
      <c r="R815" s="3" t="n"/>
      <c r="S815" s="3" t="n"/>
    </row>
    <row r="816" ht="25" customHeight="1">
      <c r="A816" s="2" t="n"/>
      <c r="B816" s="2" t="n"/>
      <c r="C816" s="2" t="n"/>
      <c r="D816" s="2" t="n"/>
      <c r="E816" s="2" t="n"/>
      <c r="F816" s="2" t="n"/>
      <c r="G816" s="2" t="n"/>
      <c r="H816" s="2" t="n"/>
      <c r="I816" s="2" t="n"/>
      <c r="J816" s="2" t="n"/>
      <c r="K816" s="2" t="n"/>
      <c r="L816" s="2" t="n"/>
      <c r="M816" s="2" t="n"/>
      <c r="N816" s="2" t="n"/>
      <c r="O816" s="2" t="n"/>
      <c r="P816" s="2" t="n"/>
      <c r="Q816" s="2" t="n"/>
      <c r="R816" s="2" t="n"/>
      <c r="S816" s="2" t="n"/>
    </row>
    <row r="817" ht="25" customHeight="1">
      <c r="A817" s="3" t="n"/>
      <c r="B817" s="3" t="n"/>
      <c r="C817" s="3" t="n"/>
      <c r="D817" s="3" t="n"/>
      <c r="E817" s="3" t="n"/>
      <c r="F817" s="3" t="n"/>
      <c r="G817" s="3" t="n"/>
      <c r="H817" s="3" t="n"/>
      <c r="I817" s="3" t="n"/>
      <c r="J817" s="3" t="n"/>
      <c r="K817" s="3" t="n"/>
      <c r="L817" s="3" t="n"/>
      <c r="M817" s="3" t="n"/>
      <c r="N817" s="3" t="n"/>
      <c r="O817" s="3" t="n"/>
      <c r="P817" s="3" t="n"/>
      <c r="Q817" s="3" t="n"/>
      <c r="R817" s="3" t="n"/>
      <c r="S817" s="3" t="n"/>
    </row>
    <row r="818" ht="25" customHeight="1">
      <c r="A818" s="2" t="n"/>
      <c r="B818" s="2" t="n"/>
      <c r="C818" s="2" t="n"/>
      <c r="D818" s="2" t="n"/>
      <c r="E818" s="2" t="n"/>
      <c r="F818" s="2" t="n"/>
      <c r="G818" s="2" t="n"/>
      <c r="H818" s="2" t="n"/>
      <c r="I818" s="2" t="n"/>
      <c r="J818" s="2" t="n"/>
      <c r="K818" s="2" t="n"/>
      <c r="L818" s="2" t="n"/>
      <c r="M818" s="2" t="n"/>
      <c r="N818" s="2" t="n"/>
      <c r="O818" s="2" t="n"/>
      <c r="P818" s="2" t="n"/>
      <c r="Q818" s="2" t="n"/>
      <c r="R818" s="2" t="n"/>
      <c r="S818" s="2" t="n"/>
    </row>
    <row r="819" ht="25" customHeight="1">
      <c r="A819" s="3" t="n"/>
      <c r="B819" s="3" t="n"/>
      <c r="C819" s="3" t="n"/>
      <c r="D819" s="3" t="n"/>
      <c r="E819" s="3" t="n"/>
      <c r="F819" s="3" t="n"/>
      <c r="G819" s="3" t="n"/>
      <c r="H819" s="3" t="n"/>
      <c r="I819" s="3" t="n"/>
      <c r="J819" s="3" t="n"/>
      <c r="K819" s="3" t="n"/>
      <c r="L819" s="3" t="n"/>
      <c r="M819" s="3" t="n"/>
      <c r="N819" s="3" t="n"/>
      <c r="O819" s="3" t="n"/>
      <c r="P819" s="3" t="n"/>
      <c r="Q819" s="3" t="n"/>
      <c r="R819" s="3" t="n"/>
      <c r="S819" s="3" t="n"/>
    </row>
    <row r="820" ht="25" customHeight="1">
      <c r="A820" s="2" t="n"/>
      <c r="B820" s="2" t="n"/>
      <c r="C820" s="2" t="n"/>
      <c r="D820" s="2" t="n"/>
      <c r="E820" s="2" t="n"/>
      <c r="F820" s="2" t="n"/>
      <c r="G820" s="2" t="n"/>
      <c r="H820" s="2" t="n"/>
      <c r="I820" s="2" t="n"/>
      <c r="J820" s="2" t="n"/>
      <c r="K820" s="2" t="n"/>
      <c r="L820" s="2" t="n"/>
      <c r="M820" s="2" t="n"/>
      <c r="N820" s="2" t="n"/>
      <c r="O820" s="2" t="n"/>
      <c r="P820" s="2" t="n"/>
      <c r="Q820" s="2" t="n"/>
      <c r="R820" s="2" t="n"/>
      <c r="S820" s="2" t="n"/>
    </row>
    <row r="821" ht="25" customHeight="1">
      <c r="A821" s="3" t="n"/>
      <c r="B821" s="3" t="n"/>
      <c r="C821" s="3" t="n"/>
      <c r="D821" s="3" t="n"/>
      <c r="E821" s="3" t="n"/>
      <c r="F821" s="3" t="n"/>
      <c r="G821" s="3" t="n"/>
      <c r="H821" s="3" t="n"/>
      <c r="I821" s="3" t="n"/>
      <c r="J821" s="3" t="n"/>
      <c r="K821" s="3" t="n"/>
      <c r="L821" s="3" t="n"/>
      <c r="M821" s="3" t="n"/>
      <c r="N821" s="3" t="n"/>
      <c r="O821" s="3" t="n"/>
      <c r="P821" s="3" t="n"/>
      <c r="Q821" s="3" t="n"/>
      <c r="R821" s="3" t="n"/>
      <c r="S821" s="3" t="n"/>
    </row>
    <row r="822" ht="25" customHeight="1">
      <c r="A822" s="2" t="n"/>
      <c r="B822" s="2" t="n"/>
      <c r="C822" s="2" t="n"/>
      <c r="D822" s="2" t="n"/>
      <c r="E822" s="2" t="n"/>
      <c r="F822" s="2" t="n"/>
      <c r="G822" s="2" t="n"/>
      <c r="H822" s="2" t="n"/>
      <c r="I822" s="2" t="n"/>
      <c r="J822" s="2" t="n"/>
      <c r="K822" s="2" t="n"/>
      <c r="L822" s="2" t="n"/>
      <c r="M822" s="2" t="n"/>
      <c r="N822" s="2" t="n"/>
      <c r="O822" s="2" t="n"/>
      <c r="P822" s="2" t="n"/>
      <c r="Q822" s="2" t="n"/>
      <c r="R822" s="2" t="n"/>
      <c r="S822" s="2" t="n"/>
    </row>
    <row r="823" ht="25" customHeight="1">
      <c r="A823" s="3" t="n"/>
      <c r="B823" s="3" t="n"/>
      <c r="C823" s="3" t="n"/>
      <c r="D823" s="3" t="n"/>
      <c r="E823" s="3" t="n"/>
      <c r="F823" s="3" t="n"/>
      <c r="G823" s="3" t="n"/>
      <c r="H823" s="3" t="n"/>
      <c r="I823" s="3" t="n"/>
      <c r="J823" s="3" t="n"/>
      <c r="K823" s="3" t="n"/>
      <c r="L823" s="3" t="n"/>
      <c r="M823" s="3" t="n"/>
      <c r="N823" s="3" t="n"/>
      <c r="O823" s="3" t="n"/>
      <c r="P823" s="3" t="n"/>
      <c r="Q823" s="3" t="n"/>
      <c r="R823" s="3" t="n"/>
      <c r="S823" s="3" t="n"/>
    </row>
    <row r="824" ht="25" customHeight="1">
      <c r="A824" s="2" t="n"/>
      <c r="B824" s="2" t="n"/>
      <c r="C824" s="2" t="n"/>
      <c r="D824" s="2" t="n"/>
      <c r="E824" s="2" t="n"/>
      <c r="F824" s="2" t="n"/>
      <c r="G824" s="2" t="n"/>
      <c r="H824" s="2" t="n"/>
      <c r="I824" s="2" t="n"/>
      <c r="J824" s="2" t="n"/>
      <c r="K824" s="2" t="n"/>
      <c r="L824" s="2" t="n"/>
      <c r="M824" s="2" t="n"/>
      <c r="N824" s="2" t="n"/>
      <c r="O824" s="2" t="n"/>
      <c r="P824" s="2" t="n"/>
      <c r="Q824" s="2" t="n"/>
      <c r="R824" s="2" t="n"/>
      <c r="S824" s="2" t="n"/>
    </row>
    <row r="825" ht="25" customHeight="1">
      <c r="A825" s="3" t="n"/>
      <c r="B825" s="3" t="n"/>
      <c r="C825" s="3" t="n"/>
      <c r="D825" s="3" t="n"/>
      <c r="E825" s="3" t="n"/>
      <c r="F825" s="3" t="n"/>
      <c r="G825" s="3" t="n"/>
      <c r="H825" s="3" t="n"/>
      <c r="I825" s="3" t="n"/>
      <c r="J825" s="3" t="n"/>
      <c r="K825" s="3" t="n"/>
      <c r="L825" s="3" t="n"/>
      <c r="M825" s="3" t="n"/>
      <c r="N825" s="3" t="n"/>
      <c r="O825" s="3" t="n"/>
      <c r="P825" s="3" t="n"/>
      <c r="Q825" s="3" t="n"/>
      <c r="R825" s="3" t="n"/>
      <c r="S825" s="3" t="n"/>
    </row>
    <row r="826" ht="25" customHeight="1">
      <c r="A826" s="2" t="n"/>
      <c r="B826" s="2" t="n"/>
      <c r="C826" s="2" t="n"/>
      <c r="D826" s="2" t="n"/>
      <c r="E826" s="2" t="n"/>
      <c r="F826" s="2" t="n"/>
      <c r="G826" s="2" t="n"/>
      <c r="H826" s="2" t="n"/>
      <c r="I826" s="2" t="n"/>
      <c r="J826" s="2" t="n"/>
      <c r="K826" s="2" t="n"/>
      <c r="L826" s="2" t="n"/>
      <c r="M826" s="2" t="n"/>
      <c r="N826" s="2" t="n"/>
      <c r="O826" s="2" t="n"/>
      <c r="P826" s="2" t="n"/>
      <c r="Q826" s="2" t="n"/>
      <c r="R826" s="2" t="n"/>
      <c r="S826" s="2" t="n"/>
    </row>
    <row r="827" ht="25" customHeight="1">
      <c r="A827" s="3" t="n"/>
      <c r="B827" s="3" t="n"/>
      <c r="C827" s="3" t="n"/>
      <c r="D827" s="3" t="n"/>
      <c r="E827" s="3" t="n"/>
      <c r="F827" s="3" t="n"/>
      <c r="G827" s="3" t="n"/>
      <c r="H827" s="3" t="n"/>
      <c r="I827" s="3" t="n"/>
      <c r="J827" s="3" t="n"/>
      <c r="K827" s="3" t="n"/>
      <c r="L827" s="3" t="n"/>
      <c r="M827" s="3" t="n"/>
      <c r="N827" s="3" t="n"/>
      <c r="O827" s="3" t="n"/>
      <c r="P827" s="3" t="n"/>
      <c r="Q827" s="3" t="n"/>
      <c r="R827" s="3" t="n"/>
      <c r="S827" s="3" t="n"/>
    </row>
    <row r="828" ht="25" customHeight="1">
      <c r="A828" s="2" t="n"/>
      <c r="B828" s="2" t="n"/>
      <c r="C828" s="2" t="n"/>
      <c r="D828" s="2" t="n"/>
      <c r="E828" s="2" t="n"/>
      <c r="F828" s="2" t="n"/>
      <c r="G828" s="2" t="n"/>
      <c r="H828" s="2" t="n"/>
      <c r="I828" s="2" t="n"/>
      <c r="J828" s="2" t="n"/>
      <c r="K828" s="2" t="n"/>
      <c r="L828" s="2" t="n"/>
      <c r="M828" s="2" t="n"/>
      <c r="N828" s="2" t="n"/>
      <c r="O828" s="2" t="n"/>
      <c r="P828" s="2" t="n"/>
      <c r="Q828" s="2" t="n"/>
      <c r="R828" s="2" t="n"/>
      <c r="S828" s="2" t="n"/>
    </row>
    <row r="829" ht="25" customHeight="1">
      <c r="A829" s="3" t="n"/>
      <c r="B829" s="3" t="n"/>
      <c r="C829" s="3" t="n"/>
      <c r="D829" s="3" t="n"/>
      <c r="E829" s="3" t="n"/>
      <c r="F829" s="3" t="n"/>
      <c r="G829" s="3" t="n"/>
      <c r="H829" s="3" t="n"/>
      <c r="I829" s="3" t="n"/>
      <c r="J829" s="3" t="n"/>
      <c r="K829" s="3" t="n"/>
      <c r="L829" s="3" t="n"/>
      <c r="M829" s="3" t="n"/>
      <c r="N829" s="3" t="n"/>
      <c r="O829" s="3" t="n"/>
      <c r="P829" s="3" t="n"/>
      <c r="Q829" s="3" t="n"/>
      <c r="R829" s="3" t="n"/>
      <c r="S829" s="3" t="n"/>
    </row>
    <row r="830" ht="25" customHeight="1">
      <c r="A830" s="2" t="n"/>
      <c r="B830" s="2" t="n"/>
      <c r="C830" s="2" t="n"/>
      <c r="D830" s="2" t="n"/>
      <c r="E830" s="2" t="n"/>
      <c r="F830" s="2" t="n"/>
      <c r="G830" s="2" t="n"/>
      <c r="H830" s="2" t="n"/>
      <c r="I830" s="2" t="n"/>
      <c r="J830" s="2" t="n"/>
      <c r="K830" s="2" t="n"/>
      <c r="L830" s="2" t="n"/>
      <c r="M830" s="2" t="n"/>
      <c r="N830" s="2" t="n"/>
      <c r="O830" s="2" t="n"/>
      <c r="P830" s="2" t="n"/>
      <c r="Q830" s="2" t="n"/>
      <c r="R830" s="2" t="n"/>
      <c r="S830" s="2" t="n"/>
    </row>
    <row r="831" ht="25" customHeight="1">
      <c r="A831" s="3" t="n"/>
      <c r="B831" s="3" t="n"/>
      <c r="C831" s="3" t="n"/>
      <c r="D831" s="3" t="n"/>
      <c r="E831" s="3" t="n"/>
      <c r="F831" s="3" t="n"/>
      <c r="G831" s="3" t="n"/>
      <c r="H831" s="3" t="n"/>
      <c r="I831" s="3" t="n"/>
      <c r="J831" s="3" t="n"/>
      <c r="K831" s="3" t="n"/>
      <c r="L831" s="3" t="n"/>
      <c r="M831" s="3" t="n"/>
      <c r="N831" s="3" t="n"/>
      <c r="O831" s="3" t="n"/>
      <c r="P831" s="3" t="n"/>
      <c r="Q831" s="3" t="n"/>
      <c r="R831" s="3" t="n"/>
      <c r="S831" s="3" t="n"/>
    </row>
    <row r="832" ht="25" customHeight="1">
      <c r="A832" s="2" t="n"/>
      <c r="B832" s="2" t="n"/>
      <c r="C832" s="2" t="n"/>
      <c r="D832" s="2" t="n"/>
      <c r="E832" s="2" t="n"/>
      <c r="F832" s="2" t="n"/>
      <c r="G832" s="2" t="n"/>
      <c r="H832" s="2" t="n"/>
      <c r="I832" s="2" t="n"/>
      <c r="J832" s="2" t="n"/>
      <c r="K832" s="2" t="n"/>
      <c r="L832" s="2" t="n"/>
      <c r="M832" s="2" t="n"/>
      <c r="N832" s="2" t="n"/>
      <c r="O832" s="2" t="n"/>
      <c r="P832" s="2" t="n"/>
      <c r="Q832" s="2" t="n"/>
      <c r="R832" s="2" t="n"/>
      <c r="S832" s="2" t="n"/>
    </row>
    <row r="833" ht="25" customHeight="1">
      <c r="A833" s="3" t="n"/>
      <c r="B833" s="3" t="n"/>
      <c r="C833" s="3" t="n"/>
      <c r="D833" s="3" t="n"/>
      <c r="E833" s="3" t="n"/>
      <c r="F833" s="3" t="n"/>
      <c r="G833" s="3" t="n"/>
      <c r="H833" s="3" t="n"/>
      <c r="I833" s="3" t="n"/>
      <c r="J833" s="3" t="n"/>
      <c r="K833" s="3" t="n"/>
      <c r="L833" s="3" t="n"/>
      <c r="M833" s="3" t="n"/>
      <c r="N833" s="3" t="n"/>
      <c r="O833" s="3" t="n"/>
      <c r="P833" s="3" t="n"/>
      <c r="Q833" s="3" t="n"/>
      <c r="R833" s="3" t="n"/>
      <c r="S833" s="3" t="n"/>
    </row>
    <row r="834" ht="25" customHeight="1">
      <c r="A834" s="2" t="n"/>
      <c r="B834" s="2" t="n"/>
      <c r="C834" s="2" t="n"/>
      <c r="D834" s="2" t="n"/>
      <c r="E834" s="2" t="n"/>
      <c r="F834" s="2" t="n"/>
      <c r="G834" s="2" t="n"/>
      <c r="H834" s="2" t="n"/>
      <c r="I834" s="2" t="n"/>
      <c r="J834" s="2" t="n"/>
      <c r="K834" s="2" t="n"/>
      <c r="L834" s="2" t="n"/>
      <c r="M834" s="2" t="n"/>
      <c r="N834" s="2" t="n"/>
      <c r="O834" s="2" t="n"/>
      <c r="P834" s="2" t="n"/>
      <c r="Q834" s="2" t="n"/>
      <c r="R834" s="2" t="n"/>
      <c r="S834" s="2" t="n"/>
    </row>
    <row r="835" ht="25" customHeight="1">
      <c r="A835" s="3" t="n"/>
      <c r="B835" s="3" t="n"/>
      <c r="C835" s="3" t="n"/>
      <c r="D835" s="3" t="n"/>
      <c r="E835" s="3" t="n"/>
      <c r="F835" s="3" t="n"/>
      <c r="G835" s="3" t="n"/>
      <c r="H835" s="3" t="n"/>
      <c r="I835" s="3" t="n"/>
      <c r="J835" s="3" t="n"/>
      <c r="K835" s="3" t="n"/>
      <c r="L835" s="3" t="n"/>
      <c r="M835" s="3" t="n"/>
      <c r="N835" s="3" t="n"/>
      <c r="O835" s="3" t="n"/>
      <c r="P835" s="3" t="n"/>
      <c r="Q835" s="3" t="n"/>
      <c r="R835" s="3" t="n"/>
      <c r="S835" s="3" t="n"/>
    </row>
    <row r="836" ht="25" customHeight="1">
      <c r="A836" s="2" t="n"/>
      <c r="B836" s="2" t="n"/>
      <c r="C836" s="2" t="n"/>
      <c r="D836" s="2" t="n"/>
      <c r="E836" s="2" t="n"/>
      <c r="F836" s="2" t="n"/>
      <c r="G836" s="2" t="n"/>
      <c r="H836" s="2" t="n"/>
      <c r="I836" s="2" t="n"/>
      <c r="J836" s="2" t="n"/>
      <c r="K836" s="2" t="n"/>
      <c r="L836" s="2" t="n"/>
      <c r="M836" s="2" t="n"/>
      <c r="N836" s="2" t="n"/>
      <c r="O836" s="2" t="n"/>
      <c r="P836" s="2" t="n"/>
      <c r="Q836" s="2" t="n"/>
      <c r="R836" s="2" t="n"/>
      <c r="S836" s="2" t="n"/>
    </row>
    <row r="837" ht="25" customHeight="1">
      <c r="A837" s="3" t="n"/>
      <c r="B837" s="3" t="n"/>
      <c r="C837" s="3" t="n"/>
      <c r="D837" s="3" t="n"/>
      <c r="E837" s="3" t="n"/>
      <c r="F837" s="3" t="n"/>
      <c r="G837" s="3" t="n"/>
      <c r="H837" s="3" t="n"/>
      <c r="I837" s="3" t="n"/>
      <c r="J837" s="3" t="n"/>
      <c r="K837" s="3" t="n"/>
      <c r="L837" s="3" t="n"/>
      <c r="M837" s="3" t="n"/>
      <c r="N837" s="3" t="n"/>
      <c r="O837" s="3" t="n"/>
      <c r="P837" s="3" t="n"/>
      <c r="Q837" s="3" t="n"/>
      <c r="R837" s="3" t="n"/>
      <c r="S837" s="3" t="n"/>
    </row>
    <row r="838" ht="25" customHeight="1">
      <c r="A838" s="2" t="n"/>
      <c r="B838" s="2" t="n"/>
      <c r="C838" s="2" t="n"/>
      <c r="D838" s="2" t="n"/>
      <c r="E838" s="2" t="n"/>
      <c r="F838" s="2" t="n"/>
      <c r="G838" s="2" t="n"/>
      <c r="H838" s="2" t="n"/>
      <c r="I838" s="2" t="n"/>
      <c r="J838" s="2" t="n"/>
      <c r="K838" s="2" t="n"/>
      <c r="L838" s="2" t="n"/>
      <c r="M838" s="2" t="n"/>
      <c r="N838" s="2" t="n"/>
      <c r="O838" s="2" t="n"/>
      <c r="P838" s="2" t="n"/>
      <c r="Q838" s="2" t="n"/>
      <c r="R838" s="2" t="n"/>
      <c r="S838" s="2" t="n"/>
    </row>
    <row r="839" ht="25" customHeight="1">
      <c r="A839" s="3" t="n"/>
      <c r="B839" s="3" t="n"/>
      <c r="C839" s="3" t="n"/>
      <c r="D839" s="3" t="n"/>
      <c r="E839" s="3" t="n"/>
      <c r="F839" s="3" t="n"/>
      <c r="G839" s="3" t="n"/>
      <c r="H839" s="3" t="n"/>
      <c r="I839" s="3" t="n"/>
      <c r="J839" s="3" t="n"/>
      <c r="K839" s="3" t="n"/>
      <c r="L839" s="3" t="n"/>
      <c r="M839" s="3" t="n"/>
      <c r="N839" s="3" t="n"/>
      <c r="O839" s="3" t="n"/>
      <c r="P839" s="3" t="n"/>
      <c r="Q839" s="3" t="n"/>
      <c r="R839" s="3" t="n"/>
      <c r="S839" s="3" t="n"/>
    </row>
    <row r="840" ht="25" customHeight="1">
      <c r="A840" s="2" t="n"/>
      <c r="B840" s="2" t="n"/>
      <c r="C840" s="2" t="n"/>
      <c r="D840" s="2" t="n"/>
      <c r="E840" s="2" t="n"/>
      <c r="F840" s="2" t="n"/>
      <c r="G840" s="2" t="n"/>
      <c r="H840" s="2" t="n"/>
      <c r="I840" s="2" t="n"/>
      <c r="J840" s="2" t="n"/>
      <c r="K840" s="2" t="n"/>
      <c r="L840" s="2" t="n"/>
      <c r="M840" s="2" t="n"/>
      <c r="N840" s="2" t="n"/>
      <c r="O840" s="2" t="n"/>
      <c r="P840" s="2" t="n"/>
      <c r="Q840" s="2" t="n"/>
      <c r="R840" s="2" t="n"/>
      <c r="S840" s="2" t="n"/>
    </row>
    <row r="841" ht="25" customHeight="1">
      <c r="A841" s="3" t="n"/>
      <c r="B841" s="3" t="n"/>
      <c r="C841" s="3" t="n"/>
      <c r="D841" s="3" t="n"/>
      <c r="E841" s="3" t="n"/>
      <c r="F841" s="3" t="n"/>
      <c r="G841" s="3" t="n"/>
      <c r="H841" s="3" t="n"/>
      <c r="I841" s="3" t="n"/>
      <c r="J841" s="3" t="n"/>
      <c r="K841" s="3" t="n"/>
      <c r="L841" s="3" t="n"/>
      <c r="M841" s="3" t="n"/>
      <c r="N841" s="3" t="n"/>
      <c r="O841" s="3" t="n"/>
      <c r="P841" s="3" t="n"/>
      <c r="Q841" s="3" t="n"/>
      <c r="R841" s="3" t="n"/>
      <c r="S841" s="3" t="n"/>
    </row>
    <row r="842" ht="25" customHeight="1">
      <c r="A842" s="2" t="n"/>
      <c r="B842" s="2" t="n"/>
      <c r="C842" s="2" t="n"/>
      <c r="D842" s="2" t="n"/>
      <c r="E842" s="2" t="n"/>
      <c r="F842" s="2" t="n"/>
      <c r="G842" s="2" t="n"/>
      <c r="H842" s="2" t="n"/>
      <c r="I842" s="2" t="n"/>
      <c r="J842" s="2" t="n"/>
      <c r="K842" s="2" t="n"/>
      <c r="L842" s="2" t="n"/>
      <c r="M842" s="2" t="n"/>
      <c r="N842" s="2" t="n"/>
      <c r="O842" s="2" t="n"/>
      <c r="P842" s="2" t="n"/>
      <c r="Q842" s="2" t="n"/>
      <c r="R842" s="2" t="n"/>
      <c r="S842" s="2" t="n"/>
    </row>
    <row r="843" ht="25" customHeight="1">
      <c r="A843" s="3" t="n"/>
      <c r="B843" s="3" t="n"/>
      <c r="C843" s="3" t="n"/>
      <c r="D843" s="3" t="n"/>
      <c r="E843" s="3" t="n"/>
      <c r="F843" s="3" t="n"/>
      <c r="G843" s="3" t="n"/>
      <c r="H843" s="3" t="n"/>
      <c r="I843" s="3" t="n"/>
      <c r="J843" s="3" t="n"/>
      <c r="K843" s="3" t="n"/>
      <c r="L843" s="3" t="n"/>
      <c r="M843" s="3" t="n"/>
      <c r="N843" s="3" t="n"/>
      <c r="O843" s="3" t="n"/>
      <c r="P843" s="3" t="n"/>
      <c r="Q843" s="3" t="n"/>
      <c r="R843" s="3" t="n"/>
      <c r="S843" s="3" t="n"/>
    </row>
    <row r="844" ht="25" customHeight="1">
      <c r="A844" s="2" t="n"/>
      <c r="B844" s="2" t="n"/>
      <c r="C844" s="2" t="n"/>
      <c r="D844" s="2" t="n"/>
      <c r="E844" s="2" t="n"/>
      <c r="F844" s="2" t="n"/>
      <c r="G844" s="2" t="n"/>
      <c r="H844" s="2" t="n"/>
      <c r="I844" s="2" t="n"/>
      <c r="J844" s="2" t="n"/>
      <c r="K844" s="2" t="n"/>
      <c r="L844" s="2" t="n"/>
      <c r="M844" s="2" t="n"/>
      <c r="N844" s="2" t="n"/>
      <c r="O844" s="2" t="n"/>
      <c r="P844" s="2" t="n"/>
      <c r="Q844" s="2" t="n"/>
      <c r="R844" s="2" t="n"/>
      <c r="S844" s="2" t="n"/>
    </row>
    <row r="845" ht="25" customHeight="1">
      <c r="A845" s="3" t="n"/>
      <c r="B845" s="3" t="n"/>
      <c r="C845" s="3" t="n"/>
      <c r="D845" s="3" t="n"/>
      <c r="E845" s="3" t="n"/>
      <c r="F845" s="3" t="n"/>
      <c r="G845" s="3" t="n"/>
      <c r="H845" s="3" t="n"/>
      <c r="I845" s="3" t="n"/>
      <c r="J845" s="3" t="n"/>
      <c r="K845" s="3" t="n"/>
      <c r="L845" s="3" t="n"/>
      <c r="M845" s="3" t="n"/>
      <c r="N845" s="3" t="n"/>
      <c r="O845" s="3" t="n"/>
      <c r="P845" s="3" t="n"/>
      <c r="Q845" s="3" t="n"/>
      <c r="R845" s="3" t="n"/>
      <c r="S845" s="3" t="n"/>
    </row>
    <row r="846" ht="25" customHeight="1">
      <c r="A846" s="2" t="n"/>
      <c r="B846" s="2" t="n"/>
      <c r="C846" s="2" t="n"/>
      <c r="D846" s="2" t="n"/>
      <c r="E846" s="2" t="n"/>
      <c r="F846" s="2" t="n"/>
      <c r="G846" s="2" t="n"/>
      <c r="H846" s="2" t="n"/>
      <c r="I846" s="2" t="n"/>
      <c r="J846" s="2" t="n"/>
      <c r="K846" s="2" t="n"/>
      <c r="L846" s="2" t="n"/>
      <c r="M846" s="2" t="n"/>
      <c r="N846" s="2" t="n"/>
      <c r="O846" s="2" t="n"/>
      <c r="P846" s="2" t="n"/>
      <c r="Q846" s="2" t="n"/>
      <c r="R846" s="2" t="n"/>
      <c r="S846" s="2" t="n"/>
    </row>
    <row r="847" ht="25" customHeight="1">
      <c r="A847" s="3" t="n"/>
      <c r="B847" s="3" t="n"/>
      <c r="C847" s="3" t="n"/>
      <c r="D847" s="3" t="n"/>
      <c r="E847" s="3" t="n"/>
      <c r="F847" s="3" t="n"/>
      <c r="G847" s="3" t="n"/>
      <c r="H847" s="3" t="n"/>
      <c r="I847" s="3" t="n"/>
      <c r="J847" s="3" t="n"/>
      <c r="K847" s="3" t="n"/>
      <c r="L847" s="3" t="n"/>
      <c r="M847" s="3" t="n"/>
      <c r="N847" s="3" t="n"/>
      <c r="O847" s="3" t="n"/>
      <c r="P847" s="3" t="n"/>
      <c r="Q847" s="3" t="n"/>
      <c r="R847" s="3" t="n"/>
      <c r="S847" s="3" t="n"/>
    </row>
    <row r="848" ht="25" customHeight="1">
      <c r="A848" s="2" t="n"/>
      <c r="B848" s="2" t="n"/>
      <c r="C848" s="2" t="n"/>
      <c r="D848" s="2" t="n"/>
      <c r="E848" s="2" t="n"/>
      <c r="F848" s="2" t="n"/>
      <c r="G848" s="2" t="n"/>
      <c r="H848" s="2" t="n"/>
      <c r="I848" s="2" t="n"/>
      <c r="J848" s="2" t="n"/>
      <c r="K848" s="2" t="n"/>
      <c r="L848" s="2" t="n"/>
      <c r="M848" s="2" t="n"/>
      <c r="N848" s="2" t="n"/>
      <c r="O848" s="2" t="n"/>
      <c r="P848" s="2" t="n"/>
      <c r="Q848" s="2" t="n"/>
      <c r="R848" s="2" t="n"/>
      <c r="S848" s="2" t="n"/>
    </row>
    <row r="849" ht="25" customHeight="1">
      <c r="A849" s="3" t="n"/>
      <c r="B849" s="3" t="n"/>
      <c r="C849" s="3" t="n"/>
      <c r="D849" s="3" t="n"/>
      <c r="E849" s="3" t="n"/>
      <c r="F849" s="3" t="n"/>
      <c r="G849" s="3" t="n"/>
      <c r="H849" s="3" t="n"/>
      <c r="I849" s="3" t="n"/>
      <c r="J849" s="3" t="n"/>
      <c r="K849" s="3" t="n"/>
      <c r="L849" s="3" t="n"/>
      <c r="M849" s="3" t="n"/>
      <c r="N849" s="3" t="n"/>
      <c r="O849" s="3" t="n"/>
      <c r="P849" s="3" t="n"/>
      <c r="Q849" s="3" t="n"/>
      <c r="R849" s="3" t="n"/>
      <c r="S849" s="3" t="n"/>
    </row>
    <row r="850" ht="25" customHeight="1">
      <c r="A850" s="2" t="n"/>
      <c r="B850" s="2" t="n"/>
      <c r="C850" s="2" t="n"/>
      <c r="D850" s="2" t="n"/>
      <c r="E850" s="2" t="n"/>
      <c r="F850" s="2" t="n"/>
      <c r="G850" s="2" t="n"/>
      <c r="H850" s="2" t="n"/>
      <c r="I850" s="2" t="n"/>
      <c r="J850" s="2" t="n"/>
      <c r="K850" s="2" t="n"/>
      <c r="L850" s="2" t="n"/>
      <c r="M850" s="2" t="n"/>
      <c r="N850" s="2" t="n"/>
      <c r="O850" s="2" t="n"/>
      <c r="P850" s="2" t="n"/>
      <c r="Q850" s="2" t="n"/>
      <c r="R850" s="2" t="n"/>
      <c r="S850" s="2" t="n"/>
    </row>
    <row r="851" ht="25" customHeight="1">
      <c r="A851" s="3" t="n"/>
      <c r="B851" s="3" t="n"/>
      <c r="C851" s="3" t="n"/>
      <c r="D851" s="3" t="n"/>
      <c r="E851" s="3" t="n"/>
      <c r="F851" s="3" t="n"/>
      <c r="G851" s="3" t="n"/>
      <c r="H851" s="3" t="n"/>
      <c r="I851" s="3" t="n"/>
      <c r="J851" s="3" t="n"/>
      <c r="K851" s="3" t="n"/>
      <c r="L851" s="3" t="n"/>
      <c r="M851" s="3" t="n"/>
      <c r="N851" s="3" t="n"/>
      <c r="O851" s="3" t="n"/>
      <c r="P851" s="3" t="n"/>
      <c r="Q851" s="3" t="n"/>
      <c r="R851" s="3" t="n"/>
      <c r="S851" s="3" t="n"/>
    </row>
    <row r="852" ht="25" customHeight="1">
      <c r="A852" s="2" t="n"/>
      <c r="B852" s="2" t="n"/>
      <c r="C852" s="2" t="n"/>
      <c r="D852" s="2" t="n"/>
      <c r="E852" s="2" t="n"/>
      <c r="F852" s="2" t="n"/>
      <c r="G852" s="2" t="n"/>
      <c r="H852" s="2" t="n"/>
      <c r="I852" s="2" t="n"/>
      <c r="J852" s="2" t="n"/>
      <c r="K852" s="2" t="n"/>
      <c r="L852" s="2" t="n"/>
      <c r="M852" s="2" t="n"/>
      <c r="N852" s="2" t="n"/>
      <c r="O852" s="2" t="n"/>
      <c r="P852" s="2" t="n"/>
      <c r="Q852" s="2" t="n"/>
      <c r="R852" s="2" t="n"/>
      <c r="S852" s="2" t="n"/>
    </row>
    <row r="853" ht="25" customHeight="1">
      <c r="A853" s="3" t="n"/>
      <c r="B853" s="3" t="n"/>
      <c r="C853" s="3" t="n"/>
      <c r="D853" s="3" t="n"/>
      <c r="E853" s="3" t="n"/>
      <c r="F853" s="3" t="n"/>
      <c r="G853" s="3" t="n"/>
      <c r="H853" s="3" t="n"/>
      <c r="I853" s="3" t="n"/>
      <c r="J853" s="3" t="n"/>
      <c r="K853" s="3" t="n"/>
      <c r="L853" s="3" t="n"/>
      <c r="M853" s="3" t="n"/>
      <c r="N853" s="3" t="n"/>
      <c r="O853" s="3" t="n"/>
      <c r="P853" s="3" t="n"/>
      <c r="Q853" s="3" t="n"/>
      <c r="R853" s="3" t="n"/>
      <c r="S853" s="3" t="n"/>
    </row>
    <row r="854" ht="25" customHeight="1">
      <c r="A854" s="2" t="n"/>
      <c r="B854" s="2" t="n"/>
      <c r="C854" s="2" t="n"/>
      <c r="D854" s="2" t="n"/>
      <c r="E854" s="2" t="n"/>
      <c r="F854" s="2" t="n"/>
      <c r="G854" s="2" t="n"/>
      <c r="H854" s="2" t="n"/>
      <c r="I854" s="2" t="n"/>
      <c r="J854" s="2" t="n"/>
      <c r="K854" s="2" t="n"/>
      <c r="L854" s="2" t="n"/>
      <c r="M854" s="2" t="n"/>
      <c r="N854" s="2" t="n"/>
      <c r="O854" s="2" t="n"/>
      <c r="P854" s="2" t="n"/>
      <c r="Q854" s="2" t="n"/>
      <c r="R854" s="2" t="n"/>
      <c r="S854" s="2" t="n"/>
    </row>
    <row r="855" ht="25" customHeight="1">
      <c r="A855" s="3" t="n"/>
      <c r="B855" s="3" t="n"/>
      <c r="C855" s="3" t="n"/>
      <c r="D855" s="3" t="n"/>
      <c r="E855" s="3" t="n"/>
      <c r="F855" s="3" t="n"/>
      <c r="G855" s="3" t="n"/>
      <c r="H855" s="3" t="n"/>
      <c r="I855" s="3" t="n"/>
      <c r="J855" s="3" t="n"/>
      <c r="K855" s="3" t="n"/>
      <c r="L855" s="3" t="n"/>
      <c r="M855" s="3" t="n"/>
      <c r="N855" s="3" t="n"/>
      <c r="O855" s="3" t="n"/>
      <c r="P855" s="3" t="n"/>
      <c r="Q855" s="3" t="n"/>
      <c r="R855" s="3" t="n"/>
      <c r="S855" s="3" t="n"/>
    </row>
    <row r="856" ht="25" customHeight="1">
      <c r="A856" s="2" t="n"/>
      <c r="B856" s="2" t="n"/>
      <c r="C856" s="2" t="n"/>
      <c r="D856" s="2" t="n"/>
      <c r="E856" s="2" t="n"/>
      <c r="F856" s="2" t="n"/>
      <c r="G856" s="2" t="n"/>
      <c r="H856" s="2" t="n"/>
      <c r="I856" s="2" t="n"/>
      <c r="J856" s="2" t="n"/>
      <c r="K856" s="2" t="n"/>
      <c r="L856" s="2" t="n"/>
      <c r="M856" s="2" t="n"/>
      <c r="N856" s="2" t="n"/>
      <c r="O856" s="2" t="n"/>
      <c r="P856" s="2" t="n"/>
      <c r="Q856" s="2" t="n"/>
      <c r="R856" s="2" t="n"/>
      <c r="S856" s="2" t="n"/>
    </row>
    <row r="857" ht="25" customHeight="1">
      <c r="A857" s="3" t="n"/>
      <c r="B857" s="3" t="n"/>
      <c r="C857" s="3" t="n"/>
      <c r="D857" s="3" t="n"/>
      <c r="E857" s="3" t="n"/>
      <c r="F857" s="3" t="n"/>
      <c r="G857" s="3" t="n"/>
      <c r="H857" s="3" t="n"/>
      <c r="I857" s="3" t="n"/>
      <c r="J857" s="3" t="n"/>
      <c r="K857" s="3" t="n"/>
      <c r="L857" s="3" t="n"/>
      <c r="M857" s="3" t="n"/>
      <c r="N857" s="3" t="n"/>
      <c r="O857" s="3" t="n"/>
      <c r="P857" s="3" t="n"/>
      <c r="Q857" s="3" t="n"/>
      <c r="R857" s="3" t="n"/>
      <c r="S857" s="3" t="n"/>
    </row>
    <row r="858" ht="25" customHeight="1">
      <c r="A858" s="2" t="n"/>
      <c r="B858" s="2" t="n"/>
      <c r="C858" s="2" t="n"/>
      <c r="D858" s="2" t="n"/>
      <c r="E858" s="2" t="n"/>
      <c r="F858" s="2" t="n"/>
      <c r="G858" s="2" t="n"/>
      <c r="H858" s="2" t="n"/>
      <c r="I858" s="2" t="n"/>
      <c r="J858" s="2" t="n"/>
      <c r="K858" s="2" t="n"/>
      <c r="L858" s="2" t="n"/>
      <c r="M858" s="2" t="n"/>
      <c r="N858" s="2" t="n"/>
      <c r="O858" s="2" t="n"/>
      <c r="P858" s="2" t="n"/>
      <c r="Q858" s="2" t="n"/>
      <c r="R858" s="2" t="n"/>
      <c r="S858" s="2" t="n"/>
    </row>
    <row r="859" ht="25" customHeight="1">
      <c r="A859" s="3" t="n"/>
      <c r="B859" s="3" t="n"/>
      <c r="C859" s="3" t="n"/>
      <c r="D859" s="3" t="n"/>
      <c r="E859" s="3" t="n"/>
      <c r="F859" s="3" t="n"/>
      <c r="G859" s="3" t="n"/>
      <c r="H859" s="3" t="n"/>
      <c r="I859" s="3" t="n"/>
      <c r="J859" s="3" t="n"/>
      <c r="K859" s="3" t="n"/>
      <c r="L859" s="3" t="n"/>
      <c r="M859" s="3" t="n"/>
      <c r="N859" s="3" t="n"/>
      <c r="O859" s="3" t="n"/>
      <c r="P859" s="3" t="n"/>
      <c r="Q859" s="3" t="n"/>
      <c r="R859" s="3" t="n"/>
      <c r="S859" s="3" t="n"/>
    </row>
    <row r="860" ht="25" customHeight="1">
      <c r="A860" s="2" t="n"/>
      <c r="B860" s="2" t="n"/>
      <c r="C860" s="2" t="n"/>
      <c r="D860" s="2" t="n"/>
      <c r="E860" s="2" t="n"/>
      <c r="F860" s="2" t="n"/>
      <c r="G860" s="2" t="n"/>
      <c r="H860" s="2" t="n"/>
      <c r="I860" s="2" t="n"/>
      <c r="J860" s="2" t="n"/>
      <c r="K860" s="2" t="n"/>
      <c r="L860" s="2" t="n"/>
      <c r="M860" s="2" t="n"/>
      <c r="N860" s="2" t="n"/>
      <c r="O860" s="2" t="n"/>
      <c r="P860" s="2" t="n"/>
      <c r="Q860" s="2" t="n"/>
      <c r="R860" s="2" t="n"/>
      <c r="S860" s="2" t="n"/>
    </row>
    <row r="861" ht="25" customHeight="1">
      <c r="A861" s="3" t="n"/>
      <c r="B861" s="3" t="n"/>
      <c r="C861" s="3" t="n"/>
      <c r="D861" s="3" t="n"/>
      <c r="E861" s="3" t="n"/>
      <c r="F861" s="3" t="n"/>
      <c r="G861" s="3" t="n"/>
      <c r="H861" s="3" t="n"/>
      <c r="I861" s="3" t="n"/>
      <c r="J861" s="3" t="n"/>
      <c r="K861" s="3" t="n"/>
      <c r="L861" s="3" t="n"/>
      <c r="M861" s="3" t="n"/>
      <c r="N861" s="3" t="n"/>
      <c r="O861" s="3" t="n"/>
      <c r="P861" s="3" t="n"/>
      <c r="Q861" s="3" t="n"/>
      <c r="R861" s="3" t="n"/>
      <c r="S861" s="3" t="n"/>
    </row>
    <row r="862" ht="25" customHeight="1">
      <c r="A862" s="2" t="n"/>
      <c r="B862" s="2" t="n"/>
      <c r="C862" s="2" t="n"/>
      <c r="D862" s="2" t="n"/>
      <c r="E862" s="2" t="n"/>
      <c r="F862" s="2" t="n"/>
      <c r="G862" s="2" t="n"/>
      <c r="H862" s="2" t="n"/>
      <c r="I862" s="2" t="n"/>
      <c r="J862" s="2" t="n"/>
      <c r="K862" s="2" t="n"/>
      <c r="L862" s="2" t="n"/>
      <c r="M862" s="2" t="n"/>
      <c r="N862" s="2" t="n"/>
      <c r="O862" s="2" t="n"/>
      <c r="P862" s="2" t="n"/>
      <c r="Q862" s="2" t="n"/>
      <c r="R862" s="2" t="n"/>
      <c r="S862" s="2" t="n"/>
    </row>
    <row r="863" ht="25" customHeight="1">
      <c r="A863" s="3" t="n"/>
      <c r="B863" s="3" t="n"/>
      <c r="C863" s="3" t="n"/>
      <c r="D863" s="3" t="n"/>
      <c r="E863" s="3" t="n"/>
      <c r="F863" s="3" t="n"/>
      <c r="G863" s="3" t="n"/>
      <c r="H863" s="3" t="n"/>
      <c r="I863" s="3" t="n"/>
      <c r="J863" s="3" t="n"/>
      <c r="K863" s="3" t="n"/>
      <c r="L863" s="3" t="n"/>
      <c r="M863" s="3" t="n"/>
      <c r="N863" s="3" t="n"/>
      <c r="O863" s="3" t="n"/>
      <c r="P863" s="3" t="n"/>
      <c r="Q863" s="3" t="n"/>
      <c r="R863" s="3" t="n"/>
      <c r="S863" s="3" t="n"/>
    </row>
    <row r="864" ht="25" customHeight="1">
      <c r="A864" s="2" t="n"/>
      <c r="B864" s="2" t="n"/>
      <c r="C864" s="2" t="n"/>
      <c r="D864" s="2" t="n"/>
      <c r="E864" s="2" t="n"/>
      <c r="F864" s="2" t="n"/>
      <c r="G864" s="2" t="n"/>
      <c r="H864" s="2" t="n"/>
      <c r="I864" s="2" t="n"/>
      <c r="J864" s="2" t="n"/>
      <c r="K864" s="2" t="n"/>
      <c r="L864" s="2" t="n"/>
      <c r="M864" s="2" t="n"/>
      <c r="N864" s="2" t="n"/>
      <c r="O864" s="2" t="n"/>
      <c r="P864" s="2" t="n"/>
      <c r="Q864" s="2" t="n"/>
      <c r="R864" s="2" t="n"/>
      <c r="S864" s="2" t="n"/>
    </row>
    <row r="865" ht="25" customHeight="1">
      <c r="A865" s="3" t="n"/>
      <c r="B865" s="3" t="n"/>
      <c r="C865" s="3" t="n"/>
      <c r="D865" s="3" t="n"/>
      <c r="E865" s="3" t="n"/>
      <c r="F865" s="3" t="n"/>
      <c r="G865" s="3" t="n"/>
      <c r="H865" s="3" t="n"/>
      <c r="I865" s="3" t="n"/>
      <c r="J865" s="3" t="n"/>
      <c r="K865" s="3" t="n"/>
      <c r="L865" s="3" t="n"/>
      <c r="M865" s="3" t="n"/>
      <c r="N865" s="3" t="n"/>
      <c r="O865" s="3" t="n"/>
      <c r="P865" s="3" t="n"/>
      <c r="Q865" s="3" t="n"/>
      <c r="R865" s="3" t="n"/>
      <c r="S865" s="3" t="n"/>
    </row>
    <row r="866" ht="25" customHeight="1">
      <c r="A866" s="2" t="n"/>
      <c r="B866" s="2" t="n"/>
      <c r="C866" s="2" t="n"/>
      <c r="D866" s="2" t="n"/>
      <c r="E866" s="2" t="n"/>
      <c r="F866" s="2" t="n"/>
      <c r="G866" s="2" t="n"/>
      <c r="H866" s="2" t="n"/>
      <c r="I866" s="2" t="n"/>
      <c r="J866" s="2" t="n"/>
      <c r="K866" s="2" t="n"/>
      <c r="L866" s="2" t="n"/>
      <c r="M866" s="2" t="n"/>
      <c r="N866" s="2" t="n"/>
      <c r="O866" s="2" t="n"/>
      <c r="P866" s="2" t="n"/>
      <c r="Q866" s="2" t="n"/>
      <c r="R866" s="2" t="n"/>
      <c r="S866" s="2" t="n"/>
    </row>
    <row r="867" ht="25" customHeight="1">
      <c r="A867" s="3" t="n"/>
      <c r="B867" s="3" t="n"/>
      <c r="C867" s="3" t="n"/>
      <c r="D867" s="3" t="n"/>
      <c r="E867" s="3" t="n"/>
      <c r="F867" s="3" t="n"/>
      <c r="G867" s="3" t="n"/>
      <c r="H867" s="3" t="n"/>
      <c r="I867" s="3" t="n"/>
      <c r="J867" s="3" t="n"/>
      <c r="K867" s="3" t="n"/>
      <c r="L867" s="3" t="n"/>
      <c r="M867" s="3" t="n"/>
      <c r="N867" s="3" t="n"/>
      <c r="O867" s="3" t="n"/>
      <c r="P867" s="3" t="n"/>
      <c r="Q867" s="3" t="n"/>
      <c r="R867" s="3" t="n"/>
      <c r="S867" s="3" t="n"/>
    </row>
    <row r="868" ht="25" customHeight="1">
      <c r="A868" s="2" t="n"/>
      <c r="B868" s="2" t="n"/>
      <c r="C868" s="2" t="n"/>
      <c r="D868" s="2" t="n"/>
      <c r="E868" s="2" t="n"/>
      <c r="F868" s="2" t="n"/>
      <c r="G868" s="2" t="n"/>
      <c r="H868" s="2" t="n"/>
      <c r="I868" s="2" t="n"/>
      <c r="J868" s="2" t="n"/>
      <c r="K868" s="2" t="n"/>
      <c r="L868" s="2" t="n"/>
      <c r="M868" s="2" t="n"/>
      <c r="N868" s="2" t="n"/>
      <c r="O868" s="2" t="n"/>
      <c r="P868" s="2" t="n"/>
      <c r="Q868" s="2" t="n"/>
      <c r="R868" s="2" t="n"/>
      <c r="S868" s="2" t="n"/>
    </row>
    <row r="869" ht="25" customHeight="1">
      <c r="A869" s="3" t="n"/>
      <c r="B869" s="3" t="n"/>
      <c r="C869" s="3" t="n"/>
      <c r="D869" s="3" t="n"/>
      <c r="E869" s="3" t="n"/>
      <c r="F869" s="3" t="n"/>
      <c r="G869" s="3" t="n"/>
      <c r="H869" s="3" t="n"/>
      <c r="I869" s="3" t="n"/>
      <c r="J869" s="3" t="n"/>
      <c r="K869" s="3" t="n"/>
      <c r="L869" s="3" t="n"/>
      <c r="M869" s="3" t="n"/>
      <c r="N869" s="3" t="n"/>
      <c r="O869" s="3" t="n"/>
      <c r="P869" s="3" t="n"/>
      <c r="Q869" s="3" t="n"/>
      <c r="R869" s="3" t="n"/>
      <c r="S869" s="3" t="n"/>
    </row>
    <row r="870" ht="25" customHeight="1">
      <c r="A870" s="2" t="n"/>
      <c r="B870" s="2" t="n"/>
      <c r="C870" s="2" t="n"/>
      <c r="D870" s="2" t="n"/>
      <c r="E870" s="2" t="n"/>
      <c r="F870" s="2" t="n"/>
      <c r="G870" s="2" t="n"/>
      <c r="H870" s="2" t="n"/>
      <c r="I870" s="2" t="n"/>
      <c r="J870" s="2" t="n"/>
      <c r="K870" s="2" t="n"/>
      <c r="L870" s="2" t="n"/>
      <c r="M870" s="2" t="n"/>
      <c r="N870" s="2" t="n"/>
      <c r="O870" s="2" t="n"/>
      <c r="P870" s="2" t="n"/>
      <c r="Q870" s="2" t="n"/>
      <c r="R870" s="2" t="n"/>
      <c r="S870" s="2" t="n"/>
    </row>
    <row r="871" ht="25" customHeight="1">
      <c r="A871" s="3" t="n"/>
      <c r="B871" s="3" t="n"/>
      <c r="C871" s="3" t="n"/>
      <c r="D871" s="3" t="n"/>
      <c r="E871" s="3" t="n"/>
      <c r="F871" s="3" t="n"/>
      <c r="G871" s="3" t="n"/>
      <c r="H871" s="3" t="n"/>
      <c r="I871" s="3" t="n"/>
      <c r="J871" s="3" t="n"/>
      <c r="K871" s="3" t="n"/>
      <c r="L871" s="3" t="n"/>
      <c r="M871" s="3" t="n"/>
      <c r="N871" s="3" t="n"/>
      <c r="O871" s="3" t="n"/>
      <c r="P871" s="3" t="n"/>
      <c r="Q871" s="3" t="n"/>
      <c r="R871" s="3" t="n"/>
      <c r="S871" s="3" t="n"/>
    </row>
    <row r="872" ht="25" customHeight="1">
      <c r="A872" s="2" t="n"/>
      <c r="B872" s="2" t="n"/>
      <c r="C872" s="2" t="n"/>
      <c r="D872" s="2" t="n"/>
      <c r="E872" s="2" t="n"/>
      <c r="F872" s="2" t="n"/>
      <c r="G872" s="2" t="n"/>
      <c r="H872" s="2" t="n"/>
      <c r="I872" s="2" t="n"/>
      <c r="J872" s="2" t="n"/>
      <c r="K872" s="2" t="n"/>
      <c r="L872" s="2" t="n"/>
      <c r="M872" s="2" t="n"/>
      <c r="N872" s="2" t="n"/>
      <c r="O872" s="2" t="n"/>
      <c r="P872" s="2" t="n"/>
      <c r="Q872" s="2" t="n"/>
      <c r="R872" s="2" t="n"/>
      <c r="S872" s="2" t="n"/>
    </row>
    <row r="873" ht="25" customHeight="1">
      <c r="A873" s="3" t="n"/>
      <c r="B873" s="3" t="n"/>
      <c r="C873" s="3" t="n"/>
      <c r="D873" s="3" t="n"/>
      <c r="E873" s="3" t="n"/>
      <c r="F873" s="3" t="n"/>
      <c r="G873" s="3" t="n"/>
      <c r="H873" s="3" t="n"/>
      <c r="I873" s="3" t="n"/>
      <c r="J873" s="3" t="n"/>
      <c r="K873" s="3" t="n"/>
      <c r="L873" s="3" t="n"/>
      <c r="M873" s="3" t="n"/>
      <c r="N873" s="3" t="n"/>
      <c r="O873" s="3" t="n"/>
      <c r="P873" s="3" t="n"/>
      <c r="Q873" s="3" t="n"/>
      <c r="R873" s="3" t="n"/>
      <c r="S873" s="3" t="n"/>
    </row>
    <row r="874" ht="25" customHeight="1">
      <c r="A874" s="2" t="n"/>
      <c r="B874" s="2" t="n"/>
      <c r="C874" s="2" t="n"/>
      <c r="D874" s="2" t="n"/>
      <c r="E874" s="2" t="n"/>
      <c r="F874" s="2" t="n"/>
      <c r="G874" s="2" t="n"/>
      <c r="H874" s="2" t="n"/>
      <c r="I874" s="2" t="n"/>
      <c r="J874" s="2" t="n"/>
      <c r="K874" s="2" t="n"/>
      <c r="L874" s="2" t="n"/>
      <c r="M874" s="2" t="n"/>
      <c r="N874" s="2" t="n"/>
      <c r="O874" s="2" t="n"/>
      <c r="P874" s="2" t="n"/>
      <c r="Q874" s="2" t="n"/>
      <c r="R874" s="2" t="n"/>
      <c r="S874" s="2" t="n"/>
    </row>
    <row r="875" ht="25" customHeight="1">
      <c r="A875" s="3" t="n"/>
      <c r="B875" s="3" t="n"/>
      <c r="C875" s="3" t="n"/>
      <c r="D875" s="3" t="n"/>
      <c r="E875" s="3" t="n"/>
      <c r="F875" s="3" t="n"/>
      <c r="G875" s="3" t="n"/>
      <c r="H875" s="3" t="n"/>
      <c r="I875" s="3" t="n"/>
      <c r="J875" s="3" t="n"/>
      <c r="K875" s="3" t="n"/>
      <c r="L875" s="3" t="n"/>
      <c r="M875" s="3" t="n"/>
      <c r="N875" s="3" t="n"/>
      <c r="O875" s="3" t="n"/>
      <c r="P875" s="3" t="n"/>
      <c r="Q875" s="3" t="n"/>
      <c r="R875" s="3" t="n"/>
      <c r="S875" s="3" t="n"/>
    </row>
    <row r="876" ht="25" customHeight="1">
      <c r="A876" s="2" t="n"/>
      <c r="B876" s="2" t="n"/>
      <c r="C876" s="2" t="n"/>
      <c r="D876" s="2" t="n"/>
      <c r="E876" s="2" t="n"/>
      <c r="F876" s="2" t="n"/>
      <c r="G876" s="2" t="n"/>
      <c r="H876" s="2" t="n"/>
      <c r="I876" s="2" t="n"/>
      <c r="J876" s="2" t="n"/>
      <c r="K876" s="2" t="n"/>
      <c r="L876" s="2" t="n"/>
      <c r="M876" s="2" t="n"/>
      <c r="N876" s="2" t="n"/>
      <c r="O876" s="2" t="n"/>
      <c r="P876" s="2" t="n"/>
      <c r="Q876" s="2" t="n"/>
      <c r="R876" s="2" t="n"/>
      <c r="S876" s="2" t="n"/>
    </row>
    <row r="877" ht="25" customHeight="1">
      <c r="A877" s="3" t="n"/>
      <c r="B877" s="3" t="n"/>
      <c r="C877" s="3" t="n"/>
      <c r="D877" s="3" t="n"/>
      <c r="E877" s="3" t="n"/>
      <c r="F877" s="3" t="n"/>
      <c r="G877" s="3" t="n"/>
      <c r="H877" s="3" t="n"/>
      <c r="I877" s="3" t="n"/>
      <c r="J877" s="3" t="n"/>
      <c r="K877" s="3" t="n"/>
      <c r="L877" s="3" t="n"/>
      <c r="M877" s="3" t="n"/>
      <c r="N877" s="3" t="n"/>
      <c r="O877" s="3" t="n"/>
      <c r="P877" s="3" t="n"/>
      <c r="Q877" s="3" t="n"/>
      <c r="R877" s="3" t="n"/>
      <c r="S877" s="3" t="n"/>
    </row>
    <row r="878" ht="25" customHeight="1">
      <c r="A878" s="2" t="n"/>
      <c r="B878" s="2" t="n"/>
      <c r="C878" s="2" t="n"/>
      <c r="D878" s="2" t="n"/>
      <c r="E878" s="2" t="n"/>
      <c r="F878" s="2" t="n"/>
      <c r="G878" s="2" t="n"/>
      <c r="H878" s="2" t="n"/>
      <c r="I878" s="2" t="n"/>
      <c r="J878" s="2" t="n"/>
      <c r="K878" s="2" t="n"/>
      <c r="L878" s="2" t="n"/>
      <c r="M878" s="2" t="n"/>
      <c r="N878" s="2" t="n"/>
      <c r="O878" s="2" t="n"/>
      <c r="P878" s="2" t="n"/>
      <c r="Q878" s="2" t="n"/>
      <c r="R878" s="2" t="n"/>
      <c r="S878" s="2" t="n"/>
    </row>
    <row r="879" ht="25" customHeight="1">
      <c r="A879" s="3" t="n"/>
      <c r="B879" s="3" t="n"/>
      <c r="C879" s="3" t="n"/>
      <c r="D879" s="3" t="n"/>
      <c r="E879" s="3" t="n"/>
      <c r="F879" s="3" t="n"/>
      <c r="G879" s="3" t="n"/>
      <c r="H879" s="3" t="n"/>
      <c r="I879" s="3" t="n"/>
      <c r="J879" s="3" t="n"/>
      <c r="K879" s="3" t="n"/>
      <c r="L879" s="3" t="n"/>
      <c r="M879" s="3" t="n"/>
      <c r="N879" s="3" t="n"/>
      <c r="O879" s="3" t="n"/>
      <c r="P879" s="3" t="n"/>
      <c r="Q879" s="3" t="n"/>
      <c r="R879" s="3" t="n"/>
      <c r="S879" s="3" t="n"/>
    </row>
    <row r="880" ht="25" customHeight="1">
      <c r="A880" s="2" t="n"/>
      <c r="B880" s="2" t="n"/>
      <c r="C880" s="2" t="n"/>
      <c r="D880" s="2" t="n"/>
      <c r="E880" s="2" t="n"/>
      <c r="F880" s="2" t="n"/>
      <c r="G880" s="2" t="n"/>
      <c r="H880" s="2" t="n"/>
      <c r="I880" s="2" t="n"/>
      <c r="J880" s="2" t="n"/>
      <c r="K880" s="2" t="n"/>
      <c r="L880" s="2" t="n"/>
      <c r="M880" s="2" t="n"/>
      <c r="N880" s="2" t="n"/>
      <c r="O880" s="2" t="n"/>
      <c r="P880" s="2" t="n"/>
      <c r="Q880" s="2" t="n"/>
      <c r="R880" s="2" t="n"/>
      <c r="S880" s="2" t="n"/>
    </row>
    <row r="881" ht="25" customHeight="1">
      <c r="A881" s="3" t="n"/>
      <c r="B881" s="3" t="n"/>
      <c r="C881" s="3" t="n"/>
      <c r="D881" s="3" t="n"/>
      <c r="E881" s="3" t="n"/>
      <c r="F881" s="3" t="n"/>
      <c r="G881" s="3" t="n"/>
      <c r="H881" s="3" t="n"/>
      <c r="I881" s="3" t="n"/>
      <c r="J881" s="3" t="n"/>
      <c r="K881" s="3" t="n"/>
      <c r="L881" s="3" t="n"/>
      <c r="M881" s="3" t="n"/>
      <c r="N881" s="3" t="n"/>
      <c r="O881" s="3" t="n"/>
      <c r="P881" s="3" t="n"/>
      <c r="Q881" s="3" t="n"/>
      <c r="R881" s="3" t="n"/>
      <c r="S881" s="3" t="n"/>
    </row>
    <row r="882" ht="25" customHeight="1">
      <c r="A882" s="2" t="n"/>
      <c r="B882" s="2" t="n"/>
      <c r="C882" s="2" t="n"/>
      <c r="D882" s="2" t="n"/>
      <c r="E882" s="2" t="n"/>
      <c r="F882" s="2" t="n"/>
      <c r="G882" s="2" t="n"/>
      <c r="H882" s="2" t="n"/>
      <c r="I882" s="2" t="n"/>
      <c r="J882" s="2" t="n"/>
      <c r="K882" s="2" t="n"/>
      <c r="L882" s="2" t="n"/>
      <c r="M882" s="2" t="n"/>
      <c r="N882" s="2" t="n"/>
      <c r="O882" s="2" t="n"/>
      <c r="P882" s="2" t="n"/>
      <c r="Q882" s="2" t="n"/>
      <c r="R882" s="2" t="n"/>
      <c r="S882" s="2" t="n"/>
    </row>
    <row r="883" ht="25" customHeight="1">
      <c r="A883" s="3" t="n"/>
      <c r="B883" s="3" t="n"/>
      <c r="C883" s="3" t="n"/>
      <c r="D883" s="3" t="n"/>
      <c r="E883" s="3" t="n"/>
      <c r="F883" s="3" t="n"/>
      <c r="G883" s="3" t="n"/>
      <c r="H883" s="3" t="n"/>
      <c r="I883" s="3" t="n"/>
      <c r="J883" s="3" t="n"/>
      <c r="K883" s="3" t="n"/>
      <c r="L883" s="3" t="n"/>
      <c r="M883" s="3" t="n"/>
      <c r="N883" s="3" t="n"/>
      <c r="O883" s="3" t="n"/>
      <c r="P883" s="3" t="n"/>
      <c r="Q883" s="3" t="n"/>
      <c r="R883" s="3" t="n"/>
      <c r="S883" s="3" t="n"/>
    </row>
    <row r="884" ht="25" customHeight="1">
      <c r="A884" s="2" t="n"/>
      <c r="B884" s="2" t="n"/>
      <c r="C884" s="2" t="n"/>
      <c r="D884" s="2" t="n"/>
      <c r="E884" s="2" t="n"/>
      <c r="F884" s="2" t="n"/>
      <c r="G884" s="2" t="n"/>
      <c r="H884" s="2" t="n"/>
      <c r="I884" s="2" t="n"/>
      <c r="J884" s="2" t="n"/>
      <c r="K884" s="2" t="n"/>
      <c r="L884" s="2" t="n"/>
      <c r="M884" s="2" t="n"/>
      <c r="N884" s="2" t="n"/>
      <c r="O884" s="2" t="n"/>
      <c r="P884" s="2" t="n"/>
      <c r="Q884" s="2" t="n"/>
      <c r="R884" s="2" t="n"/>
      <c r="S884" s="2" t="n"/>
    </row>
    <row r="885" ht="25" customHeight="1">
      <c r="A885" s="3" t="n"/>
      <c r="B885" s="3" t="n"/>
      <c r="C885" s="3" t="n"/>
      <c r="D885" s="3" t="n"/>
      <c r="E885" s="3" t="n"/>
      <c r="F885" s="3" t="n"/>
      <c r="G885" s="3" t="n"/>
      <c r="H885" s="3" t="n"/>
      <c r="I885" s="3" t="n"/>
      <c r="J885" s="3" t="n"/>
      <c r="K885" s="3" t="n"/>
      <c r="L885" s="3" t="n"/>
      <c r="M885" s="3" t="n"/>
      <c r="N885" s="3" t="n"/>
      <c r="O885" s="3" t="n"/>
      <c r="P885" s="3" t="n"/>
      <c r="Q885" s="3" t="n"/>
      <c r="R885" s="3" t="n"/>
      <c r="S885" s="3" t="n"/>
    </row>
    <row r="886" ht="25" customHeight="1">
      <c r="A886" s="2" t="n"/>
      <c r="B886" s="2" t="n"/>
      <c r="C886" s="2" t="n"/>
      <c r="D886" s="2" t="n"/>
      <c r="E886" s="2" t="n"/>
      <c r="F886" s="2" t="n"/>
      <c r="G886" s="2" t="n"/>
      <c r="H886" s="2" t="n"/>
      <c r="I886" s="2" t="n"/>
      <c r="J886" s="2" t="n"/>
      <c r="K886" s="2" t="n"/>
      <c r="L886" s="2" t="n"/>
      <c r="M886" s="2" t="n"/>
      <c r="N886" s="2" t="n"/>
      <c r="O886" s="2" t="n"/>
      <c r="P886" s="2" t="n"/>
      <c r="Q886" s="2" t="n"/>
      <c r="R886" s="2" t="n"/>
      <c r="S886" s="2" t="n"/>
    </row>
    <row r="887" ht="25" customHeight="1">
      <c r="A887" s="3" t="n"/>
      <c r="B887" s="3" t="n"/>
      <c r="C887" s="3" t="n"/>
      <c r="D887" s="3" t="n"/>
      <c r="E887" s="3" t="n"/>
      <c r="F887" s="3" t="n"/>
      <c r="G887" s="3" t="n"/>
      <c r="H887" s="3" t="n"/>
      <c r="I887" s="3" t="n"/>
      <c r="J887" s="3" t="n"/>
      <c r="K887" s="3" t="n"/>
      <c r="L887" s="3" t="n"/>
      <c r="M887" s="3" t="n"/>
      <c r="N887" s="3" t="n"/>
      <c r="O887" s="3" t="n"/>
      <c r="P887" s="3" t="n"/>
      <c r="Q887" s="3" t="n"/>
      <c r="R887" s="3" t="n"/>
      <c r="S887" s="3" t="n"/>
    </row>
    <row r="888" ht="25" customHeight="1">
      <c r="A888" s="2" t="n"/>
      <c r="B888" s="2" t="n"/>
      <c r="C888" s="2" t="n"/>
      <c r="D888" s="2" t="n"/>
      <c r="E888" s="2" t="n"/>
      <c r="F888" s="2" t="n"/>
      <c r="G888" s="2" t="n"/>
      <c r="H888" s="2" t="n"/>
      <c r="I888" s="2" t="n"/>
      <c r="J888" s="2" t="n"/>
      <c r="K888" s="2" t="n"/>
      <c r="L888" s="2" t="n"/>
      <c r="M888" s="2" t="n"/>
      <c r="N888" s="2" t="n"/>
      <c r="O888" s="2" t="n"/>
      <c r="P888" s="2" t="n"/>
      <c r="Q888" s="2" t="n"/>
      <c r="R888" s="2" t="n"/>
      <c r="S888" s="2" t="n"/>
    </row>
    <row r="889" ht="25" customHeight="1">
      <c r="A889" s="3" t="n"/>
      <c r="B889" s="3" t="n"/>
      <c r="C889" s="3" t="n"/>
      <c r="D889" s="3" t="n"/>
      <c r="E889" s="3" t="n"/>
      <c r="F889" s="3" t="n"/>
      <c r="G889" s="3" t="n"/>
      <c r="H889" s="3" t="n"/>
      <c r="I889" s="3" t="n"/>
      <c r="J889" s="3" t="n"/>
      <c r="K889" s="3" t="n"/>
      <c r="L889" s="3" t="n"/>
      <c r="M889" s="3" t="n"/>
      <c r="N889" s="3" t="n"/>
      <c r="O889" s="3" t="n"/>
      <c r="P889" s="3" t="n"/>
      <c r="Q889" s="3" t="n"/>
      <c r="R889" s="3" t="n"/>
      <c r="S889" s="3" t="n"/>
    </row>
    <row r="890" ht="25" customHeight="1">
      <c r="A890" s="2" t="n"/>
      <c r="B890" s="2" t="n"/>
      <c r="C890" s="2" t="n"/>
      <c r="D890" s="2" t="n"/>
      <c r="E890" s="2" t="n"/>
      <c r="F890" s="2" t="n"/>
      <c r="G890" s="2" t="n"/>
      <c r="H890" s="2" t="n"/>
      <c r="I890" s="2" t="n"/>
      <c r="J890" s="2" t="n"/>
      <c r="K890" s="2" t="n"/>
      <c r="L890" s="2" t="n"/>
      <c r="M890" s="2" t="n"/>
      <c r="N890" s="2" t="n"/>
      <c r="O890" s="2" t="n"/>
      <c r="P890" s="2" t="n"/>
      <c r="Q890" s="2" t="n"/>
      <c r="R890" s="2" t="n"/>
      <c r="S890" s="2" t="n"/>
    </row>
    <row r="891" ht="25" customHeight="1">
      <c r="A891" s="3" t="n"/>
      <c r="B891" s="3" t="n"/>
      <c r="C891" s="3" t="n"/>
      <c r="D891" s="3" t="n"/>
      <c r="E891" s="3" t="n"/>
      <c r="F891" s="3" t="n"/>
      <c r="G891" s="3" t="n"/>
      <c r="H891" s="3" t="n"/>
      <c r="I891" s="3" t="n"/>
      <c r="J891" s="3" t="n"/>
      <c r="K891" s="3" t="n"/>
      <c r="L891" s="3" t="n"/>
      <c r="M891" s="3" t="n"/>
      <c r="N891" s="3" t="n"/>
      <c r="O891" s="3" t="n"/>
      <c r="P891" s="3" t="n"/>
      <c r="Q891" s="3" t="n"/>
      <c r="R891" s="3" t="n"/>
      <c r="S891" s="3" t="n"/>
    </row>
    <row r="892" ht="25" customHeight="1">
      <c r="A892" s="2" t="n"/>
      <c r="B892" s="2" t="n"/>
      <c r="C892" s="2" t="n"/>
      <c r="D892" s="2" t="n"/>
      <c r="E892" s="2" t="n"/>
      <c r="F892" s="2" t="n"/>
      <c r="G892" s="2" t="n"/>
      <c r="H892" s="2" t="n"/>
      <c r="I892" s="2" t="n"/>
      <c r="J892" s="2" t="n"/>
      <c r="K892" s="2" t="n"/>
      <c r="L892" s="2" t="n"/>
      <c r="M892" s="2" t="n"/>
      <c r="N892" s="2" t="n"/>
      <c r="O892" s="2" t="n"/>
      <c r="P892" s="2" t="n"/>
      <c r="Q892" s="2" t="n"/>
      <c r="R892" s="2" t="n"/>
      <c r="S892" s="2" t="n"/>
    </row>
    <row r="893" ht="25" customHeight="1">
      <c r="A893" s="3" t="n"/>
      <c r="B893" s="3" t="n"/>
      <c r="C893" s="3" t="n"/>
      <c r="D893" s="3" t="n"/>
      <c r="E893" s="3" t="n"/>
      <c r="F893" s="3" t="n"/>
      <c r="G893" s="3" t="n"/>
      <c r="H893" s="3" t="n"/>
      <c r="I893" s="3" t="n"/>
      <c r="J893" s="3" t="n"/>
      <c r="K893" s="3" t="n"/>
      <c r="L893" s="3" t="n"/>
      <c r="M893" s="3" t="n"/>
      <c r="N893" s="3" t="n"/>
      <c r="O893" s="3" t="n"/>
      <c r="P893" s="3" t="n"/>
      <c r="Q893" s="3" t="n"/>
      <c r="R893" s="3" t="n"/>
      <c r="S893" s="3" t="n"/>
    </row>
    <row r="894" ht="25" customHeight="1">
      <c r="A894" s="2" t="n"/>
      <c r="B894" s="2" t="n"/>
      <c r="C894" s="2" t="n"/>
      <c r="D894" s="2" t="n"/>
      <c r="E894" s="2" t="n"/>
      <c r="F894" s="2" t="n"/>
      <c r="G894" s="2" t="n"/>
      <c r="H894" s="2" t="n"/>
      <c r="I894" s="2" t="n"/>
      <c r="J894" s="2" t="n"/>
      <c r="K894" s="2" t="n"/>
      <c r="L894" s="2" t="n"/>
      <c r="M894" s="2" t="n"/>
      <c r="N894" s="2" t="n"/>
      <c r="O894" s="2" t="n"/>
      <c r="P894" s="2" t="n"/>
      <c r="Q894" s="2" t="n"/>
      <c r="R894" s="2" t="n"/>
      <c r="S894" s="2" t="n"/>
    </row>
    <row r="895" ht="25" customHeight="1">
      <c r="A895" s="3" t="n"/>
      <c r="B895" s="3" t="n"/>
      <c r="C895" s="3" t="n"/>
      <c r="D895" s="3" t="n"/>
      <c r="E895" s="3" t="n"/>
      <c r="F895" s="3" t="n"/>
      <c r="G895" s="3" t="n"/>
      <c r="H895" s="3" t="n"/>
      <c r="I895" s="3" t="n"/>
      <c r="J895" s="3" t="n"/>
      <c r="K895" s="3" t="n"/>
      <c r="L895" s="3" t="n"/>
      <c r="M895" s="3" t="n"/>
      <c r="N895" s="3" t="n"/>
      <c r="O895" s="3" t="n"/>
      <c r="P895" s="3" t="n"/>
      <c r="Q895" s="3" t="n"/>
      <c r="R895" s="3" t="n"/>
      <c r="S895" s="3" t="n"/>
    </row>
    <row r="896" ht="25" customHeight="1">
      <c r="A896" s="2" t="n"/>
      <c r="B896" s="2" t="n"/>
      <c r="C896" s="2" t="n"/>
      <c r="D896" s="2" t="n"/>
      <c r="E896" s="2" t="n"/>
      <c r="F896" s="2" t="n"/>
      <c r="G896" s="2" t="n"/>
      <c r="H896" s="2" t="n"/>
      <c r="I896" s="2" t="n"/>
      <c r="J896" s="2" t="n"/>
      <c r="K896" s="2" t="n"/>
      <c r="L896" s="2" t="n"/>
      <c r="M896" s="2" t="n"/>
      <c r="N896" s="2" t="n"/>
      <c r="O896" s="2" t="n"/>
      <c r="P896" s="2" t="n"/>
      <c r="Q896" s="2" t="n"/>
      <c r="R896" s="2" t="n"/>
      <c r="S896" s="2" t="n"/>
    </row>
    <row r="897" ht="25" customHeight="1">
      <c r="A897" s="3" t="n"/>
      <c r="B897" s="3" t="n"/>
      <c r="C897" s="3" t="n"/>
      <c r="D897" s="3" t="n"/>
      <c r="E897" s="3" t="n"/>
      <c r="F897" s="3" t="n"/>
      <c r="G897" s="3" t="n"/>
      <c r="H897" s="3" t="n"/>
      <c r="I897" s="3" t="n"/>
      <c r="J897" s="3" t="n"/>
      <c r="K897" s="3" t="n"/>
      <c r="L897" s="3" t="n"/>
      <c r="M897" s="3" t="n"/>
      <c r="N897" s="3" t="n"/>
      <c r="O897" s="3" t="n"/>
      <c r="P897" s="3" t="n"/>
      <c r="Q897" s="3" t="n"/>
      <c r="R897" s="3" t="n"/>
      <c r="S897" s="3" t="n"/>
    </row>
    <row r="898" ht="25" customHeight="1">
      <c r="A898" s="2" t="n"/>
      <c r="B898" s="2" t="n"/>
      <c r="C898" s="2" t="n"/>
      <c r="D898" s="2" t="n"/>
      <c r="E898" s="2" t="n"/>
      <c r="F898" s="2" t="n"/>
      <c r="G898" s="2" t="n"/>
      <c r="H898" s="2" t="n"/>
      <c r="I898" s="2" t="n"/>
      <c r="J898" s="2" t="n"/>
      <c r="K898" s="2" t="n"/>
      <c r="L898" s="2" t="n"/>
      <c r="M898" s="2" t="n"/>
      <c r="N898" s="2" t="n"/>
      <c r="O898" s="2" t="n"/>
      <c r="P898" s="2" t="n"/>
      <c r="Q898" s="2" t="n"/>
      <c r="R898" s="2" t="n"/>
      <c r="S898" s="2" t="n"/>
    </row>
    <row r="899" ht="25" customHeight="1">
      <c r="A899" s="3" t="n"/>
      <c r="B899" s="3" t="n"/>
      <c r="C899" s="3" t="n"/>
      <c r="D899" s="3" t="n"/>
      <c r="E899" s="3" t="n"/>
      <c r="F899" s="3" t="n"/>
      <c r="G899" s="3" t="n"/>
      <c r="H899" s="3" t="n"/>
      <c r="I899" s="3" t="n"/>
      <c r="J899" s="3" t="n"/>
      <c r="K899" s="3" t="n"/>
      <c r="L899" s="3" t="n"/>
      <c r="M899" s="3" t="n"/>
      <c r="N899" s="3" t="n"/>
      <c r="O899" s="3" t="n"/>
      <c r="P899" s="3" t="n"/>
      <c r="Q899" s="3" t="n"/>
      <c r="R899" s="3" t="n"/>
      <c r="S899" s="3" t="n"/>
    </row>
    <row r="900" ht="25" customHeight="1">
      <c r="A900" s="2" t="n"/>
      <c r="B900" s="2" t="n"/>
      <c r="C900" s="2" t="n"/>
      <c r="D900" s="2" t="n"/>
      <c r="E900" s="2" t="n"/>
      <c r="F900" s="2" t="n"/>
      <c r="G900" s="2" t="n"/>
      <c r="H900" s="2" t="n"/>
      <c r="I900" s="2" t="n"/>
      <c r="J900" s="2" t="n"/>
      <c r="K900" s="2" t="n"/>
      <c r="L900" s="2" t="n"/>
      <c r="M900" s="2" t="n"/>
      <c r="N900" s="2" t="n"/>
      <c r="O900" s="2" t="n"/>
      <c r="P900" s="2" t="n"/>
      <c r="Q900" s="2" t="n"/>
      <c r="R900" s="2" t="n"/>
      <c r="S900" s="2" t="n"/>
    </row>
    <row r="901" ht="25" customHeight="1">
      <c r="A901" s="3" t="n"/>
      <c r="B901" s="3" t="n"/>
      <c r="C901" s="3" t="n"/>
      <c r="D901" s="3" t="n"/>
      <c r="E901" s="3" t="n"/>
      <c r="F901" s="3" t="n"/>
      <c r="G901" s="3" t="n"/>
      <c r="H901" s="3" t="n"/>
      <c r="I901" s="3" t="n"/>
      <c r="J901" s="3" t="n"/>
      <c r="K901" s="3" t="n"/>
      <c r="L901" s="3" t="n"/>
      <c r="M901" s="3" t="n"/>
      <c r="N901" s="3" t="n"/>
      <c r="O901" s="3" t="n"/>
      <c r="P901" s="3" t="n"/>
      <c r="Q901" s="3" t="n"/>
      <c r="R901" s="3" t="n"/>
      <c r="S901" s="3" t="n"/>
    </row>
    <row r="902" ht="25" customHeight="1">
      <c r="A902" s="2" t="n"/>
      <c r="B902" s="2" t="n"/>
      <c r="C902" s="2" t="n"/>
      <c r="D902" s="2" t="n"/>
      <c r="E902" s="2" t="n"/>
      <c r="F902" s="2" t="n"/>
      <c r="G902" s="2" t="n"/>
      <c r="H902" s="2" t="n"/>
      <c r="I902" s="2" t="n"/>
      <c r="J902" s="2" t="n"/>
      <c r="K902" s="2" t="n"/>
      <c r="L902" s="2" t="n"/>
      <c r="M902" s="2" t="n"/>
      <c r="N902" s="2" t="n"/>
      <c r="O902" s="2" t="n"/>
      <c r="P902" s="2" t="n"/>
      <c r="Q902" s="2" t="n"/>
      <c r="R902" s="2" t="n"/>
      <c r="S902" s="2" t="n"/>
    </row>
    <row r="903" ht="25" customHeight="1">
      <c r="A903" s="3" t="n"/>
      <c r="B903" s="3" t="n"/>
      <c r="C903" s="3" t="n"/>
      <c r="D903" s="3" t="n"/>
      <c r="E903" s="3" t="n"/>
      <c r="F903" s="3" t="n"/>
      <c r="G903" s="3" t="n"/>
      <c r="H903" s="3" t="n"/>
      <c r="I903" s="3" t="n"/>
      <c r="J903" s="3" t="n"/>
      <c r="K903" s="3" t="n"/>
      <c r="L903" s="3" t="n"/>
      <c r="M903" s="3" t="n"/>
      <c r="N903" s="3" t="n"/>
      <c r="O903" s="3" t="n"/>
      <c r="P903" s="3" t="n"/>
      <c r="Q903" s="3" t="n"/>
      <c r="R903" s="3" t="n"/>
      <c r="S903" s="3" t="n"/>
    </row>
    <row r="904" ht="25" customHeight="1">
      <c r="A904" s="2" t="n"/>
      <c r="B904" s="2" t="n"/>
      <c r="C904" s="2" t="n"/>
      <c r="D904" s="2" t="n"/>
      <c r="E904" s="2" t="n"/>
      <c r="F904" s="2" t="n"/>
      <c r="G904" s="2" t="n"/>
      <c r="H904" s="2" t="n"/>
      <c r="I904" s="2" t="n"/>
      <c r="J904" s="2" t="n"/>
      <c r="K904" s="2" t="n"/>
      <c r="L904" s="2" t="n"/>
      <c r="M904" s="2" t="n"/>
      <c r="N904" s="2" t="n"/>
      <c r="O904" s="2" t="n"/>
      <c r="P904" s="2" t="n"/>
      <c r="Q904" s="2" t="n"/>
      <c r="R904" s="2" t="n"/>
      <c r="S904" s="2" t="n"/>
    </row>
    <row r="905" ht="25" customHeight="1">
      <c r="A905" s="3" t="n"/>
      <c r="B905" s="3" t="n"/>
      <c r="C905" s="3" t="n"/>
      <c r="D905" s="3" t="n"/>
      <c r="E905" s="3" t="n"/>
      <c r="F905" s="3" t="n"/>
      <c r="G905" s="3" t="n"/>
      <c r="H905" s="3" t="n"/>
      <c r="I905" s="3" t="n"/>
      <c r="J905" s="3" t="n"/>
      <c r="K905" s="3" t="n"/>
      <c r="L905" s="3" t="n"/>
      <c r="M905" s="3" t="n"/>
      <c r="N905" s="3" t="n"/>
      <c r="O905" s="3" t="n"/>
      <c r="P905" s="3" t="n"/>
      <c r="Q905" s="3" t="n"/>
      <c r="R905" s="3" t="n"/>
      <c r="S905" s="3" t="n"/>
    </row>
    <row r="906" ht="25" customHeight="1">
      <c r="A906" s="2" t="n"/>
      <c r="B906" s="2" t="n"/>
      <c r="C906" s="2" t="n"/>
      <c r="D906" s="2" t="n"/>
      <c r="E906" s="2" t="n"/>
      <c r="F906" s="2" t="n"/>
      <c r="G906" s="2" t="n"/>
      <c r="H906" s="2" t="n"/>
      <c r="I906" s="2" t="n"/>
      <c r="J906" s="2" t="n"/>
      <c r="K906" s="2" t="n"/>
      <c r="L906" s="2" t="n"/>
      <c r="M906" s="2" t="n"/>
      <c r="N906" s="2" t="n"/>
      <c r="O906" s="2" t="n"/>
      <c r="P906" s="2" t="n"/>
      <c r="Q906" s="2" t="n"/>
      <c r="R906" s="2" t="n"/>
      <c r="S906" s="2" t="n"/>
    </row>
    <row r="907" ht="25" customHeight="1">
      <c r="A907" s="3" t="n"/>
      <c r="B907" s="3" t="n"/>
      <c r="C907" s="3" t="n"/>
      <c r="D907" s="3" t="n"/>
      <c r="E907" s="3" t="n"/>
      <c r="F907" s="3" t="n"/>
      <c r="G907" s="3" t="n"/>
      <c r="H907" s="3" t="n"/>
      <c r="I907" s="3" t="n"/>
      <c r="J907" s="3" t="n"/>
      <c r="K907" s="3" t="n"/>
      <c r="L907" s="3" t="n"/>
      <c r="M907" s="3" t="n"/>
      <c r="N907" s="3" t="n"/>
      <c r="O907" s="3" t="n"/>
      <c r="P907" s="3" t="n"/>
      <c r="Q907" s="3" t="n"/>
      <c r="R907" s="3" t="n"/>
      <c r="S907" s="3" t="n"/>
    </row>
    <row r="908" ht="25" customHeight="1">
      <c r="A908" s="2" t="n"/>
      <c r="B908" s="2" t="n"/>
      <c r="C908" s="2" t="n"/>
      <c r="D908" s="2" t="n"/>
      <c r="E908" s="2" t="n"/>
      <c r="F908" s="2" t="n"/>
      <c r="G908" s="2" t="n"/>
      <c r="H908" s="2" t="n"/>
      <c r="I908" s="2" t="n"/>
      <c r="J908" s="2" t="n"/>
      <c r="K908" s="2" t="n"/>
      <c r="L908" s="2" t="n"/>
      <c r="M908" s="2" t="n"/>
      <c r="N908" s="2" t="n"/>
      <c r="O908" s="2" t="n"/>
      <c r="P908" s="2" t="n"/>
      <c r="Q908" s="2" t="n"/>
      <c r="R908" s="2" t="n"/>
      <c r="S908" s="2" t="n"/>
    </row>
    <row r="909" ht="25" customHeight="1">
      <c r="A909" s="3" t="n"/>
      <c r="B909" s="3" t="n"/>
      <c r="C909" s="3" t="n"/>
      <c r="D909" s="3" t="n"/>
      <c r="E909" s="3" t="n"/>
      <c r="F909" s="3" t="n"/>
      <c r="G909" s="3" t="n"/>
      <c r="H909" s="3" t="n"/>
      <c r="I909" s="3" t="n"/>
      <c r="J909" s="3" t="n"/>
      <c r="K909" s="3" t="n"/>
      <c r="L909" s="3" t="n"/>
      <c r="M909" s="3" t="n"/>
      <c r="N909" s="3" t="n"/>
      <c r="O909" s="3" t="n"/>
      <c r="P909" s="3" t="n"/>
      <c r="Q909" s="3" t="n"/>
      <c r="R909" s="3" t="n"/>
      <c r="S909" s="3" t="n"/>
    </row>
    <row r="910" ht="25" customHeight="1">
      <c r="A910" s="2" t="n"/>
      <c r="B910" s="2" t="n"/>
      <c r="C910" s="2" t="n"/>
      <c r="D910" s="2" t="n"/>
      <c r="E910" s="2" t="n"/>
      <c r="F910" s="2" t="n"/>
      <c r="G910" s="2" t="n"/>
      <c r="H910" s="2" t="n"/>
      <c r="I910" s="2" t="n"/>
      <c r="J910" s="2" t="n"/>
      <c r="K910" s="2" t="n"/>
      <c r="L910" s="2" t="n"/>
      <c r="M910" s="2" t="n"/>
      <c r="N910" s="2" t="n"/>
      <c r="O910" s="2" t="n"/>
      <c r="P910" s="2" t="n"/>
      <c r="Q910" s="2" t="n"/>
      <c r="R910" s="2" t="n"/>
      <c r="S910" s="2" t="n"/>
    </row>
    <row r="911" ht="25" customHeight="1">
      <c r="A911" s="3" t="n"/>
      <c r="B911" s="3" t="n"/>
      <c r="C911" s="3" t="n"/>
      <c r="D911" s="3" t="n"/>
      <c r="E911" s="3" t="n"/>
      <c r="F911" s="3" t="n"/>
      <c r="G911" s="3" t="n"/>
      <c r="H911" s="3" t="n"/>
      <c r="I911" s="3" t="n"/>
      <c r="J911" s="3" t="n"/>
      <c r="K911" s="3" t="n"/>
      <c r="L911" s="3" t="n"/>
      <c r="M911" s="3" t="n"/>
      <c r="N911" s="3" t="n"/>
      <c r="O911" s="3" t="n"/>
      <c r="P911" s="3" t="n"/>
      <c r="Q911" s="3" t="n"/>
      <c r="R911" s="3" t="n"/>
      <c r="S911" s="3" t="n"/>
    </row>
    <row r="912" ht="25" customHeight="1">
      <c r="A912" s="2" t="n"/>
      <c r="B912" s="2" t="n"/>
      <c r="C912" s="2" t="n"/>
      <c r="D912" s="2" t="n"/>
      <c r="E912" s="2" t="n"/>
      <c r="F912" s="2" t="n"/>
      <c r="G912" s="2" t="n"/>
      <c r="H912" s="2" t="n"/>
      <c r="I912" s="2" t="n"/>
      <c r="J912" s="2" t="n"/>
      <c r="K912" s="2" t="n"/>
      <c r="L912" s="2" t="n"/>
      <c r="M912" s="2" t="n"/>
      <c r="N912" s="2" t="n"/>
      <c r="O912" s="2" t="n"/>
      <c r="P912" s="2" t="n"/>
      <c r="Q912" s="2" t="n"/>
      <c r="R912" s="2" t="n"/>
      <c r="S912" s="2" t="n"/>
    </row>
    <row r="913" ht="25" customHeight="1">
      <c r="A913" s="3" t="n"/>
      <c r="B913" s="3" t="n"/>
      <c r="C913" s="3" t="n"/>
      <c r="D913" s="3" t="n"/>
      <c r="E913" s="3" t="n"/>
      <c r="F913" s="3" t="n"/>
      <c r="G913" s="3" t="n"/>
      <c r="H913" s="3" t="n"/>
      <c r="I913" s="3" t="n"/>
      <c r="J913" s="3" t="n"/>
      <c r="K913" s="3" t="n"/>
      <c r="L913" s="3" t="n"/>
      <c r="M913" s="3" t="n"/>
      <c r="N913" s="3" t="n"/>
      <c r="O913" s="3" t="n"/>
      <c r="P913" s="3" t="n"/>
      <c r="Q913" s="3" t="n"/>
      <c r="R913" s="3" t="n"/>
      <c r="S913" s="3" t="n"/>
    </row>
    <row r="914" ht="25" customHeight="1">
      <c r="A914" s="2" t="n"/>
      <c r="B914" s="2" t="n"/>
      <c r="C914" s="2" t="n"/>
      <c r="D914" s="2" t="n"/>
      <c r="E914" s="2" t="n"/>
      <c r="F914" s="2" t="n"/>
      <c r="G914" s="2" t="n"/>
      <c r="H914" s="2" t="n"/>
      <c r="I914" s="2" t="n"/>
      <c r="J914" s="2" t="n"/>
      <c r="K914" s="2" t="n"/>
      <c r="L914" s="2" t="n"/>
      <c r="M914" s="2" t="n"/>
      <c r="N914" s="2" t="n"/>
      <c r="O914" s="2" t="n"/>
      <c r="P914" s="2" t="n"/>
      <c r="Q914" s="2" t="n"/>
      <c r="R914" s="2" t="n"/>
      <c r="S914" s="2" t="n"/>
    </row>
    <row r="915" ht="25" customHeight="1">
      <c r="A915" s="3" t="n"/>
      <c r="B915" s="3" t="n"/>
      <c r="C915" s="3" t="n"/>
      <c r="D915" s="3" t="n"/>
      <c r="E915" s="3" t="n"/>
      <c r="F915" s="3" t="n"/>
      <c r="G915" s="3" t="n"/>
      <c r="H915" s="3" t="n"/>
      <c r="I915" s="3" t="n"/>
      <c r="J915" s="3" t="n"/>
      <c r="K915" s="3" t="n"/>
      <c r="L915" s="3" t="n"/>
      <c r="M915" s="3" t="n"/>
      <c r="N915" s="3" t="n"/>
      <c r="O915" s="3" t="n"/>
      <c r="P915" s="3" t="n"/>
      <c r="Q915" s="3" t="n"/>
      <c r="R915" s="3" t="n"/>
      <c r="S915" s="3" t="n"/>
    </row>
    <row r="916" ht="25" customHeight="1">
      <c r="A916" s="2" t="n"/>
      <c r="B916" s="2" t="n"/>
      <c r="C916" s="2" t="n"/>
      <c r="D916" s="2" t="n"/>
      <c r="E916" s="2" t="n"/>
      <c r="F916" s="2" t="n"/>
      <c r="G916" s="2" t="n"/>
      <c r="H916" s="2" t="n"/>
      <c r="I916" s="2" t="n"/>
      <c r="J916" s="2" t="n"/>
      <c r="K916" s="2" t="n"/>
      <c r="L916" s="2" t="n"/>
      <c r="M916" s="2" t="n"/>
      <c r="N916" s="2" t="n"/>
      <c r="O916" s="2" t="n"/>
      <c r="P916" s="2" t="n"/>
      <c r="Q916" s="2" t="n"/>
      <c r="R916" s="2" t="n"/>
      <c r="S916" s="2" t="n"/>
    </row>
    <row r="917" ht="25" customHeight="1">
      <c r="A917" s="3" t="n"/>
      <c r="B917" s="3" t="n"/>
      <c r="C917" s="3" t="n"/>
      <c r="D917" s="3" t="n"/>
      <c r="E917" s="3" t="n"/>
      <c r="F917" s="3" t="n"/>
      <c r="G917" s="3" t="n"/>
      <c r="H917" s="3" t="n"/>
      <c r="I917" s="3" t="n"/>
      <c r="J917" s="3" t="n"/>
      <c r="K917" s="3" t="n"/>
      <c r="L917" s="3" t="n"/>
      <c r="M917" s="3" t="n"/>
      <c r="N917" s="3" t="n"/>
      <c r="O917" s="3" t="n"/>
      <c r="P917" s="3" t="n"/>
      <c r="Q917" s="3" t="n"/>
      <c r="R917" s="3" t="n"/>
      <c r="S917" s="3" t="n"/>
    </row>
    <row r="918" ht="25" customHeight="1">
      <c r="A918" s="2" t="n"/>
      <c r="B918" s="2" t="n"/>
      <c r="C918" s="2" t="n"/>
      <c r="D918" s="2" t="n"/>
      <c r="E918" s="2" t="n"/>
      <c r="F918" s="2" t="n"/>
      <c r="G918" s="2" t="n"/>
      <c r="H918" s="2" t="n"/>
      <c r="I918" s="2" t="n"/>
      <c r="J918" s="2" t="n"/>
      <c r="K918" s="2" t="n"/>
      <c r="L918" s="2" t="n"/>
      <c r="M918" s="2" t="n"/>
      <c r="N918" s="2" t="n"/>
      <c r="O918" s="2" t="n"/>
      <c r="P918" s="2" t="n"/>
      <c r="Q918" s="2" t="n"/>
      <c r="R918" s="2" t="n"/>
      <c r="S918" s="2" t="n"/>
    </row>
    <row r="919" ht="25" customHeight="1">
      <c r="A919" s="3" t="n"/>
      <c r="B919" s="3" t="n"/>
      <c r="C919" s="3" t="n"/>
      <c r="D919" s="3" t="n"/>
      <c r="E919" s="3" t="n"/>
      <c r="F919" s="3" t="n"/>
      <c r="G919" s="3" t="n"/>
      <c r="H919" s="3" t="n"/>
      <c r="I919" s="3" t="n"/>
      <c r="J919" s="3" t="n"/>
      <c r="K919" s="3" t="n"/>
      <c r="L919" s="3" t="n"/>
      <c r="M919" s="3" t="n"/>
      <c r="N919" s="3" t="n"/>
      <c r="O919" s="3" t="n"/>
      <c r="P919" s="3" t="n"/>
      <c r="Q919" s="3" t="n"/>
      <c r="R919" s="3" t="n"/>
      <c r="S919" s="3" t="n"/>
    </row>
    <row r="920" ht="25" customHeight="1">
      <c r="A920" s="2" t="n"/>
      <c r="B920" s="2" t="n"/>
      <c r="C920" s="2" t="n"/>
      <c r="D920" s="2" t="n"/>
      <c r="E920" s="2" t="n"/>
      <c r="F920" s="2" t="n"/>
      <c r="G920" s="2" t="n"/>
      <c r="H920" s="2" t="n"/>
      <c r="I920" s="2" t="n"/>
      <c r="J920" s="2" t="n"/>
      <c r="K920" s="2" t="n"/>
      <c r="L920" s="2" t="n"/>
      <c r="M920" s="2" t="n"/>
      <c r="N920" s="2" t="n"/>
      <c r="O920" s="2" t="n"/>
      <c r="P920" s="2" t="n"/>
      <c r="Q920" s="2" t="n"/>
      <c r="R920" s="2" t="n"/>
      <c r="S920" s="2" t="n"/>
    </row>
    <row r="921" ht="25" customHeight="1">
      <c r="A921" s="3" t="n"/>
      <c r="B921" s="3" t="n"/>
      <c r="C921" s="3" t="n"/>
      <c r="D921" s="3" t="n"/>
      <c r="E921" s="3" t="n"/>
      <c r="F921" s="3" t="n"/>
      <c r="G921" s="3" t="n"/>
      <c r="H921" s="3" t="n"/>
      <c r="I921" s="3" t="n"/>
      <c r="J921" s="3" t="n"/>
      <c r="K921" s="3" t="n"/>
      <c r="L921" s="3" t="n"/>
      <c r="M921" s="3" t="n"/>
      <c r="N921" s="3" t="n"/>
      <c r="O921" s="3" t="n"/>
      <c r="P921" s="3" t="n"/>
      <c r="Q921" s="3" t="n"/>
      <c r="R921" s="3" t="n"/>
      <c r="S921" s="3" t="n"/>
    </row>
    <row r="922" ht="25" customHeight="1">
      <c r="A922" s="2" t="n"/>
      <c r="B922" s="2" t="n"/>
      <c r="C922" s="2" t="n"/>
      <c r="D922" s="2" t="n"/>
      <c r="E922" s="2" t="n"/>
      <c r="F922" s="2" t="n"/>
      <c r="G922" s="2" t="n"/>
      <c r="H922" s="2" t="n"/>
      <c r="I922" s="2" t="n"/>
      <c r="J922" s="2" t="n"/>
      <c r="K922" s="2" t="n"/>
      <c r="L922" s="2" t="n"/>
      <c r="M922" s="2" t="n"/>
      <c r="N922" s="2" t="n"/>
      <c r="O922" s="2" t="n"/>
      <c r="P922" s="2" t="n"/>
      <c r="Q922" s="2" t="n"/>
      <c r="R922" s="2" t="n"/>
      <c r="S922" s="2" t="n"/>
    </row>
    <row r="923" ht="25" customHeight="1">
      <c r="A923" s="3" t="n"/>
      <c r="B923" s="3" t="n"/>
      <c r="C923" s="3" t="n"/>
      <c r="D923" s="3" t="n"/>
      <c r="E923" s="3" t="n"/>
      <c r="F923" s="3" t="n"/>
      <c r="G923" s="3" t="n"/>
      <c r="H923" s="3" t="n"/>
      <c r="I923" s="3" t="n"/>
      <c r="J923" s="3" t="n"/>
      <c r="K923" s="3" t="n"/>
      <c r="L923" s="3" t="n"/>
      <c r="M923" s="3" t="n"/>
      <c r="N923" s="3" t="n"/>
      <c r="O923" s="3" t="n"/>
      <c r="P923" s="3" t="n"/>
      <c r="Q923" s="3" t="n"/>
      <c r="R923" s="3" t="n"/>
      <c r="S923" s="3" t="n"/>
    </row>
    <row r="924" ht="25" customHeight="1">
      <c r="A924" s="2" t="n"/>
      <c r="B924" s="2" t="n"/>
      <c r="C924" s="2" t="n"/>
      <c r="D924" s="2" t="n"/>
      <c r="E924" s="2" t="n"/>
      <c r="F924" s="2" t="n"/>
      <c r="G924" s="2" t="n"/>
      <c r="H924" s="2" t="n"/>
      <c r="I924" s="2" t="n"/>
      <c r="J924" s="2" t="n"/>
      <c r="K924" s="2" t="n"/>
      <c r="L924" s="2" t="n"/>
      <c r="M924" s="2" t="n"/>
      <c r="N924" s="2" t="n"/>
      <c r="O924" s="2" t="n"/>
      <c r="P924" s="2" t="n"/>
      <c r="Q924" s="2" t="n"/>
      <c r="R924" s="2" t="n"/>
      <c r="S924" s="2" t="n"/>
    </row>
    <row r="925" ht="25" customHeight="1">
      <c r="A925" s="3" t="n"/>
      <c r="B925" s="3" t="n"/>
      <c r="C925" s="3" t="n"/>
      <c r="D925" s="3" t="n"/>
      <c r="E925" s="3" t="n"/>
      <c r="F925" s="3" t="n"/>
      <c r="G925" s="3" t="n"/>
      <c r="H925" s="3" t="n"/>
      <c r="I925" s="3" t="n"/>
      <c r="J925" s="3" t="n"/>
      <c r="K925" s="3" t="n"/>
      <c r="L925" s="3" t="n"/>
      <c r="M925" s="3" t="n"/>
      <c r="N925" s="3" t="n"/>
      <c r="O925" s="3" t="n"/>
      <c r="P925" s="3" t="n"/>
      <c r="Q925" s="3" t="n"/>
      <c r="R925" s="3" t="n"/>
      <c r="S925" s="3" t="n"/>
    </row>
    <row r="926" ht="25" customHeight="1">
      <c r="A926" s="2" t="n"/>
      <c r="B926" s="2" t="n"/>
      <c r="C926" s="2" t="n"/>
      <c r="D926" s="2" t="n"/>
      <c r="E926" s="2" t="n"/>
      <c r="F926" s="2" t="n"/>
      <c r="G926" s="2" t="n"/>
      <c r="H926" s="2" t="n"/>
      <c r="I926" s="2" t="n"/>
      <c r="J926" s="2" t="n"/>
      <c r="K926" s="2" t="n"/>
      <c r="L926" s="2" t="n"/>
      <c r="M926" s="2" t="n"/>
      <c r="N926" s="2" t="n"/>
      <c r="O926" s="2" t="n"/>
      <c r="P926" s="2" t="n"/>
      <c r="Q926" s="2" t="n"/>
      <c r="R926" s="2" t="n"/>
      <c r="S926" s="2" t="n"/>
    </row>
    <row r="927" ht="25" customHeight="1">
      <c r="A927" s="3" t="n"/>
      <c r="B927" s="3" t="n"/>
      <c r="C927" s="3" t="n"/>
      <c r="D927" s="3" t="n"/>
      <c r="E927" s="3" t="n"/>
      <c r="F927" s="3" t="n"/>
      <c r="G927" s="3" t="n"/>
      <c r="H927" s="3" t="n"/>
      <c r="I927" s="3" t="n"/>
      <c r="J927" s="3" t="n"/>
      <c r="K927" s="3" t="n"/>
      <c r="L927" s="3" t="n"/>
      <c r="M927" s="3" t="n"/>
      <c r="N927" s="3" t="n"/>
      <c r="O927" s="3" t="n"/>
      <c r="P927" s="3" t="n"/>
      <c r="Q927" s="3" t="n"/>
      <c r="R927" s="3" t="n"/>
      <c r="S927" s="3" t="n"/>
    </row>
    <row r="928" ht="25" customHeight="1">
      <c r="A928" s="2" t="n"/>
      <c r="B928" s="2" t="n"/>
      <c r="C928" s="2" t="n"/>
      <c r="D928" s="2" t="n"/>
      <c r="E928" s="2" t="n"/>
      <c r="F928" s="2" t="n"/>
      <c r="G928" s="2" t="n"/>
      <c r="H928" s="2" t="n"/>
      <c r="I928" s="2" t="n"/>
      <c r="J928" s="2" t="n"/>
      <c r="K928" s="2" t="n"/>
      <c r="L928" s="2" t="n"/>
      <c r="M928" s="2" t="n"/>
      <c r="N928" s="2" t="n"/>
      <c r="O928" s="2" t="n"/>
      <c r="P928" s="2" t="n"/>
      <c r="Q928" s="2" t="n"/>
      <c r="R928" s="2" t="n"/>
      <c r="S928" s="2" t="n"/>
    </row>
    <row r="929" ht="25" customHeight="1">
      <c r="A929" s="3" t="n"/>
      <c r="B929" s="3" t="n"/>
      <c r="C929" s="3" t="n"/>
      <c r="D929" s="3" t="n"/>
      <c r="E929" s="3" t="n"/>
      <c r="F929" s="3" t="n"/>
      <c r="G929" s="3" t="n"/>
      <c r="H929" s="3" t="n"/>
      <c r="I929" s="3" t="n"/>
      <c r="J929" s="3" t="n"/>
      <c r="K929" s="3" t="n"/>
      <c r="L929" s="3" t="n"/>
      <c r="M929" s="3" t="n"/>
      <c r="N929" s="3" t="n"/>
      <c r="O929" s="3" t="n"/>
      <c r="P929" s="3" t="n"/>
      <c r="Q929" s="3" t="n"/>
      <c r="R929" s="3" t="n"/>
      <c r="S929" s="3" t="n"/>
    </row>
    <row r="930" ht="25" customHeight="1">
      <c r="A930" s="2" t="n"/>
      <c r="B930" s="2" t="n"/>
      <c r="C930" s="2" t="n"/>
      <c r="D930" s="2" t="n"/>
      <c r="E930" s="2" t="n"/>
      <c r="F930" s="2" t="n"/>
      <c r="G930" s="2" t="n"/>
      <c r="H930" s="2" t="n"/>
      <c r="I930" s="2" t="n"/>
      <c r="J930" s="2" t="n"/>
      <c r="K930" s="2" t="n"/>
      <c r="L930" s="2" t="n"/>
      <c r="M930" s="2" t="n"/>
      <c r="N930" s="2" t="n"/>
      <c r="O930" s="2" t="n"/>
      <c r="P930" s="2" t="n"/>
      <c r="Q930" s="2" t="n"/>
      <c r="R930" s="2" t="n"/>
      <c r="S930" s="2" t="n"/>
    </row>
    <row r="931" ht="25" customHeight="1">
      <c r="A931" s="3" t="n"/>
      <c r="B931" s="3" t="n"/>
      <c r="C931" s="3" t="n"/>
      <c r="D931" s="3" t="n"/>
      <c r="E931" s="3" t="n"/>
      <c r="F931" s="3" t="n"/>
      <c r="G931" s="3" t="n"/>
      <c r="H931" s="3" t="n"/>
      <c r="I931" s="3" t="n"/>
      <c r="J931" s="3" t="n"/>
      <c r="K931" s="3" t="n"/>
      <c r="L931" s="3" t="n"/>
      <c r="M931" s="3" t="n"/>
      <c r="N931" s="3" t="n"/>
      <c r="O931" s="3" t="n"/>
      <c r="P931" s="3" t="n"/>
      <c r="Q931" s="3" t="n"/>
      <c r="R931" s="3" t="n"/>
      <c r="S931" s="3" t="n"/>
    </row>
    <row r="932" ht="25" customHeight="1">
      <c r="A932" s="2" t="n"/>
      <c r="B932" s="2" t="n"/>
      <c r="C932" s="2" t="n"/>
      <c r="D932" s="2" t="n"/>
      <c r="E932" s="2" t="n"/>
      <c r="F932" s="2" t="n"/>
      <c r="G932" s="2" t="n"/>
      <c r="H932" s="2" t="n"/>
      <c r="I932" s="2" t="n"/>
      <c r="J932" s="2" t="n"/>
      <c r="K932" s="2" t="n"/>
      <c r="L932" s="2" t="n"/>
      <c r="M932" s="2" t="n"/>
      <c r="N932" s="2" t="n"/>
      <c r="O932" s="2" t="n"/>
      <c r="P932" s="2" t="n"/>
      <c r="Q932" s="2" t="n"/>
      <c r="R932" s="2" t="n"/>
      <c r="S932" s="2" t="n"/>
    </row>
    <row r="933" ht="25" customHeight="1">
      <c r="A933" s="3" t="n"/>
      <c r="B933" s="3" t="n"/>
      <c r="C933" s="3" t="n"/>
      <c r="D933" s="3" t="n"/>
      <c r="E933" s="3" t="n"/>
      <c r="F933" s="3" t="n"/>
      <c r="G933" s="3" t="n"/>
      <c r="H933" s="3" t="n"/>
      <c r="I933" s="3" t="n"/>
      <c r="J933" s="3" t="n"/>
      <c r="K933" s="3" t="n"/>
      <c r="L933" s="3" t="n"/>
      <c r="M933" s="3" t="n"/>
      <c r="N933" s="3" t="n"/>
      <c r="O933" s="3" t="n"/>
      <c r="P933" s="3" t="n"/>
      <c r="Q933" s="3" t="n"/>
      <c r="R933" s="3" t="n"/>
      <c r="S933" s="3" t="n"/>
    </row>
    <row r="934" ht="25" customHeight="1">
      <c r="A934" s="2" t="n"/>
      <c r="B934" s="2" t="n"/>
      <c r="C934" s="2" t="n"/>
      <c r="D934" s="2" t="n"/>
      <c r="E934" s="2" t="n"/>
      <c r="F934" s="2" t="n"/>
      <c r="G934" s="2" t="n"/>
      <c r="H934" s="2" t="n"/>
      <c r="I934" s="2" t="n"/>
      <c r="J934" s="2" t="n"/>
      <c r="K934" s="2" t="n"/>
      <c r="L934" s="2" t="n"/>
      <c r="M934" s="2" t="n"/>
      <c r="N934" s="2" t="n"/>
      <c r="O934" s="2" t="n"/>
      <c r="P934" s="2" t="n"/>
      <c r="Q934" s="2" t="n"/>
      <c r="R934" s="2" t="n"/>
      <c r="S934" s="2" t="n"/>
    </row>
    <row r="935" ht="25" customHeight="1">
      <c r="A935" s="3" t="n"/>
      <c r="B935" s="3" t="n"/>
      <c r="C935" s="3" t="n"/>
      <c r="D935" s="3" t="n"/>
      <c r="E935" s="3" t="n"/>
      <c r="F935" s="3" t="n"/>
      <c r="G935" s="3" t="n"/>
      <c r="H935" s="3" t="n"/>
      <c r="I935" s="3" t="n"/>
      <c r="J935" s="3" t="n"/>
      <c r="K935" s="3" t="n"/>
      <c r="L935" s="3" t="n"/>
      <c r="M935" s="3" t="n"/>
      <c r="N935" s="3" t="n"/>
      <c r="O935" s="3" t="n"/>
      <c r="P935" s="3" t="n"/>
      <c r="Q935" s="3" t="n"/>
      <c r="R935" s="3" t="n"/>
      <c r="S935" s="3" t="n"/>
    </row>
    <row r="936" ht="25" customHeight="1">
      <c r="A936" s="2" t="n"/>
      <c r="B936" s="2" t="n"/>
      <c r="C936" s="2" t="n"/>
      <c r="D936" s="2" t="n"/>
      <c r="E936" s="2" t="n"/>
      <c r="F936" s="2" t="n"/>
      <c r="G936" s="2" t="n"/>
      <c r="H936" s="2" t="n"/>
      <c r="I936" s="2" t="n"/>
      <c r="J936" s="2" t="n"/>
      <c r="K936" s="2" t="n"/>
      <c r="L936" s="2" t="n"/>
      <c r="M936" s="2" t="n"/>
      <c r="N936" s="2" t="n"/>
      <c r="O936" s="2" t="n"/>
      <c r="P936" s="2" t="n"/>
      <c r="Q936" s="2" t="n"/>
      <c r="R936" s="2" t="n"/>
      <c r="S936" s="2" t="n"/>
    </row>
    <row r="937" ht="25" customHeight="1">
      <c r="A937" s="3" t="n"/>
      <c r="B937" s="3" t="n"/>
      <c r="C937" s="3" t="n"/>
      <c r="D937" s="3" t="n"/>
      <c r="E937" s="3" t="n"/>
      <c r="F937" s="3" t="n"/>
      <c r="G937" s="3" t="n"/>
      <c r="H937" s="3" t="n"/>
      <c r="I937" s="3" t="n"/>
      <c r="J937" s="3" t="n"/>
      <c r="K937" s="3" t="n"/>
      <c r="L937" s="3" t="n"/>
      <c r="M937" s="3" t="n"/>
      <c r="N937" s="3" t="n"/>
      <c r="O937" s="3" t="n"/>
      <c r="P937" s="3" t="n"/>
      <c r="Q937" s="3" t="n"/>
      <c r="R937" s="3" t="n"/>
      <c r="S937" s="3" t="n"/>
    </row>
    <row r="938" ht="25" customHeight="1">
      <c r="A938" s="2" t="n"/>
      <c r="B938" s="2" t="n"/>
      <c r="C938" s="2" t="n"/>
      <c r="D938" s="2" t="n"/>
      <c r="E938" s="2" t="n"/>
      <c r="F938" s="2" t="n"/>
      <c r="G938" s="2" t="n"/>
      <c r="H938" s="2" t="n"/>
      <c r="I938" s="2" t="n"/>
      <c r="J938" s="2" t="n"/>
      <c r="K938" s="2" t="n"/>
      <c r="L938" s="2" t="n"/>
      <c r="M938" s="2" t="n"/>
      <c r="N938" s="2" t="n"/>
      <c r="O938" s="2" t="n"/>
      <c r="P938" s="2" t="n"/>
      <c r="Q938" s="2" t="n"/>
      <c r="R938" s="2" t="n"/>
      <c r="S938" s="2" t="n"/>
    </row>
    <row r="939" ht="25" customHeight="1">
      <c r="A939" s="3" t="n"/>
      <c r="B939" s="3" t="n"/>
      <c r="C939" s="3" t="n"/>
      <c r="D939" s="3" t="n"/>
      <c r="E939" s="3" t="n"/>
      <c r="F939" s="3" t="n"/>
      <c r="G939" s="3" t="n"/>
      <c r="H939" s="3" t="n"/>
      <c r="I939" s="3" t="n"/>
      <c r="J939" s="3" t="n"/>
      <c r="K939" s="3" t="n"/>
      <c r="L939" s="3" t="n"/>
      <c r="M939" s="3" t="n"/>
      <c r="N939" s="3" t="n"/>
      <c r="O939" s="3" t="n"/>
      <c r="P939" s="3" t="n"/>
      <c r="Q939" s="3" t="n"/>
      <c r="R939" s="3" t="n"/>
      <c r="S939" s="3" t="n"/>
    </row>
    <row r="940" ht="25" customHeight="1">
      <c r="A940" s="2" t="n"/>
      <c r="B940" s="2" t="n"/>
      <c r="C940" s="2" t="n"/>
      <c r="D940" s="2" t="n"/>
      <c r="E940" s="2" t="n"/>
      <c r="F940" s="2" t="n"/>
      <c r="G940" s="2" t="n"/>
      <c r="H940" s="2" t="n"/>
      <c r="I940" s="2" t="n"/>
      <c r="J940" s="2" t="n"/>
      <c r="K940" s="2" t="n"/>
      <c r="L940" s="2" t="n"/>
      <c r="M940" s="2" t="n"/>
      <c r="N940" s="2" t="n"/>
      <c r="O940" s="2" t="n"/>
      <c r="P940" s="2" t="n"/>
      <c r="Q940" s="2" t="n"/>
      <c r="R940" s="2" t="n"/>
      <c r="S940" s="2" t="n"/>
    </row>
    <row r="941" ht="25" customHeight="1">
      <c r="A941" s="3" t="n"/>
      <c r="B941" s="3" t="n"/>
      <c r="C941" s="3" t="n"/>
      <c r="D941" s="3" t="n"/>
      <c r="E941" s="3" t="n"/>
      <c r="F941" s="3" t="n"/>
      <c r="G941" s="3" t="n"/>
      <c r="H941" s="3" t="n"/>
      <c r="I941" s="3" t="n"/>
      <c r="J941" s="3" t="n"/>
      <c r="K941" s="3" t="n"/>
      <c r="L941" s="3" t="n"/>
      <c r="M941" s="3" t="n"/>
      <c r="N941" s="3" t="n"/>
      <c r="O941" s="3" t="n"/>
      <c r="P941" s="3" t="n"/>
      <c r="Q941" s="3" t="n"/>
      <c r="R941" s="3" t="n"/>
      <c r="S941" s="3" t="n"/>
    </row>
    <row r="942" ht="25" customHeight="1">
      <c r="A942" s="2" t="n"/>
      <c r="B942" s="2" t="n"/>
      <c r="C942" s="2" t="n"/>
      <c r="D942" s="2" t="n"/>
      <c r="E942" s="2" t="n"/>
      <c r="F942" s="2" t="n"/>
      <c r="G942" s="2" t="n"/>
      <c r="H942" s="2" t="n"/>
      <c r="I942" s="2" t="n"/>
      <c r="J942" s="2" t="n"/>
      <c r="K942" s="2" t="n"/>
      <c r="L942" s="2" t="n"/>
      <c r="M942" s="2" t="n"/>
      <c r="N942" s="2" t="n"/>
      <c r="O942" s="2" t="n"/>
      <c r="P942" s="2" t="n"/>
      <c r="Q942" s="2" t="n"/>
      <c r="R942" s="2" t="n"/>
      <c r="S942" s="2" t="n"/>
    </row>
    <row r="943" ht="25" customHeight="1">
      <c r="A943" s="3" t="n"/>
      <c r="B943" s="3" t="n"/>
      <c r="C943" s="3" t="n"/>
      <c r="D943" s="3" t="n"/>
      <c r="E943" s="3" t="n"/>
      <c r="F943" s="3" t="n"/>
      <c r="G943" s="3" t="n"/>
      <c r="H943" s="3" t="n"/>
      <c r="I943" s="3" t="n"/>
      <c r="J943" s="3" t="n"/>
      <c r="K943" s="3" t="n"/>
      <c r="L943" s="3" t="n"/>
      <c r="M943" s="3" t="n"/>
      <c r="N943" s="3" t="n"/>
      <c r="O943" s="3" t="n"/>
      <c r="P943" s="3" t="n"/>
      <c r="Q943" s="3" t="n"/>
      <c r="R943" s="3" t="n"/>
      <c r="S943" s="3" t="n"/>
    </row>
    <row r="944" ht="25" customHeight="1">
      <c r="A944" s="2" t="n"/>
      <c r="B944" s="2" t="n"/>
      <c r="C944" s="2" t="n"/>
      <c r="D944" s="2" t="n"/>
      <c r="E944" s="2" t="n"/>
      <c r="F944" s="2" t="n"/>
      <c r="G944" s="2" t="n"/>
      <c r="H944" s="2" t="n"/>
      <c r="I944" s="2" t="n"/>
      <c r="J944" s="2" t="n"/>
      <c r="K944" s="2" t="n"/>
      <c r="L944" s="2" t="n"/>
      <c r="M944" s="2" t="n"/>
      <c r="N944" s="2" t="n"/>
      <c r="O944" s="2" t="n"/>
      <c r="P944" s="2" t="n"/>
      <c r="Q944" s="2" t="n"/>
      <c r="R944" s="2" t="n"/>
      <c r="S944" s="2" t="n"/>
    </row>
    <row r="945" ht="25" customHeight="1">
      <c r="A945" s="3" t="n"/>
      <c r="B945" s="3" t="n"/>
      <c r="C945" s="3" t="n"/>
      <c r="D945" s="3" t="n"/>
      <c r="E945" s="3" t="n"/>
      <c r="F945" s="3" t="n"/>
      <c r="G945" s="3" t="n"/>
      <c r="H945" s="3" t="n"/>
      <c r="I945" s="3" t="n"/>
      <c r="J945" s="3" t="n"/>
      <c r="K945" s="3" t="n"/>
      <c r="L945" s="3" t="n"/>
      <c r="M945" s="3" t="n"/>
      <c r="N945" s="3" t="n"/>
      <c r="O945" s="3" t="n"/>
      <c r="P945" s="3" t="n"/>
      <c r="Q945" s="3" t="n"/>
      <c r="R945" s="3" t="n"/>
      <c r="S945" s="3" t="n"/>
    </row>
    <row r="946" ht="25" customHeight="1">
      <c r="A946" s="2" t="n"/>
      <c r="B946" s="2" t="n"/>
      <c r="C946" s="2" t="n"/>
      <c r="D946" s="2" t="n"/>
      <c r="E946" s="2" t="n"/>
      <c r="F946" s="2" t="n"/>
      <c r="G946" s="2" t="n"/>
      <c r="H946" s="2" t="n"/>
      <c r="I946" s="2" t="n"/>
      <c r="J946" s="2" t="n"/>
      <c r="K946" s="2" t="n"/>
      <c r="L946" s="2" t="n"/>
      <c r="M946" s="2" t="n"/>
      <c r="N946" s="2" t="n"/>
      <c r="O946" s="2" t="n"/>
      <c r="P946" s="2" t="n"/>
      <c r="Q946" s="2" t="n"/>
      <c r="R946" s="2" t="n"/>
      <c r="S946" s="2" t="n"/>
    </row>
    <row r="947" ht="25" customHeight="1">
      <c r="A947" s="3" t="n"/>
      <c r="B947" s="3" t="n"/>
      <c r="C947" s="3" t="n"/>
      <c r="D947" s="3" t="n"/>
      <c r="E947" s="3" t="n"/>
      <c r="F947" s="3" t="n"/>
      <c r="G947" s="3" t="n"/>
      <c r="H947" s="3" t="n"/>
      <c r="I947" s="3" t="n"/>
      <c r="J947" s="3" t="n"/>
      <c r="K947" s="3" t="n"/>
      <c r="L947" s="3" t="n"/>
      <c r="M947" s="3" t="n"/>
      <c r="N947" s="3" t="n"/>
      <c r="O947" s="3" t="n"/>
      <c r="P947" s="3" t="n"/>
      <c r="Q947" s="3" t="n"/>
      <c r="R947" s="3" t="n"/>
      <c r="S947" s="3" t="n"/>
    </row>
    <row r="948" ht="25" customHeight="1">
      <c r="A948" s="2" t="n"/>
      <c r="B948" s="2" t="n"/>
      <c r="C948" s="2" t="n"/>
      <c r="D948" s="2" t="n"/>
      <c r="E948" s="2" t="n"/>
      <c r="F948" s="2" t="n"/>
      <c r="G948" s="2" t="n"/>
      <c r="H948" s="2" t="n"/>
      <c r="I948" s="2" t="n"/>
      <c r="J948" s="2" t="n"/>
      <c r="K948" s="2" t="n"/>
      <c r="L948" s="2" t="n"/>
      <c r="M948" s="2" t="n"/>
      <c r="N948" s="2" t="n"/>
      <c r="O948" s="2" t="n"/>
      <c r="P948" s="2" t="n"/>
      <c r="Q948" s="2" t="n"/>
      <c r="R948" s="2" t="n"/>
      <c r="S948" s="2" t="n"/>
    </row>
    <row r="949" ht="25" customHeight="1">
      <c r="A949" s="3" t="n"/>
      <c r="B949" s="3" t="n"/>
      <c r="C949" s="3" t="n"/>
      <c r="D949" s="3" t="n"/>
      <c r="E949" s="3" t="n"/>
      <c r="F949" s="3" t="n"/>
      <c r="G949" s="3" t="n"/>
      <c r="H949" s="3" t="n"/>
      <c r="I949" s="3" t="n"/>
      <c r="J949" s="3" t="n"/>
      <c r="K949" s="3" t="n"/>
      <c r="L949" s="3" t="n"/>
      <c r="M949" s="3" t="n"/>
      <c r="N949" s="3" t="n"/>
      <c r="O949" s="3" t="n"/>
      <c r="P949" s="3" t="n"/>
      <c r="Q949" s="3" t="n"/>
      <c r="R949" s="3" t="n"/>
      <c r="S949" s="3" t="n"/>
    </row>
    <row r="950" ht="25" customHeight="1">
      <c r="A950" s="2" t="n"/>
      <c r="B950" s="2" t="n"/>
      <c r="C950" s="2" t="n"/>
      <c r="D950" s="2" t="n"/>
      <c r="E950" s="2" t="n"/>
      <c r="F950" s="2" t="n"/>
      <c r="G950" s="2" t="n"/>
      <c r="H950" s="2" t="n"/>
      <c r="I950" s="2" t="n"/>
      <c r="J950" s="2" t="n"/>
      <c r="K950" s="2" t="n"/>
      <c r="L950" s="2" t="n"/>
      <c r="M950" s="2" t="n"/>
      <c r="N950" s="2" t="n"/>
      <c r="O950" s="2" t="n"/>
      <c r="P950" s="2" t="n"/>
      <c r="Q950" s="2" t="n"/>
      <c r="R950" s="2" t="n"/>
      <c r="S950" s="2" t="n"/>
    </row>
    <row r="951" ht="25" customHeight="1">
      <c r="A951" s="3" t="n"/>
      <c r="B951" s="3" t="n"/>
      <c r="C951" s="3" t="n"/>
      <c r="D951" s="3" t="n"/>
      <c r="E951" s="3" t="n"/>
      <c r="F951" s="3" t="n"/>
      <c r="G951" s="3" t="n"/>
      <c r="H951" s="3" t="n"/>
      <c r="I951" s="3" t="n"/>
      <c r="J951" s="3" t="n"/>
      <c r="K951" s="3" t="n"/>
      <c r="L951" s="3" t="n"/>
      <c r="M951" s="3" t="n"/>
      <c r="N951" s="3" t="n"/>
      <c r="O951" s="3" t="n"/>
      <c r="P951" s="3" t="n"/>
      <c r="Q951" s="3" t="n"/>
      <c r="R951" s="3" t="n"/>
      <c r="S951" s="3" t="n"/>
    </row>
    <row r="952" ht="25" customHeight="1">
      <c r="A952" s="2" t="n"/>
      <c r="B952" s="2" t="n"/>
      <c r="C952" s="2" t="n"/>
      <c r="D952" s="2" t="n"/>
      <c r="E952" s="2" t="n"/>
      <c r="F952" s="2" t="n"/>
      <c r="G952" s="2" t="n"/>
      <c r="H952" s="2" t="n"/>
      <c r="I952" s="2" t="n"/>
      <c r="J952" s="2" t="n"/>
      <c r="K952" s="2" t="n"/>
      <c r="L952" s="2" t="n"/>
      <c r="M952" s="2" t="n"/>
      <c r="N952" s="2" t="n"/>
      <c r="O952" s="2" t="n"/>
      <c r="P952" s="2" t="n"/>
      <c r="Q952" s="2" t="n"/>
      <c r="R952" s="2" t="n"/>
      <c r="S952" s="2" t="n"/>
    </row>
    <row r="953" ht="25" customHeight="1">
      <c r="A953" s="3" t="n"/>
      <c r="B953" s="3" t="n"/>
      <c r="C953" s="3" t="n"/>
      <c r="D953" s="3" t="n"/>
      <c r="E953" s="3" t="n"/>
      <c r="F953" s="3" t="n"/>
      <c r="G953" s="3" t="n"/>
      <c r="H953" s="3" t="n"/>
      <c r="I953" s="3" t="n"/>
      <c r="J953" s="3" t="n"/>
      <c r="K953" s="3" t="n"/>
      <c r="L953" s="3" t="n"/>
      <c r="M953" s="3" t="n"/>
      <c r="N953" s="3" t="n"/>
      <c r="O953" s="3" t="n"/>
      <c r="P953" s="3" t="n"/>
      <c r="Q953" s="3" t="n"/>
      <c r="R953" s="3" t="n"/>
      <c r="S953" s="3" t="n"/>
    </row>
    <row r="954" ht="25" customHeight="1">
      <c r="A954" s="2" t="n"/>
      <c r="B954" s="2" t="n"/>
      <c r="C954" s="2" t="n"/>
      <c r="D954" s="2" t="n"/>
      <c r="E954" s="2" t="n"/>
      <c r="F954" s="2" t="n"/>
      <c r="G954" s="2" t="n"/>
      <c r="H954" s="2" t="n"/>
      <c r="I954" s="2" t="n"/>
      <c r="J954" s="2" t="n"/>
      <c r="K954" s="2" t="n"/>
      <c r="L954" s="2" t="n"/>
      <c r="M954" s="2" t="n"/>
      <c r="N954" s="2" t="n"/>
      <c r="O954" s="2" t="n"/>
      <c r="P954" s="2" t="n"/>
      <c r="Q954" s="2" t="n"/>
      <c r="R954" s="2" t="n"/>
      <c r="S954" s="2" t="n"/>
    </row>
    <row r="955" ht="25" customHeight="1">
      <c r="A955" s="3" t="n"/>
      <c r="B955" s="3" t="n"/>
      <c r="C955" s="3" t="n"/>
      <c r="D955" s="3" t="n"/>
      <c r="E955" s="3" t="n"/>
      <c r="F955" s="3" t="n"/>
      <c r="G955" s="3" t="n"/>
      <c r="H955" s="3" t="n"/>
      <c r="I955" s="3" t="n"/>
      <c r="J955" s="3" t="n"/>
      <c r="K955" s="3" t="n"/>
      <c r="L955" s="3" t="n"/>
      <c r="M955" s="3" t="n"/>
      <c r="N955" s="3" t="n"/>
      <c r="O955" s="3" t="n"/>
      <c r="P955" s="3" t="n"/>
      <c r="Q955" s="3" t="n"/>
      <c r="R955" s="3" t="n"/>
      <c r="S955" s="3" t="n"/>
    </row>
    <row r="956" ht="25" customHeight="1">
      <c r="A956" s="2" t="n"/>
      <c r="B956" s="2" t="n"/>
      <c r="C956" s="2" t="n"/>
      <c r="D956" s="2" t="n"/>
      <c r="E956" s="2" t="n"/>
      <c r="F956" s="2" t="n"/>
      <c r="G956" s="2" t="n"/>
      <c r="H956" s="2" t="n"/>
      <c r="I956" s="2" t="n"/>
      <c r="J956" s="2" t="n"/>
      <c r="K956" s="2" t="n"/>
      <c r="L956" s="2" t="n"/>
      <c r="M956" s="2" t="n"/>
      <c r="N956" s="2" t="n"/>
      <c r="O956" s="2" t="n"/>
      <c r="P956" s="2" t="n"/>
      <c r="Q956" s="2" t="n"/>
      <c r="R956" s="2" t="n"/>
      <c r="S956" s="2" t="n"/>
    </row>
    <row r="957" ht="25" customHeight="1">
      <c r="A957" s="3" t="n"/>
      <c r="B957" s="3" t="n"/>
      <c r="C957" s="3" t="n"/>
      <c r="D957" s="3" t="n"/>
      <c r="E957" s="3" t="n"/>
      <c r="F957" s="3" t="n"/>
      <c r="G957" s="3" t="n"/>
      <c r="H957" s="3" t="n"/>
      <c r="I957" s="3" t="n"/>
      <c r="J957" s="3" t="n"/>
      <c r="K957" s="3" t="n"/>
      <c r="L957" s="3" t="n"/>
      <c r="M957" s="3" t="n"/>
      <c r="N957" s="3" t="n"/>
      <c r="O957" s="3" t="n"/>
      <c r="P957" s="3" t="n"/>
      <c r="Q957" s="3" t="n"/>
      <c r="R957" s="3" t="n"/>
      <c r="S957" s="3" t="n"/>
    </row>
    <row r="958" ht="25" customHeight="1">
      <c r="A958" s="2" t="n"/>
      <c r="B958" s="2" t="n"/>
      <c r="C958" s="2" t="n"/>
      <c r="D958" s="2" t="n"/>
      <c r="E958" s="2" t="n"/>
      <c r="F958" s="2" t="n"/>
      <c r="G958" s="2" t="n"/>
      <c r="H958" s="2" t="n"/>
      <c r="I958" s="2" t="n"/>
      <c r="J958" s="2" t="n"/>
      <c r="K958" s="2" t="n"/>
      <c r="L958" s="2" t="n"/>
      <c r="M958" s="2" t="n"/>
      <c r="N958" s="2" t="n"/>
      <c r="O958" s="2" t="n"/>
      <c r="P958" s="2" t="n"/>
      <c r="Q958" s="2" t="n"/>
      <c r="R958" s="2" t="n"/>
      <c r="S958" s="2" t="n"/>
    </row>
    <row r="959" ht="25" customHeight="1">
      <c r="A959" s="3" t="n"/>
      <c r="B959" s="3" t="n"/>
      <c r="C959" s="3" t="n"/>
      <c r="D959" s="3" t="n"/>
      <c r="E959" s="3" t="n"/>
      <c r="F959" s="3" t="n"/>
      <c r="G959" s="3" t="n"/>
      <c r="H959" s="3" t="n"/>
      <c r="I959" s="3" t="n"/>
      <c r="J959" s="3" t="n"/>
      <c r="K959" s="3" t="n"/>
      <c r="L959" s="3" t="n"/>
      <c r="M959" s="3" t="n"/>
      <c r="N959" s="3" t="n"/>
      <c r="O959" s="3" t="n"/>
      <c r="P959" s="3" t="n"/>
      <c r="Q959" s="3" t="n"/>
      <c r="R959" s="3" t="n"/>
      <c r="S959" s="3" t="n"/>
    </row>
    <row r="960" ht="25" customHeight="1">
      <c r="A960" s="2" t="n"/>
      <c r="B960" s="2" t="n"/>
      <c r="C960" s="2" t="n"/>
      <c r="D960" s="2" t="n"/>
      <c r="E960" s="2" t="n"/>
      <c r="F960" s="2" t="n"/>
      <c r="G960" s="2" t="n"/>
      <c r="H960" s="2" t="n"/>
      <c r="I960" s="2" t="n"/>
      <c r="J960" s="2" t="n"/>
      <c r="K960" s="2" t="n"/>
      <c r="L960" s="2" t="n"/>
      <c r="M960" s="2" t="n"/>
      <c r="N960" s="2" t="n"/>
      <c r="O960" s="2" t="n"/>
      <c r="P960" s="2" t="n"/>
      <c r="Q960" s="2" t="n"/>
      <c r="R960" s="2" t="n"/>
      <c r="S960" s="2" t="n"/>
    </row>
    <row r="961" ht="25" customHeight="1">
      <c r="A961" s="3" t="n"/>
      <c r="B961" s="3" t="n"/>
      <c r="C961" s="3" t="n"/>
      <c r="D961" s="3" t="n"/>
      <c r="E961" s="3" t="n"/>
      <c r="F961" s="3" t="n"/>
      <c r="G961" s="3" t="n"/>
      <c r="H961" s="3" t="n"/>
      <c r="I961" s="3" t="n"/>
      <c r="J961" s="3" t="n"/>
      <c r="K961" s="3" t="n"/>
      <c r="L961" s="3" t="n"/>
      <c r="M961" s="3" t="n"/>
      <c r="N961" s="3" t="n"/>
      <c r="O961" s="3" t="n"/>
      <c r="P961" s="3" t="n"/>
      <c r="Q961" s="3" t="n"/>
      <c r="R961" s="3" t="n"/>
      <c r="S961" s="3" t="n"/>
    </row>
    <row r="962" ht="25" customHeight="1">
      <c r="A962" s="2" t="n"/>
      <c r="B962" s="2" t="n"/>
      <c r="C962" s="2" t="n"/>
      <c r="D962" s="2" t="n"/>
      <c r="E962" s="2" t="n"/>
      <c r="F962" s="2" t="n"/>
      <c r="G962" s="2" t="n"/>
      <c r="H962" s="2" t="n"/>
      <c r="I962" s="2" t="n"/>
      <c r="J962" s="2" t="n"/>
      <c r="K962" s="2" t="n"/>
      <c r="L962" s="2" t="n"/>
      <c r="M962" s="2" t="n"/>
      <c r="N962" s="2" t="n"/>
      <c r="O962" s="2" t="n"/>
      <c r="P962" s="2" t="n"/>
      <c r="Q962" s="2" t="n"/>
      <c r="R962" s="2" t="n"/>
      <c r="S962" s="2" t="n"/>
    </row>
    <row r="963" ht="25" customHeight="1">
      <c r="A963" s="3" t="n"/>
      <c r="B963" s="3" t="n"/>
      <c r="C963" s="3" t="n"/>
      <c r="D963" s="3" t="n"/>
      <c r="E963" s="3" t="n"/>
      <c r="F963" s="3" t="n"/>
      <c r="G963" s="3" t="n"/>
      <c r="H963" s="3" t="n"/>
      <c r="I963" s="3" t="n"/>
      <c r="J963" s="3" t="n"/>
      <c r="K963" s="3" t="n"/>
      <c r="L963" s="3" t="n"/>
      <c r="M963" s="3" t="n"/>
      <c r="N963" s="3" t="n"/>
      <c r="O963" s="3" t="n"/>
      <c r="P963" s="3" t="n"/>
      <c r="Q963" s="3" t="n"/>
      <c r="R963" s="3" t="n"/>
      <c r="S963" s="3" t="n"/>
    </row>
    <row r="964" ht="25" customHeight="1">
      <c r="A964" s="2" t="n"/>
      <c r="B964" s="2" t="n"/>
      <c r="C964" s="2" t="n"/>
      <c r="D964" s="2" t="n"/>
      <c r="E964" s="2" t="n"/>
      <c r="F964" s="2" t="n"/>
      <c r="G964" s="2" t="n"/>
      <c r="H964" s="2" t="n"/>
      <c r="I964" s="2" t="n"/>
      <c r="J964" s="2" t="n"/>
      <c r="K964" s="2" t="n"/>
      <c r="L964" s="2" t="n"/>
      <c r="M964" s="2" t="n"/>
      <c r="N964" s="2" t="n"/>
      <c r="O964" s="2" t="n"/>
      <c r="P964" s="2" t="n"/>
      <c r="Q964" s="2" t="n"/>
      <c r="R964" s="2" t="n"/>
      <c r="S964" s="2" t="n"/>
    </row>
    <row r="965" ht="25" customHeight="1">
      <c r="A965" s="3" t="n"/>
      <c r="B965" s="3" t="n"/>
      <c r="C965" s="3" t="n"/>
      <c r="D965" s="3" t="n"/>
      <c r="E965" s="3" t="n"/>
      <c r="F965" s="3" t="n"/>
      <c r="G965" s="3" t="n"/>
      <c r="H965" s="3" t="n"/>
      <c r="I965" s="3" t="n"/>
      <c r="J965" s="3" t="n"/>
      <c r="K965" s="3" t="n"/>
      <c r="L965" s="3" t="n"/>
      <c r="M965" s="3" t="n"/>
      <c r="N965" s="3" t="n"/>
      <c r="O965" s="3" t="n"/>
      <c r="P965" s="3" t="n"/>
      <c r="Q965" s="3" t="n"/>
      <c r="R965" s="3" t="n"/>
      <c r="S965" s="3" t="n"/>
    </row>
    <row r="966" ht="25" customHeight="1">
      <c r="A966" s="2" t="n"/>
      <c r="B966" s="2" t="n"/>
      <c r="C966" s="2" t="n"/>
      <c r="D966" s="2" t="n"/>
      <c r="E966" s="2" t="n"/>
      <c r="F966" s="2" t="n"/>
      <c r="G966" s="2" t="n"/>
      <c r="H966" s="2" t="n"/>
      <c r="I966" s="2" t="n"/>
      <c r="J966" s="2" t="n"/>
      <c r="K966" s="2" t="n"/>
      <c r="L966" s="2" t="n"/>
      <c r="M966" s="2" t="n"/>
      <c r="N966" s="2" t="n"/>
      <c r="O966" s="2" t="n"/>
      <c r="P966" s="2" t="n"/>
      <c r="Q966" s="2" t="n"/>
      <c r="R966" s="2" t="n"/>
      <c r="S966" s="2" t="n"/>
    </row>
    <row r="967" ht="25" customHeight="1">
      <c r="A967" s="3" t="n"/>
      <c r="B967" s="3" t="n"/>
      <c r="C967" s="3" t="n"/>
      <c r="D967" s="3" t="n"/>
      <c r="E967" s="3" t="n"/>
      <c r="F967" s="3" t="n"/>
      <c r="G967" s="3" t="n"/>
      <c r="H967" s="3" t="n"/>
      <c r="I967" s="3" t="n"/>
      <c r="J967" s="3" t="n"/>
      <c r="K967" s="3" t="n"/>
      <c r="L967" s="3" t="n"/>
      <c r="M967" s="3" t="n"/>
      <c r="N967" s="3" t="n"/>
      <c r="O967" s="3" t="n"/>
      <c r="P967" s="3" t="n"/>
      <c r="Q967" s="3" t="n"/>
      <c r="R967" s="3" t="n"/>
      <c r="S967" s="3" t="n"/>
    </row>
    <row r="968" ht="25" customHeight="1">
      <c r="A968" s="2" t="n"/>
      <c r="B968" s="2" t="n"/>
      <c r="C968" s="2" t="n"/>
      <c r="D968" s="2" t="n"/>
      <c r="E968" s="2" t="n"/>
      <c r="F968" s="2" t="n"/>
      <c r="G968" s="2" t="n"/>
      <c r="H968" s="2" t="n"/>
      <c r="I968" s="2" t="n"/>
      <c r="J968" s="2" t="n"/>
      <c r="K968" s="2" t="n"/>
      <c r="L968" s="2" t="n"/>
      <c r="M968" s="2" t="n"/>
      <c r="N968" s="2" t="n"/>
      <c r="O968" s="2" t="n"/>
      <c r="P968" s="2" t="n"/>
      <c r="Q968" s="2" t="n"/>
      <c r="R968" s="2" t="n"/>
      <c r="S968" s="2" t="n"/>
    </row>
    <row r="969" ht="25" customHeight="1">
      <c r="A969" s="3" t="n"/>
      <c r="B969" s="3" t="n"/>
      <c r="C969" s="3" t="n"/>
      <c r="D969" s="3" t="n"/>
      <c r="E969" s="3" t="n"/>
      <c r="F969" s="3" t="n"/>
      <c r="G969" s="3" t="n"/>
      <c r="H969" s="3" t="n"/>
      <c r="I969" s="3" t="n"/>
      <c r="J969" s="3" t="n"/>
      <c r="K969" s="3" t="n"/>
      <c r="L969" s="3" t="n"/>
      <c r="M969" s="3" t="n"/>
      <c r="N969" s="3" t="n"/>
      <c r="O969" s="3" t="n"/>
      <c r="P969" s="3" t="n"/>
      <c r="Q969" s="3" t="n"/>
      <c r="R969" s="3" t="n"/>
      <c r="S969" s="3" t="n"/>
    </row>
    <row r="970" ht="25" customHeight="1">
      <c r="A970" s="2" t="n"/>
      <c r="B970" s="2" t="n"/>
      <c r="C970" s="2" t="n"/>
      <c r="D970" s="2" t="n"/>
      <c r="E970" s="2" t="n"/>
      <c r="F970" s="2" t="n"/>
      <c r="G970" s="2" t="n"/>
      <c r="H970" s="2" t="n"/>
      <c r="I970" s="2" t="n"/>
      <c r="J970" s="2" t="n"/>
      <c r="K970" s="2" t="n"/>
      <c r="L970" s="2" t="n"/>
      <c r="M970" s="2" t="n"/>
      <c r="N970" s="2" t="n"/>
      <c r="O970" s="2" t="n"/>
      <c r="P970" s="2" t="n"/>
      <c r="Q970" s="2" t="n"/>
      <c r="R970" s="2" t="n"/>
      <c r="S970" s="2" t="n"/>
    </row>
    <row r="971" ht="25" customHeight="1">
      <c r="A971" s="3" t="n"/>
      <c r="B971" s="3" t="n"/>
      <c r="C971" s="3" t="n"/>
      <c r="D971" s="3" t="n"/>
      <c r="E971" s="3" t="n"/>
      <c r="F971" s="3" t="n"/>
      <c r="G971" s="3" t="n"/>
      <c r="H971" s="3" t="n"/>
      <c r="I971" s="3" t="n"/>
      <c r="J971" s="3" t="n"/>
      <c r="K971" s="3" t="n"/>
      <c r="L971" s="3" t="n"/>
      <c r="M971" s="3" t="n"/>
      <c r="N971" s="3" t="n"/>
      <c r="O971" s="3" t="n"/>
      <c r="P971" s="3" t="n"/>
      <c r="Q971" s="3" t="n"/>
      <c r="R971" s="3" t="n"/>
      <c r="S971" s="3" t="n"/>
    </row>
    <row r="972" ht="25" customHeight="1">
      <c r="A972" s="2" t="n"/>
      <c r="B972" s="2" t="n"/>
      <c r="C972" s="2" t="n"/>
      <c r="D972" s="2" t="n"/>
      <c r="E972" s="2" t="n"/>
      <c r="F972" s="2" t="n"/>
      <c r="G972" s="2" t="n"/>
      <c r="H972" s="2" t="n"/>
      <c r="I972" s="2" t="n"/>
      <c r="J972" s="2" t="n"/>
      <c r="K972" s="2" t="n"/>
      <c r="L972" s="2" t="n"/>
      <c r="M972" s="2" t="n"/>
      <c r="N972" s="2" t="n"/>
      <c r="O972" s="2" t="n"/>
      <c r="P972" s="2" t="n"/>
      <c r="Q972" s="2" t="n"/>
      <c r="R972" s="2" t="n"/>
      <c r="S972" s="2" t="n"/>
    </row>
    <row r="973" ht="25" customHeight="1">
      <c r="A973" s="3" t="n"/>
      <c r="B973" s="3" t="n"/>
      <c r="C973" s="3" t="n"/>
      <c r="D973" s="3" t="n"/>
      <c r="E973" s="3" t="n"/>
      <c r="F973" s="3" t="n"/>
      <c r="G973" s="3" t="n"/>
      <c r="H973" s="3" t="n"/>
      <c r="I973" s="3" t="n"/>
      <c r="J973" s="3" t="n"/>
      <c r="K973" s="3" t="n"/>
      <c r="L973" s="3" t="n"/>
      <c r="M973" s="3" t="n"/>
      <c r="N973" s="3" t="n"/>
      <c r="O973" s="3" t="n"/>
      <c r="P973" s="3" t="n"/>
      <c r="Q973" s="3" t="n"/>
      <c r="R973" s="3" t="n"/>
      <c r="S973" s="3" t="n"/>
    </row>
    <row r="974" ht="25" customHeight="1">
      <c r="A974" s="2" t="n"/>
      <c r="B974" s="2" t="n"/>
      <c r="C974" s="2" t="n"/>
      <c r="D974" s="2" t="n"/>
      <c r="E974" s="2" t="n"/>
      <c r="F974" s="2" t="n"/>
      <c r="G974" s="2" t="n"/>
      <c r="H974" s="2" t="n"/>
      <c r="I974" s="2" t="n"/>
      <c r="J974" s="2" t="n"/>
      <c r="K974" s="2" t="n"/>
      <c r="L974" s="2" t="n"/>
      <c r="M974" s="2" t="n"/>
      <c r="N974" s="2" t="n"/>
      <c r="O974" s="2" t="n"/>
      <c r="P974" s="2" t="n"/>
      <c r="Q974" s="2" t="n"/>
      <c r="R974" s="2" t="n"/>
      <c r="S974" s="2" t="n"/>
    </row>
    <row r="975" ht="25" customHeight="1">
      <c r="A975" s="3" t="n"/>
      <c r="B975" s="3" t="n"/>
      <c r="C975" s="3" t="n"/>
      <c r="D975" s="3" t="n"/>
      <c r="E975" s="3" t="n"/>
      <c r="F975" s="3" t="n"/>
      <c r="G975" s="3" t="n"/>
      <c r="H975" s="3" t="n"/>
      <c r="I975" s="3" t="n"/>
      <c r="J975" s="3" t="n"/>
      <c r="K975" s="3" t="n"/>
      <c r="L975" s="3" t="n"/>
      <c r="M975" s="3" t="n"/>
      <c r="N975" s="3" t="n"/>
      <c r="O975" s="3" t="n"/>
      <c r="P975" s="3" t="n"/>
      <c r="Q975" s="3" t="n"/>
      <c r="R975" s="3" t="n"/>
      <c r="S975" s="3" t="n"/>
    </row>
    <row r="976" ht="25" customHeight="1">
      <c r="A976" s="2" t="n"/>
      <c r="B976" s="2" t="n"/>
      <c r="C976" s="2" t="n"/>
      <c r="D976" s="2" t="n"/>
      <c r="E976" s="2" t="n"/>
      <c r="F976" s="2" t="n"/>
      <c r="G976" s="2" t="n"/>
      <c r="H976" s="2" t="n"/>
      <c r="I976" s="2" t="n"/>
      <c r="J976" s="2" t="n"/>
      <c r="K976" s="2" t="n"/>
      <c r="L976" s="2" t="n"/>
      <c r="M976" s="2" t="n"/>
      <c r="N976" s="2" t="n"/>
      <c r="O976" s="2" t="n"/>
      <c r="P976" s="2" t="n"/>
      <c r="Q976" s="2" t="n"/>
      <c r="R976" s="2" t="n"/>
      <c r="S976" s="2" t="n"/>
    </row>
    <row r="977" ht="25" customHeight="1">
      <c r="A977" s="3" t="n"/>
      <c r="B977" s="3" t="n"/>
      <c r="C977" s="3" t="n"/>
      <c r="D977" s="3" t="n"/>
      <c r="E977" s="3" t="n"/>
      <c r="F977" s="3" t="n"/>
      <c r="G977" s="3" t="n"/>
      <c r="H977" s="3" t="n"/>
      <c r="I977" s="3" t="n"/>
      <c r="J977" s="3" t="n"/>
      <c r="K977" s="3" t="n"/>
      <c r="L977" s="3" t="n"/>
      <c r="M977" s="3" t="n"/>
      <c r="N977" s="3" t="n"/>
      <c r="O977" s="3" t="n"/>
      <c r="P977" s="3" t="n"/>
      <c r="Q977" s="3" t="n"/>
      <c r="R977" s="3" t="n"/>
      <c r="S977" s="3" t="n"/>
    </row>
    <row r="978" ht="25" customHeight="1">
      <c r="A978" s="2" t="n"/>
      <c r="B978" s="2" t="n"/>
      <c r="C978" s="2" t="n"/>
      <c r="D978" s="2" t="n"/>
      <c r="E978" s="2" t="n"/>
      <c r="F978" s="2" t="n"/>
      <c r="G978" s="2" t="n"/>
      <c r="H978" s="2" t="n"/>
      <c r="I978" s="2" t="n"/>
      <c r="J978" s="2" t="n"/>
      <c r="K978" s="2" t="n"/>
      <c r="L978" s="2" t="n"/>
      <c r="M978" s="2" t="n"/>
      <c r="N978" s="2" t="n"/>
      <c r="O978" s="2" t="n"/>
      <c r="P978" s="2" t="n"/>
      <c r="Q978" s="2" t="n"/>
      <c r="R978" s="2" t="n"/>
      <c r="S978" s="2" t="n"/>
    </row>
    <row r="979" ht="25" customHeight="1">
      <c r="A979" s="3" t="n"/>
      <c r="B979" s="3" t="n"/>
      <c r="C979" s="3" t="n"/>
      <c r="D979" s="3" t="n"/>
      <c r="E979" s="3" t="n"/>
      <c r="F979" s="3" t="n"/>
      <c r="G979" s="3" t="n"/>
      <c r="H979" s="3" t="n"/>
      <c r="I979" s="3" t="n"/>
      <c r="J979" s="3" t="n"/>
      <c r="K979" s="3" t="n"/>
      <c r="L979" s="3" t="n"/>
      <c r="M979" s="3" t="n"/>
      <c r="N979" s="3" t="n"/>
      <c r="O979" s="3" t="n"/>
      <c r="P979" s="3" t="n"/>
      <c r="Q979" s="3" t="n"/>
      <c r="R979" s="3" t="n"/>
      <c r="S979" s="3" t="n"/>
    </row>
    <row r="980" ht="25" customHeight="1">
      <c r="A980" s="2" t="n"/>
      <c r="B980" s="2" t="n"/>
      <c r="C980" s="2" t="n"/>
      <c r="D980" s="2" t="n"/>
      <c r="E980" s="2" t="n"/>
      <c r="F980" s="2" t="n"/>
      <c r="G980" s="2" t="n"/>
      <c r="H980" s="2" t="n"/>
      <c r="I980" s="2" t="n"/>
      <c r="J980" s="2" t="n"/>
      <c r="K980" s="2" t="n"/>
      <c r="L980" s="2" t="n"/>
      <c r="M980" s="2" t="n"/>
      <c r="N980" s="2" t="n"/>
      <c r="O980" s="2" t="n"/>
      <c r="P980" s="2" t="n"/>
      <c r="Q980" s="2" t="n"/>
      <c r="R980" s="2" t="n"/>
      <c r="S980" s="2" t="n"/>
    </row>
    <row r="981" ht="25" customHeight="1">
      <c r="A981" s="3" t="n"/>
      <c r="B981" s="3" t="n"/>
      <c r="C981" s="3" t="n"/>
      <c r="D981" s="3" t="n"/>
      <c r="E981" s="3" t="n"/>
      <c r="F981" s="3" t="n"/>
      <c r="G981" s="3" t="n"/>
      <c r="H981" s="3" t="n"/>
      <c r="I981" s="3" t="n"/>
      <c r="J981" s="3" t="n"/>
      <c r="K981" s="3" t="n"/>
      <c r="L981" s="3" t="n"/>
      <c r="M981" s="3" t="n"/>
      <c r="N981" s="3" t="n"/>
      <c r="O981" s="3" t="n"/>
      <c r="P981" s="3" t="n"/>
      <c r="Q981" s="3" t="n"/>
      <c r="R981" s="3" t="n"/>
      <c r="S981" s="3" t="n"/>
    </row>
    <row r="982" ht="25" customHeight="1">
      <c r="A982" s="2" t="n"/>
      <c r="B982" s="2" t="n"/>
      <c r="C982" s="2" t="n"/>
      <c r="D982" s="2" t="n"/>
      <c r="E982" s="2" t="n"/>
      <c r="F982" s="2" t="n"/>
      <c r="G982" s="2" t="n"/>
      <c r="H982" s="2" t="n"/>
      <c r="I982" s="2" t="n"/>
      <c r="J982" s="2" t="n"/>
      <c r="K982" s="2" t="n"/>
      <c r="L982" s="2" t="n"/>
      <c r="M982" s="2" t="n"/>
      <c r="N982" s="2" t="n"/>
      <c r="O982" s="2" t="n"/>
      <c r="P982" s="2" t="n"/>
      <c r="Q982" s="2" t="n"/>
      <c r="R982" s="2" t="n"/>
      <c r="S982" s="2" t="n"/>
    </row>
    <row r="983" ht="25" customHeight="1">
      <c r="A983" s="3" t="n"/>
      <c r="B983" s="3" t="n"/>
      <c r="C983" s="3" t="n"/>
      <c r="D983" s="3" t="n"/>
      <c r="E983" s="3" t="n"/>
      <c r="F983" s="3" t="n"/>
      <c r="G983" s="3" t="n"/>
      <c r="H983" s="3" t="n"/>
      <c r="I983" s="3" t="n"/>
      <c r="J983" s="3" t="n"/>
      <c r="K983" s="3" t="n"/>
      <c r="L983" s="3" t="n"/>
      <c r="M983" s="3" t="n"/>
      <c r="N983" s="3" t="n"/>
      <c r="O983" s="3" t="n"/>
      <c r="P983" s="3" t="n"/>
      <c r="Q983" s="3" t="n"/>
      <c r="R983" s="3" t="n"/>
      <c r="S983" s="3" t="n"/>
    </row>
    <row r="984" ht="25" customHeight="1">
      <c r="A984" s="2" t="n"/>
      <c r="B984" s="2" t="n"/>
      <c r="C984" s="2" t="n"/>
      <c r="D984" s="2" t="n"/>
      <c r="E984" s="2" t="n"/>
      <c r="F984" s="2" t="n"/>
      <c r="G984" s="2" t="n"/>
      <c r="H984" s="2" t="n"/>
      <c r="I984" s="2" t="n"/>
      <c r="J984" s="2" t="n"/>
      <c r="K984" s="2" t="n"/>
      <c r="L984" s="2" t="n"/>
      <c r="M984" s="2" t="n"/>
      <c r="N984" s="2" t="n"/>
      <c r="O984" s="2" t="n"/>
      <c r="P984" s="2" t="n"/>
      <c r="Q984" s="2" t="n"/>
      <c r="R984" s="2" t="n"/>
      <c r="S984" s="2" t="n"/>
    </row>
    <row r="985" ht="25" customHeight="1">
      <c r="A985" s="3" t="n"/>
      <c r="B985" s="3" t="n"/>
      <c r="C985" s="3" t="n"/>
      <c r="D985" s="3" t="n"/>
      <c r="E985" s="3" t="n"/>
      <c r="F985" s="3" t="n"/>
      <c r="G985" s="3" t="n"/>
      <c r="H985" s="3" t="n"/>
      <c r="I985" s="3" t="n"/>
      <c r="J985" s="3" t="n"/>
      <c r="K985" s="3" t="n"/>
      <c r="L985" s="3" t="n"/>
      <c r="M985" s="3" t="n"/>
      <c r="N985" s="3" t="n"/>
      <c r="O985" s="3" t="n"/>
      <c r="P985" s="3" t="n"/>
      <c r="Q985" s="3" t="n"/>
      <c r="R985" s="3" t="n"/>
      <c r="S985" s="3" t="n"/>
    </row>
    <row r="986" ht="25" customHeight="1">
      <c r="A986" s="2" t="n"/>
      <c r="B986" s="2" t="n"/>
      <c r="C986" s="2" t="n"/>
      <c r="D986" s="2" t="n"/>
      <c r="E986" s="2" t="n"/>
      <c r="F986" s="2" t="n"/>
      <c r="G986" s="2" t="n"/>
      <c r="H986" s="2" t="n"/>
      <c r="I986" s="2" t="n"/>
      <c r="J986" s="2" t="n"/>
      <c r="K986" s="2" t="n"/>
      <c r="L986" s="2" t="n"/>
      <c r="M986" s="2" t="n"/>
      <c r="N986" s="2" t="n"/>
      <c r="O986" s="2" t="n"/>
      <c r="P986" s="2" t="n"/>
      <c r="Q986" s="2" t="n"/>
      <c r="R986" s="2" t="n"/>
      <c r="S986" s="2" t="n"/>
    </row>
    <row r="987" ht="25" customHeight="1">
      <c r="A987" s="3" t="n"/>
      <c r="B987" s="3" t="n"/>
      <c r="C987" s="3" t="n"/>
      <c r="D987" s="3" t="n"/>
      <c r="E987" s="3" t="n"/>
      <c r="F987" s="3" t="n"/>
      <c r="G987" s="3" t="n"/>
      <c r="H987" s="3" t="n"/>
      <c r="I987" s="3" t="n"/>
      <c r="J987" s="3" t="n"/>
      <c r="K987" s="3" t="n"/>
      <c r="L987" s="3" t="n"/>
      <c r="M987" s="3" t="n"/>
      <c r="N987" s="3" t="n"/>
      <c r="O987" s="3" t="n"/>
      <c r="P987" s="3" t="n"/>
      <c r="Q987" s="3" t="n"/>
      <c r="R987" s="3" t="n"/>
      <c r="S987" s="3" t="n"/>
    </row>
    <row r="988" ht="25" customHeight="1">
      <c r="A988" s="2" t="n"/>
      <c r="B988" s="2" t="n"/>
      <c r="C988" s="2" t="n"/>
      <c r="D988" s="2" t="n"/>
      <c r="E988" s="2" t="n"/>
      <c r="F988" s="2" t="n"/>
      <c r="G988" s="2" t="n"/>
      <c r="H988" s="2" t="n"/>
      <c r="I988" s="2" t="n"/>
      <c r="J988" s="2" t="n"/>
      <c r="K988" s="2" t="n"/>
      <c r="L988" s="2" t="n"/>
      <c r="M988" s="2" t="n"/>
      <c r="N988" s="2" t="n"/>
      <c r="O988" s="2" t="n"/>
      <c r="P988" s="2" t="n"/>
      <c r="Q988" s="2" t="n"/>
      <c r="R988" s="2" t="n"/>
      <c r="S988" s="2" t="n"/>
    </row>
    <row r="989" ht="25" customHeight="1">
      <c r="A989" s="3" t="n"/>
      <c r="B989" s="3" t="n"/>
      <c r="C989" s="3" t="n"/>
      <c r="D989" s="3" t="n"/>
      <c r="E989" s="3" t="n"/>
      <c r="F989" s="3" t="n"/>
      <c r="G989" s="3" t="n"/>
      <c r="H989" s="3" t="n"/>
      <c r="I989" s="3" t="n"/>
      <c r="J989" s="3" t="n"/>
      <c r="K989" s="3" t="n"/>
      <c r="L989" s="3" t="n"/>
      <c r="M989" s="3" t="n"/>
      <c r="N989" s="3" t="n"/>
      <c r="O989" s="3" t="n"/>
      <c r="P989" s="3" t="n"/>
      <c r="Q989" s="3" t="n"/>
      <c r="R989" s="3" t="n"/>
      <c r="S989" s="3" t="n"/>
    </row>
    <row r="990" ht="25" customHeight="1">
      <c r="A990" s="2" t="n"/>
      <c r="B990" s="2" t="n"/>
      <c r="C990" s="2" t="n"/>
      <c r="D990" s="2" t="n"/>
      <c r="E990" s="2" t="n"/>
      <c r="F990" s="2" t="n"/>
      <c r="G990" s="2" t="n"/>
      <c r="H990" s="2" t="n"/>
      <c r="I990" s="2" t="n"/>
      <c r="J990" s="2" t="n"/>
      <c r="K990" s="2" t="n"/>
      <c r="L990" s="2" t="n"/>
      <c r="M990" s="2" t="n"/>
      <c r="N990" s="2" t="n"/>
      <c r="O990" s="2" t="n"/>
      <c r="P990" s="2" t="n"/>
      <c r="Q990" s="2" t="n"/>
      <c r="R990" s="2" t="n"/>
      <c r="S990" s="2" t="n"/>
    </row>
    <row r="991" ht="25" customHeight="1">
      <c r="A991" s="3" t="n"/>
      <c r="B991" s="3" t="n"/>
      <c r="C991" s="3" t="n"/>
      <c r="D991" s="3" t="n"/>
      <c r="E991" s="3" t="n"/>
      <c r="F991" s="3" t="n"/>
      <c r="G991" s="3" t="n"/>
      <c r="H991" s="3" t="n"/>
      <c r="I991" s="3" t="n"/>
      <c r="J991" s="3" t="n"/>
      <c r="K991" s="3" t="n"/>
      <c r="L991" s="3" t="n"/>
      <c r="M991" s="3" t="n"/>
      <c r="N991" s="3" t="n"/>
      <c r="O991" s="3" t="n"/>
      <c r="P991" s="3" t="n"/>
      <c r="Q991" s="3" t="n"/>
      <c r="R991" s="3" t="n"/>
      <c r="S991" s="3" t="n"/>
    </row>
    <row r="992" ht="25" customHeight="1">
      <c r="A992" s="2" t="n"/>
      <c r="B992" s="2" t="n"/>
      <c r="C992" s="2" t="n"/>
      <c r="D992" s="2" t="n"/>
      <c r="E992" s="2" t="n"/>
      <c r="F992" s="2" t="n"/>
      <c r="G992" s="2" t="n"/>
      <c r="H992" s="2" t="n"/>
      <c r="I992" s="2" t="n"/>
      <c r="J992" s="2" t="n"/>
      <c r="K992" s="2" t="n"/>
      <c r="L992" s="2" t="n"/>
      <c r="M992" s="2" t="n"/>
      <c r="N992" s="2" t="n"/>
      <c r="O992" s="2" t="n"/>
      <c r="P992" s="2" t="n"/>
      <c r="Q992" s="2" t="n"/>
      <c r="R992" s="2" t="n"/>
      <c r="S992" s="2" t="n"/>
    </row>
    <row r="993" ht="25" customHeight="1">
      <c r="A993" s="3" t="n"/>
      <c r="B993" s="3" t="n"/>
      <c r="C993" s="3" t="n"/>
      <c r="D993" s="3" t="n"/>
      <c r="E993" s="3" t="n"/>
      <c r="F993" s="3" t="n"/>
      <c r="G993" s="3" t="n"/>
      <c r="H993" s="3" t="n"/>
      <c r="I993" s="3" t="n"/>
      <c r="J993" s="3" t="n"/>
      <c r="K993" s="3" t="n"/>
      <c r="L993" s="3" t="n"/>
      <c r="M993" s="3" t="n"/>
      <c r="N993" s="3" t="n"/>
      <c r="O993" s="3" t="n"/>
      <c r="P993" s="3" t="n"/>
      <c r="Q993" s="3" t="n"/>
      <c r="R993" s="3" t="n"/>
      <c r="S993" s="3" t="n"/>
    </row>
    <row r="994" ht="25" customHeight="1">
      <c r="A994" s="2" t="n"/>
      <c r="B994" s="2" t="n"/>
      <c r="C994" s="2" t="n"/>
      <c r="D994" s="2" t="n"/>
      <c r="E994" s="2" t="n"/>
      <c r="F994" s="2" t="n"/>
      <c r="G994" s="2" t="n"/>
      <c r="H994" s="2" t="n"/>
      <c r="I994" s="2" t="n"/>
      <c r="J994" s="2" t="n"/>
      <c r="K994" s="2" t="n"/>
      <c r="L994" s="2" t="n"/>
      <c r="M994" s="2" t="n"/>
      <c r="N994" s="2" t="n"/>
      <c r="O994" s="2" t="n"/>
      <c r="P994" s="2" t="n"/>
      <c r="Q994" s="2" t="n"/>
      <c r="R994" s="2" t="n"/>
      <c r="S994" s="2" t="n"/>
    </row>
    <row r="995" ht="25" customHeight="1">
      <c r="A995" s="3" t="n"/>
      <c r="B995" s="3" t="n"/>
      <c r="C995" s="3" t="n"/>
      <c r="D995" s="3" t="n"/>
      <c r="E995" s="3" t="n"/>
      <c r="F995" s="3" t="n"/>
      <c r="G995" s="3" t="n"/>
      <c r="H995" s="3" t="n"/>
      <c r="I995" s="3" t="n"/>
      <c r="J995" s="3" t="n"/>
      <c r="K995" s="3" t="n"/>
      <c r="L995" s="3" t="n"/>
      <c r="M995" s="3" t="n"/>
      <c r="N995" s="3" t="n"/>
      <c r="O995" s="3" t="n"/>
      <c r="P995" s="3" t="n"/>
      <c r="Q995" s="3" t="n"/>
      <c r="R995" s="3" t="n"/>
      <c r="S995" s="3" t="n"/>
    </row>
    <row r="996" ht="25" customHeight="1">
      <c r="A996" s="2" t="n"/>
      <c r="B996" s="2" t="n"/>
      <c r="C996" s="2" t="n"/>
      <c r="D996" s="2" t="n"/>
      <c r="E996" s="2" t="n"/>
      <c r="F996" s="2" t="n"/>
      <c r="G996" s="2" t="n"/>
      <c r="H996" s="2" t="n"/>
      <c r="I996" s="2" t="n"/>
      <c r="J996" s="2" t="n"/>
      <c r="K996" s="2" t="n"/>
      <c r="L996" s="2" t="n"/>
      <c r="M996" s="2" t="n"/>
      <c r="N996" s="2" t="n"/>
      <c r="O996" s="2" t="n"/>
      <c r="P996" s="2" t="n"/>
      <c r="Q996" s="2" t="n"/>
      <c r="R996" s="2" t="n"/>
      <c r="S996" s="2" t="n"/>
    </row>
    <row r="997" ht="25" customHeight="1">
      <c r="A997" s="3" t="n"/>
      <c r="B997" s="3" t="n"/>
      <c r="C997" s="3" t="n"/>
      <c r="D997" s="3" t="n"/>
      <c r="E997" s="3" t="n"/>
      <c r="F997" s="3" t="n"/>
      <c r="G997" s="3" t="n"/>
      <c r="H997" s="3" t="n"/>
      <c r="I997" s="3" t="n"/>
      <c r="J997" s="3" t="n"/>
      <c r="K997" s="3" t="n"/>
      <c r="L997" s="3" t="n"/>
      <c r="M997" s="3" t="n"/>
      <c r="N997" s="3" t="n"/>
      <c r="O997" s="3" t="n"/>
      <c r="P997" s="3" t="n"/>
      <c r="Q997" s="3" t="n"/>
      <c r="R997" s="3" t="n"/>
      <c r="S997" s="3" t="n"/>
    </row>
    <row r="998" ht="25" customHeight="1">
      <c r="A998" s="2" t="n"/>
      <c r="B998" s="2" t="n"/>
      <c r="C998" s="2" t="n"/>
      <c r="D998" s="2" t="n"/>
      <c r="E998" s="2" t="n"/>
      <c r="F998" s="2" t="n"/>
      <c r="G998" s="2" t="n"/>
      <c r="H998" s="2" t="n"/>
      <c r="I998" s="2" t="n"/>
      <c r="J998" s="2" t="n"/>
      <c r="K998" s="2" t="n"/>
      <c r="L998" s="2" t="n"/>
      <c r="M998" s="2" t="n"/>
      <c r="N998" s="2" t="n"/>
      <c r="O998" s="2" t="n"/>
      <c r="P998" s="2" t="n"/>
      <c r="Q998" s="2" t="n"/>
      <c r="R998" s="2" t="n"/>
      <c r="S998" s="2" t="n"/>
    </row>
    <row r="999" ht="25" customHeight="1">
      <c r="A999" s="3" t="n"/>
      <c r="B999" s="3" t="n"/>
      <c r="C999" s="3" t="n"/>
      <c r="D999" s="3" t="n"/>
      <c r="E999" s="3" t="n"/>
      <c r="F999" s="3" t="n"/>
      <c r="G999" s="3" t="n"/>
      <c r="H999" s="3" t="n"/>
      <c r="I999" s="3" t="n"/>
      <c r="J999" s="3" t="n"/>
      <c r="K999" s="3" t="n"/>
      <c r="L999" s="3" t="n"/>
      <c r="M999" s="3" t="n"/>
      <c r="N999" s="3" t="n"/>
      <c r="O999" s="3" t="n"/>
      <c r="P999" s="3" t="n"/>
      <c r="Q999" s="3" t="n"/>
      <c r="R999" s="3" t="n"/>
      <c r="S999" s="3" t="n"/>
    </row>
    <row r="1000" ht="25" customHeight="1">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row>
    <row r="1001" ht="25" customHeight="1">
      <c r="A1001" s="3" t="n"/>
      <c r="B1001" s="3" t="n"/>
      <c r="C1001" s="3" t="n"/>
      <c r="D1001" s="3" t="n"/>
      <c r="E1001" s="3" t="n"/>
      <c r="F1001" s="3" t="n"/>
      <c r="G1001" s="3" t="n"/>
      <c r="H1001" s="3" t="n"/>
      <c r="I1001" s="3" t="n"/>
      <c r="J1001" s="3" t="n"/>
      <c r="K1001" s="3" t="n"/>
      <c r="L1001" s="3" t="n"/>
      <c r="M1001" s="3" t="n"/>
      <c r="N1001" s="3" t="n"/>
      <c r="O1001" s="3" t="n"/>
      <c r="P1001" s="3" t="n"/>
      <c r="Q1001" s="3" t="n"/>
      <c r="R1001" s="3" t="n"/>
      <c r="S1001" s="3" t="n"/>
    </row>
  </sheetData>
  <autoFilter ref="A1:S1"/>
  <dataValidations count="3">
    <dataValidation sqref="O2:O1001" showDropDown="0" showInputMessage="0" showErrorMessage="0" allowBlank="1" type="list">
      <formula1>"Yes,No,Sometimes,Unknown"</formula1>
    </dataValidation>
    <dataValidation sqref="P2:P1001" showDropDown="0" showInputMessage="0" showErrorMessage="0" allowBlank="1" type="list">
      <formula1>"Yes,No,Partially,Unknown"</formula1>
    </dataValidation>
    <dataValidation sqref="Q2:Q1001" showDropDown="0" showInputMessage="0" showErrorMessage="0" allowBlank="1" type="list">
      <formula1>"Yes,No,Partially,Unknown"</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4E79"/>
    <outlinePr summaryBelow="1" summaryRight="1"/>
    <pageSetUpPr/>
  </sheetPr>
  <dimension ref="A1:F55"/>
  <sheetViews>
    <sheetView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s>
  <sheetData>
    <row r="1">
      <c r="A1" s="4" t="inlineStr">
        <is>
          <t>Opportunity Brief Generator</t>
        </is>
      </c>
    </row>
    <row r="2">
      <c r="A2" s="5" t="inlineStr">
        <is>
          <t>Selected Opportunity ID:</t>
        </is>
      </c>
      <c r="B2" s="6" t="n"/>
      <c r="C2" s="7" t="inlineStr">
        <is>
          <t>Enter an Opportunity ID from Opportunity Scoring (e.g., WF-0001)</t>
        </is>
      </c>
    </row>
    <row r="3" ht="35" customHeight="1">
      <c r="A3" s="8" t="inlineStr">
        <is>
          <t>This tab generates a structured opportunity brief from the selected Opportunity ID. Use it for stakeholder review, discovery planning, or prototype scoping.</t>
        </is>
      </c>
    </row>
    <row r="5" ht="20" customHeight="1">
      <c r="A5" s="1" t="inlineStr">
        <is>
          <t>OPPORTUNITY OVERVIEW</t>
        </is>
      </c>
    </row>
    <row r="6" ht="40" customHeight="1">
      <c r="A6" s="9" t="inlineStr">
        <is>
          <t>Opportunity ID</t>
        </is>
      </c>
      <c r="B6" s="10">
        <f>$B$2</f>
        <v/>
      </c>
    </row>
    <row r="7" ht="40" customHeight="1">
      <c r="A7" s="9" t="inlineStr">
        <is>
          <t>Workflow / Task Name</t>
        </is>
      </c>
      <c r="B7" s="10">
        <f>IFERROR(XLOOKUP($B$2,'Opportunity Scoring'!$A:$A,'Opportunity Scoring'!$B:$B),"")</f>
        <v/>
      </c>
    </row>
    <row r="8" ht="40" customHeight="1">
      <c r="A8" s="9" t="inlineStr">
        <is>
          <t>Team / Function</t>
        </is>
      </c>
      <c r="B8" s="10">
        <f>IFERROR(XLOOKUP($B$2,'Opportunity Scoring'!$A:$A,'Opportunity Scoring'!$C:$C),"")</f>
        <v/>
      </c>
    </row>
    <row r="9" ht="40" customHeight="1">
      <c r="A9" s="9" t="inlineStr">
        <is>
          <t>Workflow Owner</t>
        </is>
      </c>
      <c r="B9" s="10">
        <f>IFERROR(XLOOKUP($B$2,'Opportunity Scoring'!$A:$A,'Opportunity Scoring'!$D:$D),"")</f>
        <v/>
      </c>
    </row>
    <row r="10" ht="40" customHeight="1">
      <c r="A10" s="9" t="inlineStr">
        <is>
          <t>Status</t>
        </is>
      </c>
      <c r="B10" s="10">
        <f>IFERROR(XLOOKUP($B$2,'Opportunity Scoring'!$A:$A,'Opportunity Scoring'!$E:$E),"")</f>
        <v/>
      </c>
    </row>
    <row r="11" ht="40" customHeight="1">
      <c r="A11" s="9" t="inlineStr">
        <is>
          <t>Purpose of the Workflow</t>
        </is>
      </c>
      <c r="B11" s="10">
        <f>IFERROR(XLOOKUP($B$2,'Intake Responses'!$A:$A,'Intake Responses'!$I:$I),"")</f>
        <v/>
      </c>
    </row>
    <row r="12" ht="8" customHeight="1"/>
    <row r="13" ht="20" customHeight="1">
      <c r="A13" s="1" t="inlineStr">
        <is>
          <t>FRICTION &amp; TIME COST</t>
        </is>
      </c>
    </row>
    <row r="14" ht="40" customHeight="1">
      <c r="A14" s="9" t="inlineStr">
        <is>
          <t>Current Friction Summary</t>
        </is>
      </c>
      <c r="B14" s="10">
        <f>IFERROR(XLOOKUP($B$2,'Intake Responses'!$A:$A,'Intake Responses'!$L:$L),"")</f>
        <v/>
      </c>
    </row>
    <row r="15" ht="40" customHeight="1">
      <c r="A15" s="9" t="inlineStr">
        <is>
          <t>Friction Types</t>
        </is>
      </c>
      <c r="B15" s="10">
        <f>IFERROR(XLOOKUP($B$2,'Intake Responses'!$A:$A,'Intake Responses'!$S:$S),"")</f>
        <v/>
      </c>
    </row>
    <row r="16" ht="40" customHeight="1">
      <c r="A16" s="9" t="inlineStr">
        <is>
          <t>Pain Rating (1-5)</t>
        </is>
      </c>
      <c r="B16" s="10">
        <f>IFERROR(XLOOKUP($B$2,'Opportunity Scoring'!$A:$A,'Opportunity Scoring'!$L:$L),"")</f>
        <v/>
      </c>
    </row>
    <row r="17" ht="40" customHeight="1">
      <c r="A17" s="9" t="inlineStr">
        <is>
          <t>Frequency</t>
        </is>
      </c>
      <c r="B17" s="10">
        <f>IFERROR(XLOOKUP($B$2,'Opportunity Scoring'!$A:$A,'Opportunity Scoring'!$F:$F),"")</f>
        <v/>
      </c>
    </row>
    <row r="18" ht="40" customHeight="1">
      <c r="A18" s="9" t="inlineStr">
        <is>
          <t>Minutes Per Run</t>
        </is>
      </c>
      <c r="B18" s="10">
        <f>IFERROR(XLOOKUP($B$2,'Opportunity Scoring'!$A:$A,'Opportunity Scoring'!$G:$G),"")</f>
        <v/>
      </c>
    </row>
    <row r="19" ht="40" customHeight="1">
      <c r="A19" s="9" t="inlineStr">
        <is>
          <t>People Doing This Work</t>
        </is>
      </c>
      <c r="B19" s="10">
        <f>IFERROR(XLOOKUP($B$2,'Opportunity Scoring'!$A:$A,'Opportunity Scoring'!$H:$H),"")</f>
        <v/>
      </c>
    </row>
    <row r="20" ht="40" customHeight="1">
      <c r="A20" s="9" t="inlineStr">
        <is>
          <t>Est. Monthly Hours</t>
        </is>
      </c>
      <c r="B20" s="10">
        <f>IFERROR(XLOOKUP($B$2,'Opportunity Scoring'!$A:$A,'Opportunity Scoring'!$J:$J),"")</f>
        <v/>
      </c>
    </row>
    <row r="21" ht="40" customHeight="1">
      <c r="A21" s="9" t="inlineStr">
        <is>
          <t>Annualized Hours</t>
        </is>
      </c>
      <c r="B21" s="10">
        <f>IFERROR(XLOOKUP($B$2,'Opportunity Scoring'!$A:$A,'Opportunity Scoring'!$K:$K),"")</f>
        <v/>
      </c>
    </row>
    <row r="22" ht="8" customHeight="1"/>
    <row r="23" ht="20" customHeight="1">
      <c r="A23" s="1" t="inlineStr">
        <is>
          <t>BUSINESS IMPACT</t>
        </is>
      </c>
    </row>
    <row r="24" ht="40" customHeight="1">
      <c r="A24" s="9" t="inlineStr">
        <is>
          <t>Business Criticality (1-5)</t>
        </is>
      </c>
      <c r="B24" s="10">
        <f>IFERROR(XLOOKUP($B$2,'Opportunity Scoring'!$A:$A,'Opportunity Scoring'!$M:$M),"")</f>
        <v/>
      </c>
    </row>
    <row r="25" ht="40" customHeight="1">
      <c r="A25" s="9" t="inlineStr">
        <is>
          <t>Urgency (1-5)</t>
        </is>
      </c>
      <c r="B25" s="10">
        <f>IFERROR(XLOOKUP($B$2,'Opportunity Scoring'!$A:$A,'Opportunity Scoring'!$O:$O),"")</f>
        <v/>
      </c>
    </row>
    <row r="26" ht="40" customHeight="1">
      <c r="A26" s="9" t="inlineStr">
        <is>
          <t>What Happens If Late/Wrong/Skipped</t>
        </is>
      </c>
      <c r="B26" s="10">
        <f>IFERROR(XLOOKUP($B$2,'Intake Responses'!$A:$A,'Intake Responses'!$K:$K),"")</f>
        <v/>
      </c>
    </row>
    <row r="27" ht="40" customHeight="1">
      <c r="A27" s="9" t="inlineStr">
        <is>
          <t>Internal People Affected</t>
        </is>
      </c>
      <c r="B27" s="10">
        <f>IFERROR(XLOOKUP($B$2,'Opportunity Scoring'!$A:$A,'Opportunity Scoring'!$P:$P),"")</f>
        <v/>
      </c>
    </row>
    <row r="28" ht="40" customHeight="1">
      <c r="A28" s="9" t="inlineStr">
        <is>
          <t>Customers / Districts / Students Affected</t>
        </is>
      </c>
      <c r="B28" s="10">
        <f>IFERROR(XLOOKUP($B$2,'Intake Responses'!$A:$A,'Intake Responses'!$Y:$Y),"")</f>
        <v/>
      </c>
    </row>
    <row r="29" ht="8" customHeight="1"/>
    <row r="30" ht="20" customHeight="1">
      <c r="A30" s="1" t="inlineStr">
        <is>
          <t>RISK &amp; DATA CONSIDERATIONS</t>
        </is>
      </c>
    </row>
    <row r="31" ht="40" customHeight="1">
      <c r="A31" s="9" t="inlineStr">
        <is>
          <t>Sensitive Data?</t>
        </is>
      </c>
      <c r="B31" s="10">
        <f>IFERROR(XLOOKUP($B$2,'Opportunity Scoring'!$A:$A,'Opportunity Scoring'!$Q:$Q),"")</f>
        <v/>
      </c>
    </row>
    <row r="32" ht="40" customHeight="1">
      <c r="A32" s="9" t="inlineStr">
        <is>
          <t>Risk Level</t>
        </is>
      </c>
      <c r="B32" s="10">
        <f>IFERROR(XLOOKUP($B$2,'Opportunity Scoring'!$A:$A,'Opportunity Scoring'!$U:$U),"")</f>
        <v/>
      </c>
    </row>
    <row r="33" ht="40" customHeight="1">
      <c r="A33" s="9" t="inlineStr">
        <is>
          <t>Data Types Involved</t>
        </is>
      </c>
      <c r="B33" s="10">
        <f>IFERROR(XLOOKUP($B$2,'Intake Responses'!$A:$A,'Intake Responses'!$AG:$AG),"")</f>
        <v/>
      </c>
    </row>
    <row r="34" ht="40" customHeight="1">
      <c r="A34" s="9" t="inlineStr">
        <is>
          <t>Input Data Location</t>
        </is>
      </c>
      <c r="B34" s="10">
        <f>IFERROR(XLOOKUP($B$2,'Intake Responses'!$A:$A,'Intake Responses'!$AH:$AH),"")</f>
        <v/>
      </c>
    </row>
    <row r="35" ht="40" customHeight="1">
      <c r="A35" s="9" t="inlineStr">
        <is>
          <t>Output Destination</t>
        </is>
      </c>
      <c r="B35" s="10">
        <f>IFERROR(XLOOKUP($B$2,'Intake Responses'!$A:$A,'Intake Responses'!$AI:$AI),"")</f>
        <v/>
      </c>
    </row>
    <row r="36" ht="8" customHeight="1"/>
    <row r="37" ht="20" customHeight="1">
      <c r="A37" s="1" t="inlineStr">
        <is>
          <t>LIKELY SOLUTION DIRECTION</t>
        </is>
      </c>
    </row>
    <row r="38" ht="40" customHeight="1">
      <c r="A38" s="9" t="inlineStr">
        <is>
          <t>Likely Solution Type</t>
        </is>
      </c>
      <c r="B38" s="10">
        <f>IFERROR(XLOOKUP($B$2,'Opportunity Scoring'!$A:$A,'Opportunity Scoring'!$S:$S),"")</f>
        <v/>
      </c>
    </row>
    <row r="39" ht="40" customHeight="1">
      <c r="A39" s="9" t="inlineStr">
        <is>
          <t>Feasibility</t>
        </is>
      </c>
      <c r="B39" s="10">
        <f>IFERROR(XLOOKUP($B$2,'Opportunity Scoring'!$A:$A,'Opportunity Scoring'!$T:$T),"")</f>
        <v/>
      </c>
    </row>
    <row r="40" ht="40" customHeight="1">
      <c r="A40" s="9" t="inlineStr">
        <is>
          <t>Recommended Next Step</t>
        </is>
      </c>
      <c r="B40" s="10">
        <f>IFERROR(XLOOKUP($B$2,'Opportunity Scoring'!$A:$A,'Opportunity Scoring'!$AB:$AB),"")</f>
        <v/>
      </c>
    </row>
    <row r="41" ht="8" customHeight="1"/>
    <row r="42" ht="20" customHeight="1">
      <c r="A42" s="1" t="inlineStr">
        <is>
          <t>HUMAN REVIEW &amp; GUARDRAILS</t>
        </is>
      </c>
    </row>
    <row r="43" ht="40" customHeight="1">
      <c r="A43" s="9" t="inlineStr">
        <is>
          <t>Should Still Require Human Review</t>
        </is>
      </c>
      <c r="B43" s="10">
        <f>IFERROR(XLOOKUP($B$2,'Intake Responses'!$A:$A,'Intake Responses'!$AA:$AA),"")</f>
        <v/>
      </c>
    </row>
    <row r="44" ht="40" customHeight="1">
      <c r="A44" s="9" t="inlineStr">
        <is>
          <t>Should Never Be Automated</t>
        </is>
      </c>
      <c r="B44" s="10">
        <f>IFERROR(XLOOKUP($B$2,'Intake Responses'!$A:$A,'Intake Responses'!$AB:$AB),"")</f>
        <v/>
      </c>
    </row>
    <row r="45" ht="40" customHeight="1">
      <c r="A45" s="9" t="inlineStr">
        <is>
          <t>What Would Make You Trust This</t>
        </is>
      </c>
      <c r="B45" s="10">
        <f>IFERROR(XLOOKUP($B$2,'Intake Responses'!$A:$A,'Intake Responses'!$AC:$AC),"")</f>
        <v/>
      </c>
    </row>
    <row r="46" ht="40" customHeight="1">
      <c r="A46" s="9" t="inlineStr">
        <is>
          <t>What Would Make This Unusable</t>
        </is>
      </c>
      <c r="B46" s="10">
        <f>IFERROR(XLOOKUP($B$2,'Intake Responses'!$A:$A,'Intake Responses'!$AD:$AD),"")</f>
        <v/>
      </c>
    </row>
    <row r="47" ht="8" customHeight="1"/>
    <row r="48" ht="20" customHeight="1">
      <c r="A48" s="1" t="inlineStr">
        <is>
          <t>SUCCESS MEASUREMENT</t>
        </is>
      </c>
    </row>
    <row r="49" ht="40" customHeight="1">
      <c r="A49" s="9" t="inlineStr">
        <is>
          <t>How Would We Know This Worked</t>
        </is>
      </c>
      <c r="B49" s="10">
        <f>IFERROR(XLOOKUP($B$2,'Intake Responses'!$A:$A,'Intake Responses'!$AE:$AE),"")</f>
        <v/>
      </c>
    </row>
    <row r="50" ht="40" customHeight="1">
      <c r="A50" s="9" t="inlineStr">
        <is>
          <t>Desired Future State</t>
        </is>
      </c>
      <c r="B50" s="10">
        <f>IFERROR(XLOOKUP($B$2,'Intake Responses'!$A:$A,'Intake Responses'!$Z:$Z),"")</f>
        <v/>
      </c>
    </row>
    <row r="51" ht="8" customHeight="1"/>
    <row r="52" ht="20" customHeight="1">
      <c r="A52" s="1" t="inlineStr">
        <is>
          <t>PRIORITY ASSESSMENT</t>
        </is>
      </c>
    </row>
    <row r="53" ht="40" customHeight="1">
      <c r="A53" s="9" t="inlineStr">
        <is>
          <t>Priority Score</t>
        </is>
      </c>
      <c r="B53" s="10">
        <f>IFERROR(XLOOKUP($B$2,'Opportunity Scoring'!$A:$A,'Opportunity Scoring'!$Z:$Z),"")</f>
        <v/>
      </c>
    </row>
    <row r="54" ht="40" customHeight="1">
      <c r="A54" s="9" t="inlineStr">
        <is>
          <t>Priority Category</t>
        </is>
      </c>
      <c r="B54" s="10">
        <f>IFERROR(XLOOKUP($B$2,'Opportunity Scoring'!$A:$A,'Opportunity Scoring'!$AA:$AA),"")</f>
        <v/>
      </c>
    </row>
    <row r="55" ht="40" customHeight="1">
      <c r="A55" s="9" t="inlineStr">
        <is>
          <t>Status</t>
        </is>
      </c>
      <c r="B55" s="10">
        <f>IFERROR(XLOOKUP($B$2,'Opportunity Scoring'!$A:$A,'Opportunity Scoring'!$E:$E),"")</f>
        <v/>
      </c>
    </row>
  </sheetData>
  <mergeCells count="47">
    <mergeCell ref="B7:F7"/>
    <mergeCell ref="B16:F16"/>
    <mergeCell ref="B54:F54"/>
    <mergeCell ref="B25:F25"/>
    <mergeCell ref="A37:F37"/>
    <mergeCell ref="B31:F31"/>
    <mergeCell ref="B46:F46"/>
    <mergeCell ref="A3:F3"/>
    <mergeCell ref="B18:F18"/>
    <mergeCell ref="B27:F27"/>
    <mergeCell ref="B21:F21"/>
    <mergeCell ref="B43:F43"/>
    <mergeCell ref="B39:F39"/>
    <mergeCell ref="A42:F42"/>
    <mergeCell ref="A5:F5"/>
    <mergeCell ref="B11:F11"/>
    <mergeCell ref="A23:F23"/>
    <mergeCell ref="B14:F14"/>
    <mergeCell ref="B8:F8"/>
    <mergeCell ref="B50:F50"/>
    <mergeCell ref="B17:F17"/>
    <mergeCell ref="B44:F44"/>
    <mergeCell ref="B53:F53"/>
    <mergeCell ref="A52:F52"/>
    <mergeCell ref="B38:F38"/>
    <mergeCell ref="A13:F13"/>
    <mergeCell ref="B34:F34"/>
    <mergeCell ref="B10:F10"/>
    <mergeCell ref="B28:F28"/>
    <mergeCell ref="B19:F19"/>
    <mergeCell ref="A48:F48"/>
    <mergeCell ref="A30:F30"/>
    <mergeCell ref="B40:F40"/>
    <mergeCell ref="B9:F9"/>
    <mergeCell ref="B49:F49"/>
    <mergeCell ref="B55:F55"/>
    <mergeCell ref="B6:F6"/>
    <mergeCell ref="B24:F24"/>
    <mergeCell ref="B20:F20"/>
    <mergeCell ref="B15:F15"/>
    <mergeCell ref="B33:F33"/>
    <mergeCell ref="A1:F1"/>
    <mergeCell ref="B45:F45"/>
    <mergeCell ref="B32:F32"/>
    <mergeCell ref="C2:F2"/>
    <mergeCell ref="B26:F26"/>
    <mergeCell ref="B35:F35"/>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C55A11"/>
    <outlinePr summaryBelow="1" summaryRight="1"/>
    <pageSetUpPr/>
  </sheetPr>
  <dimension ref="A1:L38"/>
  <sheetViews>
    <sheetView workbookViewId="0">
      <selection activeCell="A1" sqref="A1"/>
    </sheetView>
  </sheetViews>
  <sheetFormatPr baseColWidth="8" defaultRowHeight="15"/>
  <cols>
    <col width="28" customWidth="1" min="1" max="1"/>
    <col width="12" customWidth="1" min="2" max="2"/>
    <col width="12" customWidth="1" min="3" max="3"/>
    <col width="32" customWidth="1" min="4" max="4"/>
    <col width="12" customWidth="1" min="5" max="5"/>
    <col width="12" customWidth="1" min="6" max="6"/>
    <col width="12" customWidth="1" min="7" max="7"/>
  </cols>
  <sheetData>
    <row r="1" ht="30" customHeight="1">
      <c r="A1" s="4" t="inlineStr">
        <is>
          <t>AI Enablement Opportunity Pipeline — Dashboard</t>
        </is>
      </c>
    </row>
    <row r="3" ht="22" customHeight="1">
      <c r="A3" s="11" t="inlineStr">
        <is>
          <t>Total Opportunities</t>
        </is>
      </c>
      <c r="D3" s="12">
        <f>COUNTA('Opportunity Scoring'!$A$2:$A$501)</f>
        <v/>
      </c>
    </row>
    <row r="4" ht="22" customHeight="1">
      <c r="A4" s="11" t="inlineStr">
        <is>
          <t>Quick Wins</t>
        </is>
      </c>
      <c r="D4" s="12">
        <f>COUNTIF('Opportunity Scoring'!$AA$2:$AA$501,"Quick Win")</f>
        <v/>
      </c>
    </row>
    <row r="5" ht="22" customHeight="1">
      <c r="A5" s="11" t="inlineStr">
        <is>
          <t>Discovery Needed</t>
        </is>
      </c>
      <c r="D5" s="12">
        <f>COUNTIF('Opportunity Scoring'!$AA$2:$AA$501,"Discovery Needed")</f>
        <v/>
      </c>
    </row>
    <row r="6" ht="22" customHeight="1">
      <c r="A6" s="11" t="inlineStr">
        <is>
          <t>Strategic Projects</t>
        </is>
      </c>
      <c r="D6" s="12">
        <f>COUNTIF('Opportunity Scoring'!$AA$2:$AA$501,"Strategic Project")</f>
        <v/>
      </c>
    </row>
    <row r="7" ht="22" customHeight="1">
      <c r="A7" s="11" t="inlineStr">
        <is>
          <t>High Risk / Needs Review</t>
        </is>
      </c>
      <c r="D7" s="12">
        <f>COUNTIF('Opportunity Scoring'!$AA$2:$AA$501,"High Risk / Needs Review")</f>
        <v/>
      </c>
    </row>
    <row r="9" ht="22" customHeight="1">
      <c r="A9" s="11" t="inlineStr">
        <is>
          <t>Est. Monthly Hours (All)</t>
        </is>
      </c>
      <c r="D9" s="12">
        <f>ROUND(SUM('Opportunity Scoring'!$J$2:$J$501),1)</f>
        <v/>
      </c>
    </row>
    <row r="10" ht="22" customHeight="1">
      <c r="A10" s="11" t="inlineStr">
        <is>
          <t>Est. Annual Hours (All)</t>
        </is>
      </c>
      <c r="D10" s="12">
        <f>ROUND(SUM('Opportunity Scoring'!$K$2:$K$501),1)</f>
        <v/>
      </c>
    </row>
    <row r="11" ht="22" customHeight="1">
      <c r="A11" s="11" t="inlineStr">
        <is>
          <t>Avg Priority Score</t>
        </is>
      </c>
      <c r="D11" s="12">
        <f>IFERROR(ROUND(AVERAGEIF('Opportunity Scoring'!$Z$2:$Z$501,"&gt;0"),1),"—")</f>
        <v/>
      </c>
    </row>
    <row r="12" ht="22" customHeight="1">
      <c r="A12" s="11" t="inlineStr">
        <is>
          <t>Discovery Sessions Logged</t>
        </is>
      </c>
      <c r="D12" s="12">
        <f>COUNTA('Discovery Sessions'!$A$2:$A$501)</f>
        <v/>
      </c>
    </row>
    <row r="14" ht="22" customHeight="1">
      <c r="A14" s="11" t="inlineStr">
        <is>
          <t>Portfolio Summary Tables</t>
        </is>
      </c>
    </row>
    <row r="16" ht="20" customHeight="1">
      <c r="A16" s="13" t="inlineStr">
        <is>
          <t>Opportunities by Priority Category</t>
        </is>
      </c>
      <c r="D16" s="13" t="inlineStr">
        <is>
          <t>Opportunities by Risk Level</t>
        </is>
      </c>
    </row>
    <row r="17">
      <c r="A17" s="14" t="inlineStr">
        <is>
          <t>Priority Category</t>
        </is>
      </c>
      <c r="B17" s="14" t="inlineStr">
        <is>
          <t>Count</t>
        </is>
      </c>
      <c r="D17" s="14" t="inlineStr">
        <is>
          <t>Risk Level</t>
        </is>
      </c>
      <c r="E17" s="14" t="inlineStr">
        <is>
          <t>Count</t>
        </is>
      </c>
    </row>
    <row r="18">
      <c r="A18" s="15" t="inlineStr">
        <is>
          <t>Quick Win</t>
        </is>
      </c>
      <c r="B18" s="15">
        <f>COUNTIF('Opportunity Scoring'!$AA$2:$AA$501,"Quick Win")</f>
        <v/>
      </c>
      <c r="D18" s="15" t="inlineStr">
        <is>
          <t>High</t>
        </is>
      </c>
      <c r="E18" s="15">
        <f>COUNTIF('Opportunity Scoring'!$U$2:$U$501,"High")</f>
        <v/>
      </c>
    </row>
    <row r="19">
      <c r="A19" s="16" t="inlineStr">
        <is>
          <t>Discovery Needed</t>
        </is>
      </c>
      <c r="B19" s="16">
        <f>COUNTIF('Opportunity Scoring'!$AA$2:$AA$501,"Discovery Needed")</f>
        <v/>
      </c>
      <c r="D19" s="16" t="inlineStr">
        <is>
          <t>Medium</t>
        </is>
      </c>
      <c r="E19" s="16">
        <f>COUNTIF('Opportunity Scoring'!$U$2:$U$501,"Medium")</f>
        <v/>
      </c>
    </row>
    <row r="20">
      <c r="A20" s="15" t="inlineStr">
        <is>
          <t>Strategic Project</t>
        </is>
      </c>
      <c r="B20" s="15">
        <f>COUNTIF('Opportunity Scoring'!$AA$2:$AA$501,"Strategic Project")</f>
        <v/>
      </c>
      <c r="D20" s="15" t="inlineStr">
        <is>
          <t>Low</t>
        </is>
      </c>
      <c r="E20" s="15">
        <f>COUNTIF('Opportunity Scoring'!$U$2:$U$501,"Low")</f>
        <v/>
      </c>
    </row>
    <row r="21">
      <c r="A21" s="16" t="inlineStr">
        <is>
          <t>High Risk / Needs Review</t>
        </is>
      </c>
      <c r="B21" s="16">
        <f>COUNTIF('Opportunity Scoring'!$AA$2:$AA$501,"High Risk / Needs Review")</f>
        <v/>
      </c>
      <c r="D21" s="16" t="inlineStr">
        <is>
          <t>Unknown</t>
        </is>
      </c>
      <c r="E21" s="16">
        <f>COUNTIF('Opportunity Scoring'!$U$2:$U$501,"Unknown")</f>
        <v/>
      </c>
    </row>
    <row r="22">
      <c r="A22" s="15" t="inlineStr">
        <is>
          <t>Process Issue</t>
        </is>
      </c>
      <c r="B22" s="15">
        <f>COUNTIF('Opportunity Scoring'!$AA$2:$AA$501,"Process Issue")</f>
        <v/>
      </c>
    </row>
    <row r="23">
      <c r="A23" s="16" t="inlineStr">
        <is>
          <t>Not a Fit</t>
        </is>
      </c>
      <c r="B23" s="16">
        <f>COUNTIF('Opportunity Scoring'!$AA$2:$AA$501,"Not a Fit")</f>
        <v/>
      </c>
    </row>
    <row r="25">
      <c r="A25" s="13" t="inlineStr">
        <is>
          <t>Discovery Sessions by Type</t>
        </is>
      </c>
      <c r="D25" s="13" t="inlineStr">
        <is>
          <t>Opportunities by Solution Type</t>
        </is>
      </c>
    </row>
    <row r="26">
      <c r="A26" s="14" t="inlineStr">
        <is>
          <t>Session Type</t>
        </is>
      </c>
      <c r="B26" s="14" t="inlineStr">
        <is>
          <t>Count</t>
        </is>
      </c>
      <c r="D26" s="14" t="inlineStr">
        <is>
          <t>Solution Type</t>
        </is>
      </c>
      <c r="E26" s="14" t="inlineStr">
        <is>
          <t>Count</t>
        </is>
      </c>
    </row>
    <row r="27">
      <c r="A27" s="16" t="inlineStr">
        <is>
          <t>Intake Review</t>
        </is>
      </c>
      <c r="B27" s="16">
        <f>COUNTIF('Discovery Sessions'!$G$2:$G$501,"Intake Review")</f>
        <v/>
      </c>
      <c r="D27" s="16" t="inlineStr">
        <is>
          <t>AI-assisted writing</t>
        </is>
      </c>
      <c r="E27" s="16">
        <f>COUNTIF('Opportunity Scoring'!$S$2:$S$501,"AI-assisted writing")</f>
        <v/>
      </c>
    </row>
    <row r="28">
      <c r="A28" s="15" t="inlineStr">
        <is>
          <t>Live Workflow Walkthrough</t>
        </is>
      </c>
      <c r="B28" s="15">
        <f>COUNTIF('Discovery Sessions'!$G$2:$G$501,"Live Workflow Walkthrough")</f>
        <v/>
      </c>
      <c r="D28" s="15" t="inlineStr">
        <is>
          <t>AI-assisted summarization</t>
        </is>
      </c>
      <c r="E28" s="15">
        <f>COUNTIF('Opportunity Scoring'!$S$2:$S$501,"AI-assisted summarization")</f>
        <v/>
      </c>
    </row>
    <row r="29">
      <c r="A29" s="16" t="inlineStr">
        <is>
          <t>Stakeholder Interview</t>
        </is>
      </c>
      <c r="B29" s="16">
        <f>COUNTIF('Discovery Sessions'!$G$2:$G$501,"Stakeholder Interview")</f>
        <v/>
      </c>
      <c r="D29" s="16" t="inlineStr">
        <is>
          <t>AI-assisted research/retrieval</t>
        </is>
      </c>
      <c r="E29" s="16">
        <f>COUNTIF('Opportunity Scoring'!$S$2:$S$501,"AI-assisted research/retrieval")</f>
        <v/>
      </c>
    </row>
    <row r="30">
      <c r="A30" s="15" t="inlineStr">
        <is>
          <t>Async Review</t>
        </is>
      </c>
      <c r="B30" s="15">
        <f>COUNTIF('Discovery Sessions'!$G$2:$G$501,"Async Review")</f>
        <v/>
      </c>
      <c r="D30" s="15" t="inlineStr">
        <is>
          <t>Reporting automation</t>
        </is>
      </c>
      <c r="E30" s="15">
        <f>COUNTIF('Opportunity Scoring'!$S$2:$S$501,"Reporting automation")</f>
        <v/>
      </c>
    </row>
    <row r="31">
      <c r="A31" s="16" t="inlineStr">
        <is>
          <t>Prototype Scoping</t>
        </is>
      </c>
      <c r="B31" s="16">
        <f>COUNTIF('Discovery Sessions'!$G$2:$G$501,"Prototype Scoping")</f>
        <v/>
      </c>
      <c r="D31" s="16" t="inlineStr">
        <is>
          <t>Data pipeline/integration</t>
        </is>
      </c>
      <c r="E31" s="16">
        <f>COUNTIF('Opportunity Scoring'!$S$2:$S$501,"Data pipeline/integration")</f>
        <v/>
      </c>
    </row>
    <row r="32">
      <c r="A32" s="15" t="inlineStr">
        <is>
          <t>Follow-up</t>
        </is>
      </c>
      <c r="B32" s="15">
        <f>COUNTIF('Discovery Sessions'!$G$2:$G$501,"Follow-up")</f>
        <v/>
      </c>
      <c r="D32" s="15" t="inlineStr">
        <is>
          <t>Workflow automation</t>
        </is>
      </c>
      <c r="E32" s="15">
        <f>COUNTIF('Opportunity Scoring'!$S$2:$S$501,"Workflow automation")</f>
        <v/>
      </c>
    </row>
    <row r="33">
      <c r="D33" s="16" t="inlineStr">
        <is>
          <t>Template/process redesign</t>
        </is>
      </c>
      <c r="E33" s="16">
        <f>COUNTIF('Opportunity Scoring'!$S$2:$S$501,"Template/process redesign")</f>
        <v/>
      </c>
    </row>
    <row r="34">
      <c r="D34" s="15" t="inlineStr">
        <is>
          <t>Knowledge management improvement</t>
        </is>
      </c>
      <c r="E34" s="15">
        <f>COUNTIF('Opportunity Scoring'!$S$2:$S$501,"Knowledge management improvement")</f>
        <v/>
      </c>
    </row>
    <row r="35">
      <c r="D35" s="16" t="inlineStr">
        <is>
          <t>Human-in-the-loop review process</t>
        </is>
      </c>
      <c r="E35" s="16">
        <f>COUNTIF('Opportunity Scoring'!$S$2:$S$501,"Human-in-the-loop review process")</f>
        <v/>
      </c>
    </row>
    <row r="38" ht="30" customHeight="1">
      <c r="A38" s="8" t="inlineStr">
        <is>
          <t>This is a portfolio/program-level view. For details on any opportunity, see Opportunity Briefs or Opportunity Scoring.</t>
        </is>
      </c>
    </row>
  </sheetData>
  <mergeCells count="25">
    <mergeCell ref="A25:C25"/>
    <mergeCell ref="D11:F11"/>
    <mergeCell ref="D25:G25"/>
    <mergeCell ref="A3:C3"/>
    <mergeCell ref="A12:C12"/>
    <mergeCell ref="D7:F7"/>
    <mergeCell ref="D16:F16"/>
    <mergeCell ref="A5:C5"/>
    <mergeCell ref="D4:F4"/>
    <mergeCell ref="D12:F12"/>
    <mergeCell ref="A14:L14"/>
    <mergeCell ref="D3:F3"/>
    <mergeCell ref="D9:F9"/>
    <mergeCell ref="A4:C4"/>
    <mergeCell ref="A10:C10"/>
    <mergeCell ref="A38:L38"/>
    <mergeCell ref="D5:F5"/>
    <mergeCell ref="A9:C9"/>
    <mergeCell ref="D10:F10"/>
    <mergeCell ref="A11:C11"/>
    <mergeCell ref="A1:L1"/>
    <mergeCell ref="A6:C6"/>
    <mergeCell ref="A7:C7"/>
    <mergeCell ref="D6:F6"/>
    <mergeCell ref="A16:C16"/>
  </mergeCells>
  <pageMargins left="0.75" right="0.75" top="1" bottom="1" header="0.5" footer="0.5"/>
</worksheet>
</file>

<file path=xl/worksheets/sheet7.xml><?xml version="1.0" encoding="utf-8"?>
<worksheet xmlns="http://schemas.openxmlformats.org/spreadsheetml/2006/main">
  <sheetPr>
    <tabColor rgb="00595959"/>
    <outlinePr summaryBelow="1" summaryRight="1"/>
    <pageSetUpPr/>
  </sheetPr>
  <dimension ref="A1:K16"/>
  <sheetViews>
    <sheetView workbookViewId="0">
      <selection activeCell="A1" sqref="A1"/>
    </sheetView>
  </sheetViews>
  <sheetFormatPr baseColWidth="8" defaultRowHeight="15"/>
  <cols>
    <col width="22" customWidth="1" min="1" max="1"/>
    <col width="22" customWidth="1" min="2" max="2"/>
    <col width="32" customWidth="1" min="3" max="3"/>
    <col width="30" customWidth="1" min="4" max="4"/>
    <col width="24" customWidth="1" min="5" max="5"/>
    <col width="14" customWidth="1" min="6" max="6"/>
    <col width="14" customWidth="1" min="7" max="7"/>
    <col width="26" customWidth="1" min="8" max="8"/>
    <col width="24" customWidth="1" min="10" max="10"/>
    <col width="10" customWidth="1" min="11" max="11"/>
  </cols>
  <sheetData>
    <row r="1">
      <c r="A1" s="1" t="inlineStr">
        <is>
          <t>Team / Function</t>
        </is>
      </c>
      <c r="B1" s="1" t="inlineStr">
        <is>
          <t>Frequency</t>
        </is>
      </c>
      <c r="C1" s="1" t="inlineStr">
        <is>
          <t>Friction Type</t>
        </is>
      </c>
      <c r="D1" s="1" t="inlineStr">
        <is>
          <t>Likely Solution Type</t>
        </is>
      </c>
      <c r="E1" s="1" t="inlineStr">
        <is>
          <t>Opportunity Status</t>
        </is>
      </c>
      <c r="F1" s="1" t="inlineStr">
        <is>
          <t>Risk Level</t>
        </is>
      </c>
      <c r="G1" s="1" t="inlineStr">
        <is>
          <t>Feasibility</t>
        </is>
      </c>
      <c r="H1" s="1" t="inlineStr">
        <is>
          <t>Priority Category</t>
        </is>
      </c>
      <c r="J1" s="1" t="inlineStr">
        <is>
          <t>Setting</t>
        </is>
      </c>
      <c r="K1" s="1" t="inlineStr">
        <is>
          <t>Value</t>
        </is>
      </c>
    </row>
    <row r="2">
      <c r="A2" s="10" t="inlineStr">
        <is>
          <t>Customer Support</t>
        </is>
      </c>
      <c r="B2" s="10" t="inlineStr">
        <is>
          <t>Multiple times per day</t>
        </is>
      </c>
      <c r="C2" s="10" t="inlineStr">
        <is>
          <t>Repetitive copy/paste</t>
        </is>
      </c>
      <c r="D2" s="10" t="inlineStr">
        <is>
          <t>AI-assisted writing</t>
        </is>
      </c>
      <c r="E2" s="10" t="inlineStr">
        <is>
          <t>New</t>
        </is>
      </c>
      <c r="F2" s="10" t="inlineStr">
        <is>
          <t>Low</t>
        </is>
      </c>
      <c r="G2" s="10" t="inlineStr">
        <is>
          <t>Easy</t>
        </is>
      </c>
      <c r="H2" s="10" t="inlineStr">
        <is>
          <t>Quick Win</t>
        </is>
      </c>
      <c r="J2" s="17" t="inlineStr">
        <is>
          <t>Impact Weight</t>
        </is>
      </c>
      <c r="K2" s="17" t="n">
        <v>2</v>
      </c>
    </row>
    <row r="3">
      <c r="A3" s="18" t="inlineStr">
        <is>
          <t>Customer Success</t>
        </is>
      </c>
      <c r="B3" s="18" t="inlineStr">
        <is>
          <t>Daily</t>
        </is>
      </c>
      <c r="C3" s="18" t="inlineStr">
        <is>
          <t>Multi-system data gathering</t>
        </is>
      </c>
      <c r="D3" s="18" t="inlineStr">
        <is>
          <t>AI-assisted summarization</t>
        </is>
      </c>
      <c r="E3" s="18" t="inlineStr">
        <is>
          <t>Needs Discovery</t>
        </is>
      </c>
      <c r="F3" s="18" t="inlineStr">
        <is>
          <t>Medium</t>
        </is>
      </c>
      <c r="G3" s="18" t="inlineStr">
        <is>
          <t>Medium</t>
        </is>
      </c>
      <c r="H3" s="18" t="inlineStr">
        <is>
          <t>Discovery Needed</t>
        </is>
      </c>
      <c r="J3" s="19" t="inlineStr">
        <is>
          <t>Frequency Weight</t>
        </is>
      </c>
      <c r="K3" s="19" t="n">
        <v>1</v>
      </c>
    </row>
    <row r="4">
      <c r="A4" s="10" t="inlineStr">
        <is>
          <t>Product</t>
        </is>
      </c>
      <c r="B4" s="10" t="inlineStr">
        <is>
          <t>Weekly</t>
        </is>
      </c>
      <c r="C4" s="10" t="inlineStr">
        <is>
          <t>Manual reporting</t>
        </is>
      </c>
      <c r="D4" s="10" t="inlineStr">
        <is>
          <t>AI-assisted research/retrieval</t>
        </is>
      </c>
      <c r="E4" s="10" t="inlineStr">
        <is>
          <t>Discovery Scheduled</t>
        </is>
      </c>
      <c r="F4" s="10" t="inlineStr">
        <is>
          <t>High</t>
        </is>
      </c>
      <c r="G4" s="10" t="inlineStr">
        <is>
          <t>Hard</t>
        </is>
      </c>
      <c r="H4" s="10" t="inlineStr">
        <is>
          <t>Strategic Project</t>
        </is>
      </c>
      <c r="J4" s="17" t="inlineStr">
        <is>
          <t>Pain Weight</t>
        </is>
      </c>
      <c r="K4" s="17" t="n">
        <v>2</v>
      </c>
    </row>
    <row r="5">
      <c r="A5" s="18" t="inlineStr">
        <is>
          <t>Engineering</t>
        </is>
      </c>
      <c r="B5" s="18" t="inlineStr">
        <is>
          <t>Monthly</t>
        </is>
      </c>
      <c r="C5" s="18" t="inlineStr">
        <is>
          <t>Writing or rewriting</t>
        </is>
      </c>
      <c r="D5" s="18" t="inlineStr">
        <is>
          <t>Reporting automation</t>
        </is>
      </c>
      <c r="E5" s="18" t="inlineStr">
        <is>
          <t>Discovery Complete</t>
        </is>
      </c>
      <c r="F5" s="18" t="inlineStr">
        <is>
          <t>Unknown</t>
        </is>
      </c>
      <c r="G5" s="18" t="inlineStr">
        <is>
          <t>Unknown</t>
        </is>
      </c>
      <c r="H5" s="18" t="inlineStr">
        <is>
          <t>High Risk / Needs Review</t>
        </is>
      </c>
      <c r="J5" s="19" t="inlineStr">
        <is>
          <t>Feasibility Weight</t>
        </is>
      </c>
      <c r="K5" s="19" t="n">
        <v>1</v>
      </c>
    </row>
    <row r="6">
      <c r="A6" s="10" t="inlineStr">
        <is>
          <t>Sales</t>
        </is>
      </c>
      <c r="B6" s="10" t="inlineStr">
        <is>
          <t>Quarterly</t>
        </is>
      </c>
      <c r="C6" s="10" t="inlineStr">
        <is>
          <t>Summarizing or synthesizing information</t>
        </is>
      </c>
      <c r="D6" s="10" t="inlineStr">
        <is>
          <t>Data pipeline/integration</t>
        </is>
      </c>
      <c r="E6" s="10" t="inlineStr">
        <is>
          <t>Prototype Candidate</t>
        </is>
      </c>
      <c r="F6" s="10" t="n"/>
      <c r="G6" s="10" t="n"/>
      <c r="H6" s="10" t="inlineStr">
        <is>
          <t>Not a Fit</t>
        </is>
      </c>
      <c r="J6" s="17" t="inlineStr">
        <is>
          <t>Risk Penalty Weight</t>
        </is>
      </c>
      <c r="K6" s="17" t="n">
        <v>2</v>
      </c>
    </row>
    <row r="7">
      <c r="A7" s="18" t="inlineStr">
        <is>
          <t>Marketing</t>
        </is>
      </c>
      <c r="B7" s="18" t="inlineStr">
        <is>
          <t>Ad hoc</t>
        </is>
      </c>
      <c r="C7" s="18" t="inlineStr">
        <is>
          <t>Searching for information</t>
        </is>
      </c>
      <c r="D7" s="18" t="inlineStr">
        <is>
          <t>Workflow automation</t>
        </is>
      </c>
      <c r="E7" s="18" t="inlineStr">
        <is>
          <t>In Prototype</t>
        </is>
      </c>
      <c r="F7" s="18" t="n"/>
      <c r="G7" s="18" t="n"/>
      <c r="H7" s="18" t="inlineStr">
        <is>
          <t>Process Issue</t>
        </is>
      </c>
    </row>
    <row r="8">
      <c r="A8" s="10" t="inlineStr">
        <is>
          <t>Operations</t>
        </is>
      </c>
      <c r="B8" s="10" t="inlineStr">
        <is>
          <t>Unknown</t>
        </is>
      </c>
      <c r="C8" s="10" t="inlineStr">
        <is>
          <t>Data cleanup or normalization</t>
        </is>
      </c>
      <c r="D8" s="10" t="inlineStr">
        <is>
          <t>Template/process redesign</t>
        </is>
      </c>
      <c r="E8" s="10" t="inlineStr">
        <is>
          <t>Implemented</t>
        </is>
      </c>
      <c r="F8" s="10" t="n"/>
      <c r="G8" s="10" t="n"/>
      <c r="H8" s="10" t="n"/>
      <c r="J8" s="20" t="inlineStr">
        <is>
          <t>Note: Changing these weights will affect scoring behavior across the Opportunity Scoring tab. Adjust with care.</t>
        </is>
      </c>
    </row>
    <row r="9">
      <c r="A9" s="18" t="inlineStr">
        <is>
          <t>People</t>
        </is>
      </c>
      <c r="B9" s="18" t="n"/>
      <c r="C9" s="18" t="inlineStr">
        <is>
          <t>Manual QA/checking</t>
        </is>
      </c>
      <c r="D9" s="18" t="inlineStr">
        <is>
          <t>Knowledge management improvement</t>
        </is>
      </c>
      <c r="E9" s="18" t="inlineStr">
        <is>
          <t>Parked</t>
        </is>
      </c>
      <c r="F9" s="18" t="n"/>
      <c r="G9" s="18" t="n"/>
      <c r="H9" s="18" t="n"/>
    </row>
    <row r="10">
      <c r="A10" s="10" t="inlineStr">
        <is>
          <t>Finance</t>
        </is>
      </c>
      <c r="B10" s="10" t="n"/>
      <c r="C10" s="10" t="inlineStr">
        <is>
          <t>Slow handoffs</t>
        </is>
      </c>
      <c r="D10" s="10" t="inlineStr">
        <is>
          <t>Human-in-the-loop review process</t>
        </is>
      </c>
      <c r="E10" s="10" t="inlineStr">
        <is>
          <t>Not a Fit</t>
        </is>
      </c>
      <c r="F10" s="10" t="n"/>
      <c r="G10" s="10" t="n"/>
      <c r="H10" s="10" t="n"/>
    </row>
    <row r="11">
      <c r="A11" s="18" t="inlineStr">
        <is>
          <t>Legal</t>
        </is>
      </c>
      <c r="B11" s="18" t="n"/>
      <c r="C11" s="18" t="inlineStr">
        <is>
          <t>Inconsistent output quality</t>
        </is>
      </c>
      <c r="D11" s="18" t="inlineStr">
        <is>
          <t>Not enough information</t>
        </is>
      </c>
      <c r="E11" s="18" t="n"/>
      <c r="F11" s="18" t="n"/>
      <c r="G11" s="18" t="n"/>
      <c r="H11" s="18" t="n"/>
    </row>
    <row r="12">
      <c r="A12" s="10" t="inlineStr">
        <is>
          <t>Security</t>
        </is>
      </c>
      <c r="B12" s="10" t="n"/>
      <c r="C12" s="10" t="inlineStr">
        <is>
          <t>Error-prone process</t>
        </is>
      </c>
      <c r="D12" s="10" t="inlineStr">
        <is>
          <t>Not a fit</t>
        </is>
      </c>
      <c r="E12" s="10" t="n"/>
      <c r="F12" s="10" t="n"/>
      <c r="G12" s="10" t="n"/>
      <c r="H12" s="10" t="n"/>
    </row>
    <row r="13">
      <c r="A13" s="18" t="inlineStr">
        <is>
          <t>IT</t>
        </is>
      </c>
      <c r="B13" s="18" t="n"/>
      <c r="C13" s="18" t="inlineStr">
        <is>
          <t>Customer-facing delay</t>
        </is>
      </c>
      <c r="D13" s="18" t="n"/>
      <c r="E13" s="18" t="n"/>
      <c r="F13" s="18" t="n"/>
      <c r="G13" s="18" t="n"/>
      <c r="H13" s="18" t="n"/>
    </row>
    <row r="14">
      <c r="A14" s="10" t="inlineStr">
        <is>
          <t>Leadership</t>
        </is>
      </c>
      <c r="B14" s="10" t="n"/>
      <c r="C14" s="10" t="inlineStr">
        <is>
          <t>Internal decision delay</t>
        </is>
      </c>
      <c r="D14" s="10" t="n"/>
      <c r="E14" s="10" t="n"/>
      <c r="F14" s="10" t="n"/>
      <c r="G14" s="10" t="n"/>
      <c r="H14" s="10" t="n"/>
    </row>
    <row r="15">
      <c r="A15" s="18" t="inlineStr">
        <is>
          <t>Other</t>
        </is>
      </c>
      <c r="B15" s="18" t="n"/>
      <c r="C15" s="18" t="inlineStr">
        <is>
          <t>Compliance/privacy concern</t>
        </is>
      </c>
      <c r="D15" s="18" t="n"/>
      <c r="E15" s="18" t="n"/>
      <c r="F15" s="18" t="n"/>
      <c r="G15" s="18" t="n"/>
      <c r="H15" s="18" t="n"/>
    </row>
    <row r="16">
      <c r="A16" s="10" t="n"/>
      <c r="B16" s="10" t="n"/>
      <c r="C16" s="10" t="inlineStr">
        <is>
          <t>Other</t>
        </is>
      </c>
      <c r="D16" s="10" t="n"/>
      <c r="E16" s="10" t="n"/>
      <c r="F16" s="10" t="n"/>
      <c r="G16" s="10" t="n"/>
      <c r="H16" s="10" t="n"/>
    </row>
  </sheetData>
  <mergeCells count="1">
    <mergeCell ref="J8:K8"/>
  </mergeCells>
  <pageMargins left="0.75" right="0.75" top="1" bottom="1" header="0.5" footer="0.5"/>
</worksheet>
</file>

<file path=xl/worksheets/sheet8.xml><?xml version="1.0" encoding="utf-8"?>
<worksheet xmlns="http://schemas.openxmlformats.org/spreadsheetml/2006/main">
  <sheetPr>
    <tabColor rgb="00595959"/>
    <outlinePr summaryBelow="1" summaryRight="1"/>
    <pageSetUpPr/>
  </sheetPr>
  <dimension ref="A1:H49"/>
  <sheetViews>
    <sheetView workbookViewId="0">
      <selection activeCell="A1" sqref="A1"/>
    </sheetView>
  </sheetViews>
  <sheetFormatPr baseColWidth="8" defaultRowHeight="15"/>
  <cols>
    <col width="28" customWidth="1" min="1" max="1"/>
    <col width="40" customWidth="1" min="2" max="2"/>
    <col width="40" customWidth="1" min="3" max="3"/>
  </cols>
  <sheetData>
    <row r="1" ht="30" customHeight="1">
      <c r="A1" s="4" t="inlineStr">
        <is>
          <t>Instructions — AI Enablement Workflow Friction Intake System</t>
        </is>
      </c>
    </row>
    <row r="3" ht="22" customHeight="1">
      <c r="A3" s="13" t="inlineStr">
        <is>
          <t>PURPOSE</t>
        </is>
      </c>
    </row>
    <row r="4" ht="50" customHeight="1">
      <c r="A4" s="10" t="inlineStr">
        <is>
          <t>This workbook is used to identify, quantify, and prioritize workflow friction opportunities that may be reduced through AI, automation, process redesign, documentation improvements, reporting improvements, integrations, or other enablement work.</t>
        </is>
      </c>
    </row>
    <row r="6" ht="22" customHeight="1">
      <c r="A6" s="13" t="inlineStr">
        <is>
          <t>IMPORTANT PRINCIPLE</t>
        </is>
      </c>
    </row>
    <row r="7" ht="55" customHeight="1">
      <c r="A7" s="10" t="inlineStr">
        <is>
          <t>Do not ask only: 'What should AI automate?' — Ask: 'Where is work creating unnecessary friction, and what would change if that friction were reduced?' The purpose of this workbook is to understand workflow friction first. AI may or may not be the right solution.</t>
        </is>
      </c>
    </row>
    <row r="9" ht="22" customHeight="1">
      <c r="A9" s="13" t="inlineStr">
        <is>
          <t>HOW TO USE THIS WORKBOOK</t>
        </is>
      </c>
    </row>
    <row r="10" ht="30" customHeight="1">
      <c r="A10" s="10" t="inlineStr">
        <is>
          <t>1. Enter or collect new opportunities in Intake Responses.</t>
        </is>
      </c>
    </row>
    <row r="11" ht="30" customHeight="1">
      <c r="A11" s="10" t="inlineStr">
        <is>
          <t>2. Review and score each opportunity in Opportunity Scoring.</t>
        </is>
      </c>
    </row>
    <row r="12" ht="30" customHeight="1">
      <c r="A12" s="10" t="inlineStr">
        <is>
          <t>3. For promising opportunities, log each discovery conversation in Discovery Sessions.</t>
        </is>
      </c>
    </row>
    <row r="13" ht="30" customHeight="1">
      <c r="A13" s="10" t="inlineStr">
        <is>
          <t>4. During live walkthroughs, use Discovery Step Log to capture the current workflow step by step.</t>
        </is>
      </c>
    </row>
    <row r="14" ht="30" customHeight="1">
      <c r="A14" s="10" t="inlineStr">
        <is>
          <t>5. Use Opportunity Briefs to generate a structured summary for stakeholders.</t>
        </is>
      </c>
    </row>
    <row r="15" ht="30" customHeight="1">
      <c r="A15" s="10" t="inlineStr">
        <is>
          <t>6. Use Dashboard to review the overall opportunity pipeline.</t>
        </is>
      </c>
    </row>
    <row r="17" ht="22" customHeight="1">
      <c r="A17" s="13" t="inlineStr">
        <is>
          <t>SHEET GUIDE</t>
        </is>
      </c>
    </row>
    <row r="18" ht="22" customHeight="1">
      <c r="A18" s="21" t="inlineStr">
        <is>
          <t>Sheet / Area</t>
        </is>
      </c>
      <c r="B18" s="21" t="inlineStr">
        <is>
          <t>What it collects</t>
        </is>
      </c>
      <c r="C18" s="21" t="inlineStr">
        <is>
          <t>How to use it</t>
        </is>
      </c>
    </row>
    <row r="19" ht="50" customHeight="1">
      <c r="A19" s="18" t="inlineStr">
        <is>
          <t>Intake Responses</t>
        </is>
      </c>
      <c r="B19" s="18" t="inlineStr">
        <is>
          <t>Raw descriptions of workflow friction, impact, data context, desired future state, and willingness to participate.</t>
        </is>
      </c>
      <c r="C19" s="18" t="inlineStr">
        <is>
          <t>Use as the source of truth for what the submitter knows. Do not over-score if the workflow is unclear.</t>
        </is>
      </c>
    </row>
    <row r="20" ht="50" customHeight="1">
      <c r="A20" s="10" t="inlineStr">
        <is>
          <t>Opportunity Scoring</t>
        </is>
      </c>
      <c r="B20" s="10" t="inlineStr">
        <is>
          <t>Triage fields and formulas translating intake into estimated hours, impact, friction, risk, priority, and next step.</t>
        </is>
      </c>
      <c r="C20" s="10" t="inlineStr">
        <is>
          <t>Review formula outputs, then manually complete Status, Solution Type, Feasibility, Risk Level, Assignee, and notes.</t>
        </is>
      </c>
    </row>
    <row r="21" ht="50" customHeight="1">
      <c r="A21" s="18" t="inlineStr">
        <is>
          <t>Discovery Sessions</t>
        </is>
      </c>
      <c r="B21" s="18" t="inlineStr">
        <is>
          <t>One row per discovery conversation, walkthrough, interview, async review, or prototype scoping session.</t>
        </is>
      </c>
      <c r="C21" s="18" t="inlineStr">
        <is>
          <t>Use as the human-readable index of discovery work. Summarizes learning, next steps, owners, and dependencies.</t>
        </is>
      </c>
    </row>
    <row r="22" ht="50" customHeight="1">
      <c r="A22" s="10" t="inlineStr">
        <is>
          <t>Discovery Step Log</t>
        </is>
      </c>
      <c r="B22" s="10" t="inlineStr">
        <is>
          <t>Detailed step-by-step observations from live workflow walkthroughs. Many rows per opportunity.</t>
        </is>
      </c>
      <c r="C22" s="10" t="inlineStr">
        <is>
          <t>Filter by Opportunity ID to view one workflow. One row per step so pain, risks, and automation opportunities are specific.</t>
        </is>
      </c>
    </row>
    <row r="23" ht="50" customHeight="1">
      <c r="A23" s="18" t="inlineStr">
        <is>
          <t>Opportunity Briefs</t>
        </is>
      </c>
      <c r="B23" s="18" t="inlineStr">
        <is>
          <t>Stakeholder-friendly one-page summary generated from a selected Opportunity ID.</t>
        </is>
      </c>
      <c r="C23" s="18" t="inlineStr">
        <is>
          <t>Choose the ID in B2, use the brief for discovery, prototype scoping, or stakeholder review.</t>
        </is>
      </c>
    </row>
    <row r="24" ht="50" customHeight="1">
      <c r="A24" s="10" t="inlineStr">
        <is>
          <t>Dashboard</t>
        </is>
      </c>
      <c r="B24" s="10" t="inlineStr">
        <is>
          <t>Leadership/program overview of the opportunity pipeline.</t>
        </is>
      </c>
      <c r="C24" s="10" t="inlineStr">
        <is>
          <t>Use for portfolio review: volume, quick wins, risk items, time estimates, discovery activity, and solution mix.</t>
        </is>
      </c>
    </row>
    <row r="25" ht="50" customHeight="1">
      <c r="A25" s="18" t="inlineStr">
        <is>
          <t>Lists &amp; Settings</t>
        </is>
      </c>
      <c r="B25" s="18" t="inlineStr">
        <is>
          <t>Reusable dropdown values and scoring weights.</t>
        </is>
      </c>
      <c r="C25" s="18" t="inlineStr">
        <is>
          <t>Only edit intentionally; changes affect validations and scoring behavior.</t>
        </is>
      </c>
    </row>
    <row r="27" ht="22" customHeight="1">
      <c r="A27" s="13" t="inlineStr">
        <is>
          <t>TRIAGE CATEGORIES</t>
        </is>
      </c>
    </row>
    <row r="28" ht="30" customHeight="1">
      <c r="A28" s="10" t="inlineStr">
        <is>
          <t>Quick Win — High impact, low complexity, low risk.</t>
        </is>
      </c>
    </row>
    <row r="29" ht="30" customHeight="1">
      <c r="A29" s="10" t="inlineStr">
        <is>
          <t>Discovery Needed — Promising but not yet understood deeply enough.</t>
        </is>
      </c>
    </row>
    <row r="30" ht="30" customHeight="1">
      <c r="A30" s="10" t="inlineStr">
        <is>
          <t>Strategic Project — High impact but requires significant coordination or integration.</t>
        </is>
      </c>
    </row>
    <row r="31" ht="30" customHeight="1">
      <c r="A31" s="10" t="inlineStr">
        <is>
          <t>High Risk / Needs Review — Involves sensitive data, compliance, legal, security, or customer-facing risk.</t>
        </is>
      </c>
    </row>
    <row r="32" ht="30" customHeight="1">
      <c r="A32" s="10" t="inlineStr">
        <is>
          <t>Process Issue — Better solved by documentation, process clarification, templates, or training.</t>
        </is>
      </c>
    </row>
    <row r="33" ht="30" customHeight="1">
      <c r="A33" s="10" t="inlineStr">
        <is>
          <t>Not a Fit — Low impact, inappropriate risk, or not worth pursuing.</t>
        </is>
      </c>
    </row>
    <row r="35" ht="22" customHeight="1">
      <c r="A35" s="13" t="inlineStr">
        <is>
          <t>SCORING INTERPRETATION</t>
        </is>
      </c>
    </row>
    <row r="36" ht="22" customHeight="1">
      <c r="A36" s="21" t="inlineStr">
        <is>
          <t>Field</t>
        </is>
      </c>
      <c r="B36" s="21" t="inlineStr">
        <is>
          <t>Meaning</t>
        </is>
      </c>
      <c r="C36" s="21" t="inlineStr">
        <is>
          <t>How to interpret it</t>
        </is>
      </c>
    </row>
    <row r="37" ht="40" customHeight="1">
      <c r="A37" s="18" t="inlineStr">
        <is>
          <t>Impact Score</t>
        </is>
      </c>
      <c r="B37" s="18" t="inlineStr">
        <is>
          <t>Combines criticality, urgency, and monthly hours.</t>
        </is>
      </c>
      <c r="C37" s="18" t="inlineStr">
        <is>
          <t>Directional, not absolute.</t>
        </is>
      </c>
    </row>
    <row r="38" ht="40" customHeight="1">
      <c r="A38" s="10" t="inlineStr">
        <is>
          <t>Frequency Score</t>
        </is>
      </c>
      <c r="B38" s="10" t="inlineStr">
        <is>
          <t>Based on how often the workflow occurs.</t>
        </is>
      </c>
      <c r="C38" s="10" t="inlineStr">
        <is>
          <t>High-frequency annoyances can be strong opportunities even if each instance is small.</t>
        </is>
      </c>
    </row>
    <row r="39" ht="40" customHeight="1">
      <c r="A39" s="18" t="inlineStr">
        <is>
          <t>Friction Score</t>
        </is>
      </c>
      <c r="B39" s="18" t="inlineStr">
        <is>
          <t>Average of pain rating and error-proneness.</t>
        </is>
      </c>
      <c r="C39" s="18" t="inlineStr">
        <is>
          <t>High friction points to standardization, QA, or automation opportunities.</t>
        </is>
      </c>
    </row>
    <row r="40" ht="40" customHeight="1">
      <c r="A40" s="10" t="inlineStr">
        <is>
          <t>Risk Penalty</t>
        </is>
      </c>
      <c r="B40" s="10" t="inlineStr">
        <is>
          <t>Penalty for risk level and sensitive data.</t>
        </is>
      </c>
      <c r="C40" s="10" t="inlineStr">
        <is>
          <t>High risk means review before solutioning, not necessarily "no."</t>
        </is>
      </c>
    </row>
    <row r="41" ht="40" customHeight="1">
      <c r="A41" s="18" t="inlineStr">
        <is>
          <t>Priority Score</t>
        </is>
      </c>
      <c r="B41" s="18" t="inlineStr">
        <is>
          <t>Combined weighted score after impact, frequency, friction, feasibility, and risk.</t>
        </is>
      </c>
      <c r="C41" s="18" t="inlineStr">
        <is>
          <t>Use to sort, then apply judgment.</t>
        </is>
      </c>
    </row>
    <row r="42" ht="40" customHeight="1">
      <c r="A42" s="10" t="inlineStr">
        <is>
          <t>Priority Category</t>
        </is>
      </c>
      <c r="B42" s="10" t="inlineStr">
        <is>
          <t>Formula-derived triage bucket.</t>
        </is>
      </c>
      <c r="C42" s="10" t="inlineStr">
        <is>
          <t>Use as a starting point; a reviewer can override.</t>
        </is>
      </c>
    </row>
    <row r="44" ht="22" customHeight="1">
      <c r="A44" s="13" t="inlineStr">
        <is>
          <t>AI ENABLEMENT GUIDANCE</t>
        </is>
      </c>
    </row>
    <row r="45" ht="50" customHeight="1">
      <c r="A45" s="10" t="inlineStr">
        <is>
          <t>Consider AI when the workflow involves: drafting, rewriting, summarizing, synthesizing, searching/retrieval, classification, pattern recognition, triage, repetitive judgment support, or transformation of messy inputs into structured outputs.</t>
        </is>
      </c>
    </row>
    <row r="46" ht="10" customHeight="1">
      <c r="A46" s="10" t="inlineStr"/>
    </row>
    <row r="47" ht="50" customHeight="1">
      <c r="A47" s="10" t="inlineStr">
        <is>
          <t>Treat AI carefully when the workflow involves: sensitive data, customer-facing decisions, legal, compliance, security, financial, HR, or student data, irreversible actions, high-stakes decisions, or areas where hallucination or missing context would cause harm.</t>
        </is>
      </c>
    </row>
    <row r="48" ht="10" customHeight="1">
      <c r="A48" s="10" t="inlineStr"/>
    </row>
    <row r="49" ht="50" customHeight="1">
      <c r="A49" s="10" t="inlineStr">
        <is>
          <t>Also consider: process redesign, templates, better documentation, reporting automation, system integrations, workflow automation, knowledge management improvements, human-in-the-loop review, or better ownership and handoff design.</t>
        </is>
      </c>
    </row>
  </sheetData>
  <mergeCells count="27">
    <mergeCell ref="A9:H9"/>
    <mergeCell ref="A48:H48"/>
    <mergeCell ref="A30:H30"/>
    <mergeCell ref="A15:H15"/>
    <mergeCell ref="A11:H11"/>
    <mergeCell ref="A49:H49"/>
    <mergeCell ref="A1:H1"/>
    <mergeCell ref="A45:H45"/>
    <mergeCell ref="A6:H6"/>
    <mergeCell ref="A7:H7"/>
    <mergeCell ref="A46:H46"/>
    <mergeCell ref="A27:H27"/>
    <mergeCell ref="A12:H12"/>
    <mergeCell ref="A3:H3"/>
    <mergeCell ref="A33:H33"/>
    <mergeCell ref="A14:H14"/>
    <mergeCell ref="A47:H47"/>
    <mergeCell ref="A32:H32"/>
    <mergeCell ref="A17:H17"/>
    <mergeCell ref="A4:H4"/>
    <mergeCell ref="A29:H29"/>
    <mergeCell ref="A35:H35"/>
    <mergeCell ref="A10:H10"/>
    <mergeCell ref="A28:H28"/>
    <mergeCell ref="A13:H13"/>
    <mergeCell ref="A44:H44"/>
    <mergeCell ref="A31:H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2026-06-24T19:33:09Z</dcterms:created>
  <dcterms:modified xmlns:dcterms="http://purl.org/dc/terms/" xmlns:xsi="http://www.w3.org/2001/XMLSchema-instance" xsi:type="dcterms:W3CDTF">2026-06-24T19:33:14Z</dcterms:modified>
</cp:coreProperties>
</file>